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FEFE4E9-E1E5-9A4A-8A80-8F5B1E1F62CF}" xr6:coauthVersionLast="47" xr6:coauthVersionMax="47" xr10:uidLastSave="{00000000-0000-0000-0000-000000000000}"/>
  <bookViews>
    <workbookView xWindow="-108" yWindow="-108" windowWidth="23256" windowHeight="12456" xr2:uid="{55B2F0CE-ADFC-47ED-A99D-2D99EA40E5C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3" i="2" l="1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502" i="1" a="1"/>
  <c r="G503" i="1" a="1"/>
  <c r="G504" i="1" a="1"/>
  <c r="G505" i="1" a="1"/>
  <c r="G506" i="1" a="1"/>
  <c r="G507" i="1" a="1"/>
  <c r="G508" i="1" a="1"/>
  <c r="G509" i="1" a="1"/>
  <c r="G510" i="1" a="1"/>
  <c r="G511" i="1" a="1"/>
  <c r="G512" i="1" a="1"/>
  <c r="G513" i="1" a="1"/>
  <c r="G514" i="1" a="1"/>
  <c r="G515" i="1" a="1"/>
  <c r="G516" i="1" a="1"/>
  <c r="G517" i="1" a="1"/>
  <c r="G518" i="1" a="1"/>
  <c r="G519" i="1" a="1"/>
  <c r="G520" i="1" a="1"/>
  <c r="G521" i="1" a="1"/>
  <c r="G522" i="1" a="1"/>
  <c r="G523" i="1" a="1"/>
  <c r="G524" i="1" a="1"/>
  <c r="G525" i="1" a="1"/>
  <c r="G526" i="1" a="1"/>
  <c r="G527" i="1" a="1"/>
  <c r="G528" i="1" a="1"/>
  <c r="G529" i="1" a="1"/>
  <c r="G530" i="1" a="1"/>
  <c r="G531" i="1" a="1"/>
  <c r="G532" i="1" a="1"/>
  <c r="G533" i="1" a="1"/>
  <c r="G534" i="1" a="1"/>
  <c r="G535" i="1" a="1"/>
  <c r="G536" i="1" a="1"/>
  <c r="G537" i="1" a="1"/>
  <c r="G538" i="1" a="1"/>
  <c r="G539" i="1" a="1"/>
  <c r="G540" i="1" a="1"/>
  <c r="G541" i="1" a="1"/>
  <c r="G542" i="1" a="1"/>
  <c r="G543" i="1" a="1"/>
  <c r="G544" i="1" a="1"/>
  <c r="G545" i="1" a="1"/>
  <c r="G546" i="1" a="1"/>
  <c r="G547" i="1" a="1"/>
  <c r="G548" i="1" a="1"/>
  <c r="G549" i="1" a="1"/>
  <c r="G550" i="1" a="1"/>
  <c r="G551" i="1" a="1"/>
  <c r="G552" i="1" a="1"/>
  <c r="G553" i="1" a="1"/>
  <c r="G554" i="1" a="1"/>
  <c r="G555" i="1" a="1"/>
  <c r="G556" i="1" a="1"/>
  <c r="G557" i="1" a="1"/>
  <c r="G558" i="1" a="1"/>
  <c r="G559" i="1" a="1"/>
  <c r="G560" i="1" a="1"/>
  <c r="G561" i="1" a="1"/>
  <c r="G562" i="1" a="1"/>
  <c r="G563" i="1" a="1"/>
  <c r="G564" i="1" a="1"/>
  <c r="G565" i="1" a="1"/>
  <c r="G566" i="1" a="1"/>
  <c r="G567" i="1" a="1"/>
  <c r="G568" i="1" a="1"/>
  <c r="G569" i="1" a="1"/>
  <c r="G570" i="1" a="1"/>
  <c r="G571" i="1" a="1"/>
  <c r="G572" i="1" a="1"/>
  <c r="G573" i="1" a="1"/>
  <c r="G574" i="1" a="1"/>
  <c r="G575" i="1" a="1"/>
  <c r="G576" i="1" a="1"/>
  <c r="G577" i="1" a="1"/>
  <c r="G578" i="1" a="1"/>
  <c r="G579" i="1" a="1"/>
  <c r="G580" i="1" a="1"/>
  <c r="G581" i="1" a="1"/>
  <c r="G582" i="1" a="1"/>
  <c r="G583" i="1" a="1"/>
  <c r="G584" i="1" a="1"/>
  <c r="G585" i="1" a="1"/>
  <c r="G586" i="1" a="1"/>
  <c r="G587" i="1" a="1"/>
  <c r="G588" i="1" a="1"/>
  <c r="G589" i="1" a="1"/>
  <c r="G590" i="1" a="1"/>
  <c r="G591" i="1" a="1"/>
  <c r="G592" i="1" a="1"/>
  <c r="G593" i="1" a="1"/>
  <c r="G594" i="1" a="1"/>
  <c r="G595" i="1" a="1"/>
  <c r="G596" i="1" a="1"/>
  <c r="G597" i="1" a="1"/>
  <c r="G598" i="1" a="1"/>
  <c r="G599" i="1" a="1"/>
  <c r="G600" i="1" a="1"/>
  <c r="G601" i="1" a="1"/>
  <c r="G602" i="1" a="1"/>
  <c r="G603" i="1" a="1"/>
  <c r="G604" i="1" a="1"/>
  <c r="G605" i="1" a="1"/>
  <c r="G606" i="1" a="1"/>
  <c r="G607" i="1" a="1"/>
  <c r="G608" i="1" a="1"/>
  <c r="G609" i="1" a="1"/>
  <c r="G610" i="1" a="1"/>
  <c r="G611" i="1" a="1"/>
  <c r="G612" i="1" a="1"/>
  <c r="G613" i="1" a="1"/>
  <c r="G614" i="1" a="1"/>
  <c r="G615" i="1" a="1"/>
  <c r="G616" i="1" a="1"/>
  <c r="G617" i="1" a="1"/>
  <c r="G618" i="1" a="1"/>
  <c r="G619" i="1" a="1"/>
  <c r="G620" i="1" a="1"/>
  <c r="G621" i="1" a="1"/>
  <c r="G622" i="1" a="1"/>
  <c r="G623" i="1" a="1"/>
  <c r="G624" i="1" a="1"/>
  <c r="G625" i="1" a="1"/>
  <c r="G626" i="1" a="1"/>
  <c r="G627" i="1" a="1"/>
  <c r="G628" i="1" a="1"/>
  <c r="G629" i="1" a="1"/>
  <c r="G630" i="1" a="1"/>
  <c r="G631" i="1" a="1"/>
  <c r="G632" i="1" a="1"/>
  <c r="G633" i="1" a="1"/>
  <c r="G634" i="1" a="1"/>
  <c r="G635" i="1" a="1"/>
  <c r="G636" i="1" a="1"/>
  <c r="G637" i="1" a="1"/>
  <c r="G638" i="1" a="1"/>
  <c r="G639" i="1" a="1"/>
  <c r="G640" i="1" a="1"/>
  <c r="G641" i="1" a="1"/>
  <c r="G642" i="1" a="1"/>
  <c r="G643" i="1" a="1"/>
  <c r="G644" i="1" a="1"/>
  <c r="G645" i="1" a="1"/>
  <c r="G646" i="1" a="1"/>
  <c r="G647" i="1" a="1"/>
  <c r="G648" i="1" a="1"/>
  <c r="G649" i="1" a="1"/>
  <c r="G650" i="1" a="1"/>
  <c r="G651" i="1" a="1"/>
  <c r="G652" i="1" a="1"/>
  <c r="G653" i="1" a="1"/>
  <c r="G654" i="1" a="1"/>
  <c r="G655" i="1" a="1"/>
  <c r="G656" i="1" a="1"/>
  <c r="G657" i="1" a="1"/>
  <c r="G658" i="1" a="1"/>
  <c r="G659" i="1" a="1"/>
  <c r="G660" i="1" a="1"/>
  <c r="G661" i="1" a="1"/>
  <c r="G662" i="1" a="1"/>
  <c r="G663" i="1" a="1"/>
  <c r="G664" i="1" a="1"/>
  <c r="G665" i="1" a="1"/>
  <c r="G666" i="1" a="1"/>
  <c r="G667" i="1" a="1"/>
  <c r="G668" i="1" a="1"/>
  <c r="G669" i="1" a="1"/>
  <c r="G670" i="1" a="1"/>
  <c r="G671" i="1" a="1"/>
  <c r="G672" i="1" a="1"/>
  <c r="G673" i="1" a="1"/>
  <c r="G674" i="1" a="1"/>
  <c r="G675" i="1" a="1"/>
  <c r="G676" i="1" a="1"/>
  <c r="G677" i="1" a="1"/>
  <c r="G678" i="1" a="1"/>
  <c r="G679" i="1" a="1"/>
  <c r="G680" i="1" a="1"/>
  <c r="G681" i="1" a="1"/>
  <c r="G682" i="1" a="1"/>
  <c r="G683" i="1" a="1"/>
  <c r="G684" i="1" a="1"/>
  <c r="G685" i="1" a="1"/>
  <c r="G686" i="1" a="1"/>
  <c r="G687" i="1" a="1"/>
  <c r="G688" i="1" a="1"/>
  <c r="G689" i="1" a="1"/>
  <c r="G690" i="1" a="1"/>
  <c r="G691" i="1" a="1"/>
  <c r="G692" i="1" a="1"/>
  <c r="G693" i="1" a="1"/>
  <c r="G694" i="1" a="1"/>
  <c r="G695" i="1" a="1"/>
  <c r="G696" i="1" a="1"/>
  <c r="G697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F588" i="1" a="1"/>
  <c r="F589" i="1" a="1"/>
  <c r="F590" i="1" a="1"/>
  <c r="F591" i="1" a="1"/>
  <c r="F592" i="1" a="1"/>
  <c r="F593" i="1" a="1"/>
  <c r="F594" i="1" a="1"/>
  <c r="F595" i="1" a="1"/>
  <c r="F596" i="1" a="1"/>
  <c r="F597" i="1" a="1"/>
  <c r="F598" i="1" a="1"/>
  <c r="F599" i="1" a="1"/>
  <c r="F600" i="1" a="1"/>
  <c r="F601" i="1" a="1"/>
  <c r="F602" i="1" a="1"/>
  <c r="F603" i="1" a="1"/>
  <c r="F604" i="1" a="1"/>
  <c r="F605" i="1" a="1"/>
  <c r="F606" i="1" a="1"/>
  <c r="F607" i="1" a="1"/>
  <c r="F608" i="1" a="1"/>
  <c r="F609" i="1" a="1"/>
  <c r="F610" i="1" a="1"/>
  <c r="F611" i="1" a="1"/>
  <c r="F612" i="1" a="1"/>
  <c r="F613" i="1" a="1"/>
  <c r="F614" i="1" a="1"/>
  <c r="F615" i="1" a="1"/>
  <c r="F616" i="1" a="1"/>
  <c r="F617" i="1" a="1"/>
  <c r="F618" i="1" a="1"/>
  <c r="F619" i="1" a="1"/>
  <c r="F620" i="1" a="1"/>
  <c r="F621" i="1" a="1"/>
  <c r="F622" i="1" a="1"/>
  <c r="F623" i="1" a="1"/>
  <c r="F624" i="1" a="1"/>
  <c r="F625" i="1" a="1"/>
  <c r="F626" i="1" a="1"/>
  <c r="F627" i="1" a="1"/>
  <c r="F628" i="1" a="1"/>
  <c r="F629" i="1" a="1"/>
  <c r="F630" i="1" a="1"/>
  <c r="F631" i="1" a="1"/>
  <c r="F632" i="1" a="1"/>
  <c r="F633" i="1" a="1"/>
  <c r="F634" i="1" a="1"/>
  <c r="F635" i="1" a="1"/>
  <c r="F636" i="1" a="1"/>
  <c r="F637" i="1" a="1"/>
  <c r="F638" i="1" a="1"/>
  <c r="F639" i="1" a="1"/>
  <c r="F640" i="1" a="1"/>
  <c r="F641" i="1" a="1"/>
  <c r="F642" i="1" a="1"/>
  <c r="F643" i="1" a="1"/>
  <c r="F644" i="1" a="1"/>
  <c r="F645" i="1" a="1"/>
  <c r="F646" i="1" a="1"/>
  <c r="F647" i="1" a="1"/>
  <c r="F648" i="1" a="1"/>
  <c r="F649" i="1" a="1"/>
  <c r="F650" i="1" a="1"/>
  <c r="F651" i="1" a="1"/>
  <c r="F652" i="1" a="1"/>
  <c r="F653" i="1" a="1"/>
  <c r="F654" i="1" a="1"/>
  <c r="F655" i="1" a="1"/>
  <c r="F656" i="1" a="1"/>
  <c r="F657" i="1" a="1"/>
  <c r="F658" i="1" a="1"/>
  <c r="F659" i="1" a="1"/>
  <c r="F660" i="1" a="1"/>
  <c r="F661" i="1" a="1"/>
  <c r="F662" i="1" a="1"/>
  <c r="F663" i="1" a="1"/>
  <c r="F664" i="1" a="1"/>
  <c r="F665" i="1" a="1"/>
  <c r="F666" i="1" a="1"/>
  <c r="F667" i="1" a="1"/>
  <c r="F668" i="1" a="1"/>
  <c r="F669" i="1" a="1"/>
  <c r="F670" i="1" a="1"/>
  <c r="F671" i="1" a="1"/>
  <c r="F672" i="1" a="1"/>
  <c r="F673" i="1" a="1"/>
  <c r="F674" i="1" a="1"/>
  <c r="F675" i="1" a="1"/>
  <c r="F676" i="1" a="1"/>
  <c r="F677" i="1" a="1"/>
  <c r="F678" i="1" a="1"/>
  <c r="F679" i="1" a="1"/>
  <c r="F680" i="1" a="1"/>
  <c r="F681" i="1" a="1"/>
  <c r="F682" i="1" a="1"/>
  <c r="F683" i="1" a="1"/>
  <c r="F684" i="1" a="1"/>
  <c r="F685" i="1" a="1"/>
  <c r="F686" i="1" a="1"/>
  <c r="F687" i="1" a="1"/>
  <c r="F688" i="1" a="1"/>
  <c r="F689" i="1" a="1"/>
  <c r="F690" i="1" a="1"/>
  <c r="F691" i="1" a="1"/>
  <c r="F692" i="1" a="1"/>
  <c r="F693" i="1" a="1"/>
  <c r="F694" i="1" a="1"/>
  <c r="F695" i="1" a="1"/>
  <c r="F696" i="1" a="1"/>
  <c r="F697" i="1" a="1"/>
  <c r="E13" i="1"/>
  <c r="E25" i="1"/>
  <c r="E30" i="1"/>
  <c r="E57" i="1"/>
  <c r="E77" i="1"/>
  <c r="E89" i="1"/>
  <c r="E113" i="1"/>
  <c r="E134" i="1"/>
  <c r="E149" i="1"/>
  <c r="E153" i="1"/>
  <c r="E177" i="1"/>
  <c r="E182" i="1"/>
  <c r="E186" i="1"/>
  <c r="E193" i="1"/>
  <c r="E194" i="1"/>
  <c r="E416" i="1"/>
  <c r="E420" i="1"/>
  <c r="E429" i="1"/>
  <c r="E436" i="1"/>
  <c r="E444" i="1"/>
  <c r="E448" i="1"/>
  <c r="E461" i="1"/>
  <c r="E480" i="1"/>
  <c r="E493" i="1"/>
  <c r="E496" i="1"/>
  <c r="E500" i="1"/>
  <c r="E519" i="1"/>
  <c r="E523" i="1"/>
  <c r="E529" i="1"/>
  <c r="E544" i="1"/>
  <c r="E559" i="1"/>
  <c r="E583" i="1"/>
  <c r="E600" i="1"/>
  <c r="D3" i="1" a="1"/>
  <c r="E3" i="1"/>
  <c r="D4" i="1" a="1"/>
  <c r="E4" i="1"/>
  <c r="D5" i="1" a="1"/>
  <c r="E5" i="1"/>
  <c r="D6" i="1" a="1"/>
  <c r="E6" i="1"/>
  <c r="D7" i="1" a="1"/>
  <c r="E7" i="1"/>
  <c r="D8" i="1" a="1"/>
  <c r="E8" i="1"/>
  <c r="D9" i="1" a="1"/>
  <c r="E9" i="1"/>
  <c r="D10" i="1" a="1"/>
  <c r="E10" i="1"/>
  <c r="D11" i="1" a="1"/>
  <c r="E11" i="1"/>
  <c r="D12" i="1" a="1"/>
  <c r="E12" i="1"/>
  <c r="D13" i="1" a="1"/>
  <c r="D14" i="1" a="1"/>
  <c r="E14" i="1"/>
  <c r="D15" i="1" a="1"/>
  <c r="E15" i="1"/>
  <c r="D16" i="1" a="1"/>
  <c r="E16" i="1"/>
  <c r="D17" i="1" a="1"/>
  <c r="E17" i="1"/>
  <c r="D18" i="1" a="1"/>
  <c r="E18" i="1"/>
  <c r="D19" i="1" a="1"/>
  <c r="E19" i="1"/>
  <c r="D20" i="1" a="1"/>
  <c r="E20" i="1"/>
  <c r="D21" i="1" a="1"/>
  <c r="E21" i="1"/>
  <c r="D22" i="1" a="1"/>
  <c r="E22" i="1"/>
  <c r="D23" i="1" a="1"/>
  <c r="E23" i="1"/>
  <c r="D24" i="1" a="1"/>
  <c r="E24" i="1"/>
  <c r="D25" i="1" a="1"/>
  <c r="D26" i="1" a="1"/>
  <c r="E26" i="1"/>
  <c r="D27" i="1" a="1"/>
  <c r="E27" i="1"/>
  <c r="D28" i="1" a="1"/>
  <c r="E28" i="1"/>
  <c r="D29" i="1" a="1"/>
  <c r="E29" i="1"/>
  <c r="D30" i="1" a="1"/>
  <c r="D31" i="1" a="1"/>
  <c r="E31" i="1"/>
  <c r="D32" i="1" a="1"/>
  <c r="E32" i="1"/>
  <c r="D33" i="1" a="1"/>
  <c r="E33" i="1"/>
  <c r="D34" i="1" a="1"/>
  <c r="E34" i="1"/>
  <c r="D35" i="1" a="1"/>
  <c r="E35" i="1"/>
  <c r="D36" i="1" a="1"/>
  <c r="E36" i="1"/>
  <c r="D37" i="1" a="1"/>
  <c r="E37" i="1"/>
  <c r="D38" i="1" a="1"/>
  <c r="E38" i="1"/>
  <c r="D39" i="1" a="1"/>
  <c r="E39" i="1"/>
  <c r="D40" i="1" a="1"/>
  <c r="E40" i="1"/>
  <c r="D41" i="1" a="1"/>
  <c r="E41" i="1"/>
  <c r="D42" i="1" a="1"/>
  <c r="E42" i="1"/>
  <c r="D43" i="1" a="1"/>
  <c r="E43" i="1"/>
  <c r="D44" i="1" a="1"/>
  <c r="E44" i="1"/>
  <c r="D45" i="1" a="1"/>
  <c r="E45" i="1"/>
  <c r="D46" i="1" a="1"/>
  <c r="E46" i="1"/>
  <c r="D47" i="1" a="1"/>
  <c r="E47" i="1"/>
  <c r="D48" i="1" a="1"/>
  <c r="E48" i="1"/>
  <c r="D49" i="1" a="1"/>
  <c r="E49" i="1"/>
  <c r="D50" i="1" a="1"/>
  <c r="E50" i="1"/>
  <c r="D51" i="1" a="1"/>
  <c r="E51" i="1"/>
  <c r="D52" i="1" a="1"/>
  <c r="E52" i="1"/>
  <c r="D53" i="1" a="1"/>
  <c r="E53" i="1"/>
  <c r="D54" i="1" a="1"/>
  <c r="E54" i="1"/>
  <c r="D55" i="1" a="1"/>
  <c r="E55" i="1"/>
  <c r="D56" i="1" a="1"/>
  <c r="E56" i="1"/>
  <c r="D57" i="1" a="1"/>
  <c r="D58" i="1" a="1"/>
  <c r="E58" i="1"/>
  <c r="D59" i="1" a="1"/>
  <c r="E59" i="1"/>
  <c r="D60" i="1" a="1"/>
  <c r="E60" i="1"/>
  <c r="D61" i="1" a="1"/>
  <c r="E61" i="1"/>
  <c r="D62" i="1" a="1"/>
  <c r="E62" i="1"/>
  <c r="D63" i="1" a="1"/>
  <c r="E63" i="1"/>
  <c r="D64" i="1" a="1"/>
  <c r="E64" i="1"/>
  <c r="D65" i="1" a="1"/>
  <c r="E65" i="1"/>
  <c r="D66" i="1" a="1"/>
  <c r="E66" i="1"/>
  <c r="D67" i="1" a="1"/>
  <c r="E67" i="1"/>
  <c r="D68" i="1" a="1"/>
  <c r="E68" i="1"/>
  <c r="D69" i="1" a="1"/>
  <c r="E69" i="1"/>
  <c r="D70" i="1" a="1"/>
  <c r="E70" i="1"/>
  <c r="D71" i="1" a="1"/>
  <c r="E71" i="1"/>
  <c r="D72" i="1" a="1"/>
  <c r="E72" i="1"/>
  <c r="D73" i="1" a="1"/>
  <c r="E73" i="1"/>
  <c r="D74" i="1" a="1"/>
  <c r="E74" i="1"/>
  <c r="D75" i="1" a="1"/>
  <c r="E75" i="1"/>
  <c r="D76" i="1" a="1"/>
  <c r="E76" i="1"/>
  <c r="D77" i="1" a="1"/>
  <c r="D78" i="1" a="1"/>
  <c r="E78" i="1"/>
  <c r="D79" i="1" a="1"/>
  <c r="E79" i="1"/>
  <c r="D80" i="1" a="1"/>
  <c r="E80" i="1"/>
  <c r="D81" i="1" a="1"/>
  <c r="E81" i="1"/>
  <c r="D82" i="1" a="1"/>
  <c r="E82" i="1"/>
  <c r="D83" i="1" a="1"/>
  <c r="E83" i="1"/>
  <c r="D84" i="1" a="1"/>
  <c r="E84" i="1"/>
  <c r="D85" i="1" a="1"/>
  <c r="E85" i="1"/>
  <c r="D86" i="1" a="1"/>
  <c r="E86" i="1"/>
  <c r="D87" i="1" a="1"/>
  <c r="E87" i="1"/>
  <c r="D88" i="1" a="1"/>
  <c r="E88" i="1"/>
  <c r="D89" i="1" a="1"/>
  <c r="D90" i="1" a="1"/>
  <c r="E90" i="1"/>
  <c r="D91" i="1" a="1"/>
  <c r="E91" i="1"/>
  <c r="D92" i="1" a="1"/>
  <c r="E92" i="1"/>
  <c r="D93" i="1" a="1"/>
  <c r="E93" i="1"/>
  <c r="D94" i="1" a="1"/>
  <c r="E94" i="1"/>
  <c r="D95" i="1" a="1"/>
  <c r="E95" i="1"/>
  <c r="D96" i="1" a="1"/>
  <c r="E96" i="1"/>
  <c r="D97" i="1" a="1"/>
  <c r="E97" i="1"/>
  <c r="D98" i="1" a="1"/>
  <c r="E98" i="1"/>
  <c r="D99" i="1" a="1"/>
  <c r="E99" i="1"/>
  <c r="D100" i="1" a="1"/>
  <c r="E100" i="1"/>
  <c r="D101" i="1" a="1"/>
  <c r="E101" i="1"/>
  <c r="D102" i="1" a="1"/>
  <c r="E102" i="1"/>
  <c r="D103" i="1" a="1"/>
  <c r="E103" i="1"/>
  <c r="D104" i="1" a="1"/>
  <c r="E104" i="1"/>
  <c r="D105" i="1" a="1"/>
  <c r="E105" i="1"/>
  <c r="D106" i="1" a="1"/>
  <c r="E106" i="1"/>
  <c r="D107" i="1" a="1"/>
  <c r="E107" i="1"/>
  <c r="D108" i="1" a="1"/>
  <c r="E108" i="1"/>
  <c r="D109" i="1" a="1"/>
  <c r="E109" i="1"/>
  <c r="D110" i="1" a="1"/>
  <c r="E110" i="1"/>
  <c r="D111" i="1" a="1"/>
  <c r="E111" i="1"/>
  <c r="D112" i="1" a="1"/>
  <c r="E112" i="1"/>
  <c r="D113" i="1" a="1"/>
  <c r="D114" i="1" a="1"/>
  <c r="E114" i="1"/>
  <c r="D115" i="1" a="1"/>
  <c r="E115" i="1"/>
  <c r="D116" i="1" a="1"/>
  <c r="E116" i="1"/>
  <c r="D117" i="1" a="1"/>
  <c r="E117" i="1"/>
  <c r="D118" i="1" a="1"/>
  <c r="E118" i="1"/>
  <c r="D119" i="1" a="1"/>
  <c r="E119" i="1"/>
  <c r="D120" i="1" a="1"/>
  <c r="E120" i="1"/>
  <c r="D121" i="1" a="1"/>
  <c r="E121" i="1"/>
  <c r="D122" i="1" a="1"/>
  <c r="E122" i="1"/>
  <c r="D123" i="1" a="1"/>
  <c r="E123" i="1"/>
  <c r="D124" i="1" a="1"/>
  <c r="E124" i="1"/>
  <c r="D125" i="1" a="1"/>
  <c r="E125" i="1"/>
  <c r="D126" i="1" a="1"/>
  <c r="E126" i="1"/>
  <c r="D127" i="1" a="1"/>
  <c r="E127" i="1"/>
  <c r="D128" i="1" a="1"/>
  <c r="E128" i="1"/>
  <c r="D129" i="1" a="1"/>
  <c r="E129" i="1"/>
  <c r="D130" i="1" a="1"/>
  <c r="E130" i="1"/>
  <c r="D131" i="1" a="1"/>
  <c r="E131" i="1"/>
  <c r="D132" i="1" a="1"/>
  <c r="E132" i="1"/>
  <c r="D133" i="1" a="1"/>
  <c r="E133" i="1"/>
  <c r="D134" i="1" a="1"/>
  <c r="D135" i="1" a="1"/>
  <c r="E135" i="1"/>
  <c r="D136" i="1" a="1"/>
  <c r="E136" i="1"/>
  <c r="D137" i="1" a="1"/>
  <c r="E137" i="1"/>
  <c r="D138" i="1" a="1"/>
  <c r="E138" i="1"/>
  <c r="D139" i="1" a="1"/>
  <c r="E139" i="1"/>
  <c r="D140" i="1" a="1"/>
  <c r="E140" i="1"/>
  <c r="D141" i="1" a="1"/>
  <c r="E141" i="1"/>
  <c r="D142" i="1" a="1"/>
  <c r="E142" i="1"/>
  <c r="D143" i="1" a="1"/>
  <c r="E143" i="1"/>
  <c r="D144" i="1" a="1"/>
  <c r="E144" i="1"/>
  <c r="D145" i="1" a="1"/>
  <c r="E145" i="1"/>
  <c r="D146" i="1" a="1"/>
  <c r="E146" i="1"/>
  <c r="D147" i="1" a="1"/>
  <c r="E147" i="1"/>
  <c r="D148" i="1" a="1"/>
  <c r="E148" i="1"/>
  <c r="D149" i="1" a="1"/>
  <c r="D150" i="1" a="1"/>
  <c r="E150" i="1"/>
  <c r="D151" i="1" a="1"/>
  <c r="E151" i="1"/>
  <c r="D152" i="1" a="1"/>
  <c r="E152" i="1"/>
  <c r="D153" i="1" a="1"/>
  <c r="D154" i="1" a="1"/>
  <c r="E154" i="1"/>
  <c r="D155" i="1" a="1"/>
  <c r="E155" i="1"/>
  <c r="D156" i="1" a="1"/>
  <c r="E156" i="1"/>
  <c r="D157" i="1" a="1"/>
  <c r="E157" i="1"/>
  <c r="D158" i="1" a="1"/>
  <c r="E158" i="1"/>
  <c r="D159" i="1" a="1"/>
  <c r="E159" i="1"/>
  <c r="D160" i="1" a="1"/>
  <c r="E160" i="1"/>
  <c r="D161" i="1" a="1"/>
  <c r="E161" i="1"/>
  <c r="D162" i="1" a="1"/>
  <c r="E162" i="1"/>
  <c r="D163" i="1" a="1"/>
  <c r="E163" i="1"/>
  <c r="D164" i="1" a="1"/>
  <c r="E164" i="1"/>
  <c r="D165" i="1" a="1"/>
  <c r="E165" i="1"/>
  <c r="D166" i="1" a="1"/>
  <c r="E166" i="1"/>
  <c r="D167" i="1" a="1"/>
  <c r="E167" i="1"/>
  <c r="D168" i="1" a="1"/>
  <c r="E168" i="1"/>
  <c r="D169" i="1" a="1"/>
  <c r="E169" i="1"/>
  <c r="D170" i="1" a="1"/>
  <c r="E170" i="1"/>
  <c r="D171" i="1" a="1"/>
  <c r="E171" i="1"/>
  <c r="D172" i="1" a="1"/>
  <c r="E172" i="1"/>
  <c r="D173" i="1" a="1"/>
  <c r="E173" i="1"/>
  <c r="D174" i="1" a="1"/>
  <c r="E174" i="1"/>
  <c r="D175" i="1" a="1"/>
  <c r="E175" i="1"/>
  <c r="D176" i="1" a="1"/>
  <c r="E176" i="1"/>
  <c r="D177" i="1" a="1"/>
  <c r="D178" i="1" a="1"/>
  <c r="E178" i="1"/>
  <c r="D179" i="1" a="1"/>
  <c r="E179" i="1"/>
  <c r="D180" i="1" a="1"/>
  <c r="E180" i="1"/>
  <c r="D181" i="1" a="1"/>
  <c r="E181" i="1"/>
  <c r="D182" i="1" a="1"/>
  <c r="D183" i="1" a="1"/>
  <c r="E183" i="1"/>
  <c r="D184" i="1" a="1"/>
  <c r="E184" i="1"/>
  <c r="D185" i="1" a="1"/>
  <c r="E185" i="1"/>
  <c r="D186" i="1" a="1"/>
  <c r="D187" i="1" a="1"/>
  <c r="E187" i="1"/>
  <c r="D188" i="1" a="1"/>
  <c r="E188" i="1"/>
  <c r="D189" i="1" a="1"/>
  <c r="E189" i="1"/>
  <c r="D190" i="1" a="1"/>
  <c r="E190" i="1"/>
  <c r="D191" i="1" a="1"/>
  <c r="E191" i="1"/>
  <c r="D192" i="1" a="1"/>
  <c r="E192" i="1"/>
  <c r="D193" i="1" a="1"/>
  <c r="D194" i="1" a="1"/>
  <c r="D195" i="1" a="1"/>
  <c r="E195" i="1"/>
  <c r="D196" i="1" a="1"/>
  <c r="E196" i="1"/>
  <c r="D197" i="1" a="1"/>
  <c r="E197" i="1"/>
  <c r="D198" i="1" a="1"/>
  <c r="E198" i="1"/>
  <c r="D199" i="1" a="1"/>
  <c r="E199" i="1"/>
  <c r="D200" i="1" a="1"/>
  <c r="E200" i="1"/>
  <c r="D201" i="1" a="1"/>
  <c r="E201" i="1"/>
  <c r="D202" i="1" a="1"/>
  <c r="E202" i="1"/>
  <c r="D203" i="1" a="1"/>
  <c r="E203" i="1"/>
  <c r="D204" i="1" a="1"/>
  <c r="E204" i="1"/>
  <c r="D205" i="1" a="1"/>
  <c r="E205" i="1"/>
  <c r="D206" i="1" a="1"/>
  <c r="E206" i="1"/>
  <c r="D207" i="1" a="1"/>
  <c r="E207" i="1"/>
  <c r="D208" i="1" a="1"/>
  <c r="E208" i="1"/>
  <c r="D209" i="1" a="1"/>
  <c r="E209" i="1"/>
  <c r="D210" i="1" a="1"/>
  <c r="E210" i="1"/>
  <c r="D211" i="1" a="1"/>
  <c r="E211" i="1"/>
  <c r="D212" i="1" a="1"/>
  <c r="E212" i="1"/>
  <c r="D213" i="1" a="1"/>
  <c r="E213" i="1"/>
  <c r="D214" i="1" a="1"/>
  <c r="E214" i="1"/>
  <c r="D215" i="1" a="1"/>
  <c r="E215" i="1"/>
  <c r="D216" i="1" a="1"/>
  <c r="E216" i="1"/>
  <c r="D217" i="1" a="1"/>
  <c r="E217" i="1"/>
  <c r="D218" i="1" a="1"/>
  <c r="E218" i="1"/>
  <c r="D219" i="1" a="1"/>
  <c r="E219" i="1"/>
  <c r="D220" i="1" a="1"/>
  <c r="E220" i="1"/>
  <c r="D221" i="1" a="1"/>
  <c r="E221" i="1"/>
  <c r="D222" i="1" a="1"/>
  <c r="E222" i="1"/>
  <c r="D223" i="1" a="1"/>
  <c r="E223" i="1"/>
  <c r="D224" i="1" a="1"/>
  <c r="E224" i="1"/>
  <c r="D225" i="1" a="1"/>
  <c r="E225" i="1"/>
  <c r="D226" i="1" a="1"/>
  <c r="E226" i="1"/>
  <c r="D227" i="1" a="1"/>
  <c r="E227" i="1"/>
  <c r="D228" i="1" a="1"/>
  <c r="E228" i="1"/>
  <c r="D229" i="1" a="1"/>
  <c r="E229" i="1"/>
  <c r="D230" i="1" a="1"/>
  <c r="E230" i="1"/>
  <c r="D231" i="1" a="1"/>
  <c r="E231" i="1"/>
  <c r="D232" i="1" a="1"/>
  <c r="E232" i="1"/>
  <c r="D233" i="1" a="1"/>
  <c r="E233" i="1"/>
  <c r="D234" i="1" a="1"/>
  <c r="E234" i="1"/>
  <c r="D235" i="1" a="1"/>
  <c r="E235" i="1"/>
  <c r="D236" i="1" a="1"/>
  <c r="E236" i="1"/>
  <c r="D237" i="1" a="1"/>
  <c r="E237" i="1"/>
  <c r="D238" i="1" a="1"/>
  <c r="E238" i="1"/>
  <c r="D239" i="1" a="1"/>
  <c r="E239" i="1"/>
  <c r="D240" i="1" a="1"/>
  <c r="E240" i="1"/>
  <c r="D241" i="1" a="1"/>
  <c r="E241" i="1"/>
  <c r="D242" i="1" a="1"/>
  <c r="E242" i="1"/>
  <c r="D243" i="1" a="1"/>
  <c r="E243" i="1"/>
  <c r="D244" i="1" a="1"/>
  <c r="E244" i="1"/>
  <c r="D245" i="1" a="1"/>
  <c r="E245" i="1"/>
  <c r="D246" i="1" a="1"/>
  <c r="E246" i="1"/>
  <c r="D247" i="1" a="1"/>
  <c r="E247" i="1"/>
  <c r="D248" i="1" a="1"/>
  <c r="E248" i="1"/>
  <c r="D249" i="1" a="1"/>
  <c r="E249" i="1"/>
  <c r="D250" i="1" a="1"/>
  <c r="E250" i="1"/>
  <c r="D251" i="1" a="1"/>
  <c r="E251" i="1"/>
  <c r="D252" i="1" a="1"/>
  <c r="E252" i="1"/>
  <c r="D253" i="1" a="1"/>
  <c r="E253" i="1"/>
  <c r="D254" i="1" a="1"/>
  <c r="E254" i="1"/>
  <c r="D255" i="1" a="1"/>
  <c r="E255" i="1"/>
  <c r="D256" i="1" a="1"/>
  <c r="E256" i="1"/>
  <c r="D257" i="1" a="1"/>
  <c r="E257" i="1"/>
  <c r="D258" i="1" a="1"/>
  <c r="E258" i="1"/>
  <c r="D259" i="1" a="1"/>
  <c r="E259" i="1"/>
  <c r="D260" i="1" a="1"/>
  <c r="E260" i="1"/>
  <c r="D261" i="1" a="1"/>
  <c r="E261" i="1"/>
  <c r="D262" i="1" a="1"/>
  <c r="E262" i="1"/>
  <c r="D263" i="1" a="1"/>
  <c r="E263" i="1"/>
  <c r="D264" i="1" a="1"/>
  <c r="E264" i="1"/>
  <c r="D265" i="1" a="1"/>
  <c r="E265" i="1"/>
  <c r="D266" i="1" a="1"/>
  <c r="E266" i="1"/>
  <c r="D267" i="1" a="1"/>
  <c r="E267" i="1"/>
  <c r="D268" i="1" a="1"/>
  <c r="E268" i="1"/>
  <c r="D269" i="1" a="1"/>
  <c r="E269" i="1"/>
  <c r="D270" i="1" a="1"/>
  <c r="E270" i="1"/>
  <c r="D271" i="1" a="1"/>
  <c r="E271" i="1"/>
  <c r="D272" i="1" a="1"/>
  <c r="E272" i="1"/>
  <c r="D273" i="1" a="1"/>
  <c r="E273" i="1"/>
  <c r="D274" i="1" a="1"/>
  <c r="E274" i="1"/>
  <c r="D275" i="1" a="1"/>
  <c r="E275" i="1"/>
  <c r="D276" i="1" a="1"/>
  <c r="E276" i="1"/>
  <c r="D277" i="1" a="1"/>
  <c r="E277" i="1"/>
  <c r="D278" i="1" a="1"/>
  <c r="E278" i="1"/>
  <c r="D279" i="1" a="1"/>
  <c r="E279" i="1"/>
  <c r="D280" i="1" a="1"/>
  <c r="E280" i="1"/>
  <c r="D281" i="1" a="1"/>
  <c r="E281" i="1"/>
  <c r="D282" i="1" a="1"/>
  <c r="E282" i="1"/>
  <c r="D283" i="1" a="1"/>
  <c r="E283" i="1"/>
  <c r="D284" i="1" a="1"/>
  <c r="E284" i="1"/>
  <c r="D285" i="1" a="1"/>
  <c r="E285" i="1"/>
  <c r="D286" i="1" a="1"/>
  <c r="E286" i="1"/>
  <c r="D287" i="1" a="1"/>
  <c r="E287" i="1"/>
  <c r="D288" i="1" a="1"/>
  <c r="E288" i="1"/>
  <c r="D289" i="1" a="1"/>
  <c r="E289" i="1"/>
  <c r="D290" i="1" a="1"/>
  <c r="E290" i="1"/>
  <c r="D291" i="1" a="1"/>
  <c r="E291" i="1"/>
  <c r="D292" i="1" a="1"/>
  <c r="E292" i="1"/>
  <c r="D293" i="1" a="1"/>
  <c r="E293" i="1"/>
  <c r="D294" i="1" a="1"/>
  <c r="E294" i="1"/>
  <c r="D295" i="1" a="1"/>
  <c r="E295" i="1"/>
  <c r="D296" i="1" a="1"/>
  <c r="E296" i="1"/>
  <c r="D297" i="1" a="1"/>
  <c r="E297" i="1"/>
  <c r="D298" i="1" a="1"/>
  <c r="E298" i="1"/>
  <c r="D299" i="1" a="1"/>
  <c r="E299" i="1"/>
  <c r="D300" i="1" a="1"/>
  <c r="E300" i="1"/>
  <c r="D301" i="1" a="1"/>
  <c r="E301" i="1"/>
  <c r="D302" i="1" a="1"/>
  <c r="E302" i="1"/>
  <c r="D303" i="1" a="1"/>
  <c r="E303" i="1"/>
  <c r="D304" i="1" a="1"/>
  <c r="E304" i="1"/>
  <c r="D305" i="1" a="1"/>
  <c r="E305" i="1"/>
  <c r="D306" i="1" a="1"/>
  <c r="E306" i="1"/>
  <c r="D307" i="1" a="1"/>
  <c r="E307" i="1"/>
  <c r="D308" i="1" a="1"/>
  <c r="E308" i="1"/>
  <c r="D309" i="1" a="1"/>
  <c r="E309" i="1"/>
  <c r="D310" i="1" a="1"/>
  <c r="E310" i="1"/>
  <c r="D311" i="1" a="1"/>
  <c r="E311" i="1"/>
  <c r="D312" i="1" a="1"/>
  <c r="E312" i="1"/>
  <c r="D313" i="1" a="1"/>
  <c r="E313" i="1"/>
  <c r="D314" i="1" a="1"/>
  <c r="E314" i="1"/>
  <c r="D315" i="1" a="1"/>
  <c r="E315" i="1"/>
  <c r="D316" i="1" a="1"/>
  <c r="E316" i="1"/>
  <c r="D317" i="1" a="1"/>
  <c r="E317" i="1"/>
  <c r="D318" i="1" a="1"/>
  <c r="E318" i="1"/>
  <c r="D319" i="1" a="1"/>
  <c r="E319" i="1"/>
  <c r="D320" i="1" a="1"/>
  <c r="E320" i="1"/>
  <c r="D321" i="1" a="1"/>
  <c r="E321" i="1"/>
  <c r="D322" i="1" a="1"/>
  <c r="E322" i="1"/>
  <c r="D323" i="1" a="1"/>
  <c r="E323" i="1"/>
  <c r="D324" i="1" a="1"/>
  <c r="E324" i="1"/>
  <c r="D325" i="1" a="1"/>
  <c r="E325" i="1"/>
  <c r="D326" i="1" a="1"/>
  <c r="E326" i="1"/>
  <c r="D327" i="1" a="1"/>
  <c r="E327" i="1"/>
  <c r="D328" i="1" a="1"/>
  <c r="E328" i="1"/>
  <c r="D329" i="1" a="1"/>
  <c r="E329" i="1"/>
  <c r="D330" i="1" a="1"/>
  <c r="E330" i="1"/>
  <c r="D331" i="1" a="1"/>
  <c r="E331" i="1"/>
  <c r="D332" i="1" a="1"/>
  <c r="E332" i="1"/>
  <c r="D333" i="1" a="1"/>
  <c r="E333" i="1"/>
  <c r="D334" i="1" a="1"/>
  <c r="E334" i="1"/>
  <c r="D335" i="1" a="1"/>
  <c r="E335" i="1"/>
  <c r="D336" i="1" a="1"/>
  <c r="E336" i="1"/>
  <c r="D337" i="1" a="1"/>
  <c r="E337" i="1"/>
  <c r="D338" i="1" a="1"/>
  <c r="E338" i="1"/>
  <c r="D339" i="1" a="1"/>
  <c r="E339" i="1"/>
  <c r="D340" i="1" a="1"/>
  <c r="E340" i="1"/>
  <c r="D341" i="1" a="1"/>
  <c r="E341" i="1"/>
  <c r="D342" i="1" a="1"/>
  <c r="E342" i="1"/>
  <c r="D343" i="1" a="1"/>
  <c r="E343" i="1"/>
  <c r="D344" i="1" a="1"/>
  <c r="E344" i="1"/>
  <c r="D345" i="1" a="1"/>
  <c r="E345" i="1"/>
  <c r="D346" i="1" a="1"/>
  <c r="E346" i="1"/>
  <c r="D347" i="1" a="1"/>
  <c r="E347" i="1"/>
  <c r="D348" i="1" a="1"/>
  <c r="E348" i="1"/>
  <c r="D349" i="1" a="1"/>
  <c r="E349" i="1"/>
  <c r="D350" i="1" a="1"/>
  <c r="E350" i="1"/>
  <c r="D351" i="1" a="1"/>
  <c r="E351" i="1"/>
  <c r="D352" i="1" a="1"/>
  <c r="E352" i="1"/>
  <c r="D353" i="1" a="1"/>
  <c r="E353" i="1"/>
  <c r="D354" i="1" a="1"/>
  <c r="E354" i="1"/>
  <c r="D355" i="1" a="1"/>
  <c r="E355" i="1"/>
  <c r="D356" i="1" a="1"/>
  <c r="E356" i="1"/>
  <c r="D357" i="1" a="1"/>
  <c r="E357" i="1"/>
  <c r="D358" i="1" a="1"/>
  <c r="E358" i="1"/>
  <c r="D359" i="1" a="1"/>
  <c r="E359" i="1"/>
  <c r="D360" i="1" a="1"/>
  <c r="E360" i="1"/>
  <c r="D361" i="1" a="1"/>
  <c r="E361" i="1"/>
  <c r="D362" i="1" a="1"/>
  <c r="E362" i="1"/>
  <c r="D363" i="1" a="1"/>
  <c r="E363" i="1"/>
  <c r="D364" i="1" a="1"/>
  <c r="E364" i="1"/>
  <c r="D365" i="1" a="1"/>
  <c r="E365" i="1"/>
  <c r="D366" i="1" a="1"/>
  <c r="E366" i="1"/>
  <c r="D367" i="1" a="1"/>
  <c r="E367" i="1"/>
  <c r="D368" i="1" a="1"/>
  <c r="E368" i="1"/>
  <c r="D369" i="1" a="1"/>
  <c r="E369" i="1"/>
  <c r="D370" i="1" a="1"/>
  <c r="E370" i="1"/>
  <c r="D371" i="1" a="1"/>
  <c r="E371" i="1"/>
  <c r="D372" i="1" a="1"/>
  <c r="E372" i="1"/>
  <c r="D373" i="1" a="1"/>
  <c r="E373" i="1"/>
  <c r="D374" i="1" a="1"/>
  <c r="E374" i="1"/>
  <c r="D375" i="1" a="1"/>
  <c r="E375" i="1"/>
  <c r="D376" i="1" a="1"/>
  <c r="E376" i="1"/>
  <c r="D377" i="1" a="1"/>
  <c r="E377" i="1"/>
  <c r="D378" i="1" a="1"/>
  <c r="E378" i="1"/>
  <c r="D379" i="1" a="1"/>
  <c r="E379" i="1"/>
  <c r="D380" i="1" a="1"/>
  <c r="E380" i="1"/>
  <c r="D381" i="1" a="1"/>
  <c r="E381" i="1"/>
  <c r="D382" i="1" a="1"/>
  <c r="E382" i="1"/>
  <c r="D383" i="1" a="1"/>
  <c r="E383" i="1"/>
  <c r="D384" i="1" a="1"/>
  <c r="E384" i="1"/>
  <c r="D385" i="1" a="1"/>
  <c r="E385" i="1"/>
  <c r="D386" i="1" a="1"/>
  <c r="E386" i="1"/>
  <c r="D387" i="1" a="1"/>
  <c r="E387" i="1"/>
  <c r="D388" i="1" a="1"/>
  <c r="E388" i="1"/>
  <c r="D389" i="1" a="1"/>
  <c r="E389" i="1"/>
  <c r="D390" i="1" a="1"/>
  <c r="E390" i="1"/>
  <c r="D391" i="1" a="1"/>
  <c r="E391" i="1"/>
  <c r="D392" i="1" a="1"/>
  <c r="E392" i="1"/>
  <c r="D393" i="1" a="1"/>
  <c r="E393" i="1"/>
  <c r="D394" i="1" a="1"/>
  <c r="E394" i="1"/>
  <c r="D395" i="1" a="1"/>
  <c r="E395" i="1"/>
  <c r="D396" i="1" a="1"/>
  <c r="E396" i="1"/>
  <c r="D397" i="1" a="1"/>
  <c r="E397" i="1"/>
  <c r="D398" i="1" a="1"/>
  <c r="E398" i="1"/>
  <c r="D399" i="1" a="1"/>
  <c r="E399" i="1"/>
  <c r="D400" i="1" a="1"/>
  <c r="E400" i="1"/>
  <c r="D401" i="1" a="1"/>
  <c r="E401" i="1"/>
  <c r="D402" i="1" a="1"/>
  <c r="E402" i="1"/>
  <c r="D403" i="1" a="1"/>
  <c r="E403" i="1"/>
  <c r="D404" i="1" a="1"/>
  <c r="E404" i="1"/>
  <c r="D405" i="1" a="1"/>
  <c r="E405" i="1"/>
  <c r="D406" i="1" a="1"/>
  <c r="E406" i="1"/>
  <c r="D407" i="1" a="1"/>
  <c r="E407" i="1"/>
  <c r="D408" i="1" a="1"/>
  <c r="E408" i="1"/>
  <c r="D409" i="1" a="1"/>
  <c r="E409" i="1"/>
  <c r="D410" i="1" a="1"/>
  <c r="E410" i="1"/>
  <c r="D411" i="1" a="1"/>
  <c r="E411" i="1"/>
  <c r="D412" i="1" a="1"/>
  <c r="E412" i="1"/>
  <c r="D413" i="1" a="1"/>
  <c r="E413" i="1"/>
  <c r="D414" i="1" a="1"/>
  <c r="E414" i="1"/>
  <c r="D415" i="1" a="1"/>
  <c r="E415" i="1"/>
  <c r="D416" i="1" a="1"/>
  <c r="D417" i="1" a="1"/>
  <c r="E417" i="1"/>
  <c r="D418" i="1" a="1"/>
  <c r="E418" i="1"/>
  <c r="D419" i="1" a="1"/>
  <c r="E419" i="1"/>
  <c r="D420" i="1" a="1"/>
  <c r="D421" i="1" a="1"/>
  <c r="E421" i="1"/>
  <c r="D422" i="1" a="1"/>
  <c r="E422" i="1"/>
  <c r="D423" i="1" a="1"/>
  <c r="E423" i="1"/>
  <c r="D424" i="1" a="1"/>
  <c r="E424" i="1"/>
  <c r="D425" i="1" a="1"/>
  <c r="E425" i="1"/>
  <c r="D426" i="1" a="1"/>
  <c r="E426" i="1"/>
  <c r="D427" i="1" a="1"/>
  <c r="E427" i="1"/>
  <c r="D428" i="1" a="1"/>
  <c r="E428" i="1"/>
  <c r="D429" i="1" a="1"/>
  <c r="D430" i="1" a="1"/>
  <c r="E430" i="1"/>
  <c r="D431" i="1" a="1"/>
  <c r="E431" i="1"/>
  <c r="D432" i="1" a="1"/>
  <c r="E432" i="1"/>
  <c r="D433" i="1" a="1"/>
  <c r="E433" i="1"/>
  <c r="D434" i="1" a="1"/>
  <c r="E434" i="1"/>
  <c r="D435" i="1" a="1"/>
  <c r="E435" i="1"/>
  <c r="D436" i="1" a="1"/>
  <c r="D437" i="1" a="1"/>
  <c r="E437" i="1"/>
  <c r="D438" i="1" a="1"/>
  <c r="E438" i="1"/>
  <c r="D439" i="1" a="1"/>
  <c r="E439" i="1"/>
  <c r="D440" i="1" a="1"/>
  <c r="E440" i="1"/>
  <c r="D441" i="1" a="1"/>
  <c r="E441" i="1"/>
  <c r="D442" i="1" a="1"/>
  <c r="E442" i="1"/>
  <c r="D443" i="1" a="1"/>
  <c r="E443" i="1"/>
  <c r="D444" i="1" a="1"/>
  <c r="D445" i="1" a="1"/>
  <c r="E445" i="1"/>
  <c r="D446" i="1" a="1"/>
  <c r="E446" i="1"/>
  <c r="D447" i="1" a="1"/>
  <c r="E447" i="1"/>
  <c r="D448" i="1" a="1"/>
  <c r="D449" i="1" a="1"/>
  <c r="E449" i="1"/>
  <c r="D450" i="1" a="1"/>
  <c r="E450" i="1"/>
  <c r="D451" i="1" a="1"/>
  <c r="E451" i="1"/>
  <c r="D452" i="1" a="1"/>
  <c r="E452" i="1"/>
  <c r="D453" i="1" a="1"/>
  <c r="E453" i="1"/>
  <c r="D454" i="1" a="1"/>
  <c r="E454" i="1"/>
  <c r="D455" i="1" a="1"/>
  <c r="E455" i="1"/>
  <c r="D456" i="1" a="1"/>
  <c r="E456" i="1"/>
  <c r="D457" i="1" a="1"/>
  <c r="E457" i="1"/>
  <c r="D458" i="1" a="1"/>
  <c r="E458" i="1"/>
  <c r="D459" i="1" a="1"/>
  <c r="E459" i="1"/>
  <c r="D460" i="1" a="1"/>
  <c r="E460" i="1"/>
  <c r="D461" i="1" a="1"/>
  <c r="D462" i="1" a="1"/>
  <c r="E462" i="1"/>
  <c r="D463" i="1" a="1"/>
  <c r="E463" i="1"/>
  <c r="D464" i="1" a="1"/>
  <c r="E464" i="1"/>
  <c r="D465" i="1" a="1"/>
  <c r="E465" i="1"/>
  <c r="D466" i="1" a="1"/>
  <c r="E466" i="1"/>
  <c r="D467" i="1" a="1"/>
  <c r="E467" i="1"/>
  <c r="D468" i="1" a="1"/>
  <c r="E468" i="1"/>
  <c r="D469" i="1" a="1"/>
  <c r="E469" i="1"/>
  <c r="D470" i="1" a="1"/>
  <c r="E470" i="1"/>
  <c r="D471" i="1" a="1"/>
  <c r="E471" i="1"/>
  <c r="D472" i="1" a="1"/>
  <c r="E472" i="1"/>
  <c r="D473" i="1" a="1"/>
  <c r="E473" i="1"/>
  <c r="D474" i="1" a="1"/>
  <c r="E474" i="1"/>
  <c r="D475" i="1" a="1"/>
  <c r="E475" i="1"/>
  <c r="D476" i="1" a="1"/>
  <c r="E476" i="1"/>
  <c r="D477" i="1" a="1"/>
  <c r="E477" i="1"/>
  <c r="D478" i="1" a="1"/>
  <c r="E478" i="1"/>
  <c r="D479" i="1" a="1"/>
  <c r="E479" i="1"/>
  <c r="D480" i="1" a="1"/>
  <c r="D481" i="1" a="1"/>
  <c r="E481" i="1"/>
  <c r="D482" i="1" a="1"/>
  <c r="E482" i="1"/>
  <c r="D483" i="1" a="1"/>
  <c r="E483" i="1"/>
  <c r="D484" i="1" a="1"/>
  <c r="E484" i="1"/>
  <c r="D485" i="1" a="1"/>
  <c r="E485" i="1"/>
  <c r="D486" i="1" a="1"/>
  <c r="E486" i="1"/>
  <c r="D487" i="1" a="1"/>
  <c r="E487" i="1"/>
  <c r="D488" i="1" a="1"/>
  <c r="E488" i="1"/>
  <c r="D489" i="1" a="1"/>
  <c r="E489" i="1"/>
  <c r="D490" i="1" a="1"/>
  <c r="E490" i="1"/>
  <c r="D491" i="1" a="1"/>
  <c r="E491" i="1"/>
  <c r="D492" i="1" a="1"/>
  <c r="E492" i="1"/>
  <c r="D493" i="1" a="1"/>
  <c r="D494" i="1" a="1"/>
  <c r="E494" i="1"/>
  <c r="D495" i="1" a="1"/>
  <c r="E495" i="1"/>
  <c r="D496" i="1" a="1"/>
  <c r="D497" i="1" a="1"/>
  <c r="E497" i="1"/>
  <c r="D498" i="1" a="1"/>
  <c r="E498" i="1"/>
  <c r="D499" i="1" a="1"/>
  <c r="E499" i="1"/>
  <c r="D500" i="1" a="1"/>
  <c r="D501" i="1" a="1"/>
  <c r="E501" i="1"/>
  <c r="D502" i="1" a="1"/>
  <c r="E502" i="1"/>
  <c r="D503" i="1" a="1"/>
  <c r="E503" i="1"/>
  <c r="D504" i="1" a="1"/>
  <c r="E504" i="1"/>
  <c r="D505" i="1" a="1"/>
  <c r="E505" i="1"/>
  <c r="D506" i="1" a="1"/>
  <c r="E506" i="1"/>
  <c r="D507" i="1" a="1"/>
  <c r="E507" i="1"/>
  <c r="D508" i="1" a="1"/>
  <c r="E508" i="1"/>
  <c r="D509" i="1" a="1"/>
  <c r="E509" i="1"/>
  <c r="D510" i="1" a="1"/>
  <c r="E510" i="1"/>
  <c r="D511" i="1" a="1"/>
  <c r="E511" i="1"/>
  <c r="D512" i="1" a="1"/>
  <c r="E512" i="1"/>
  <c r="D513" i="1" a="1"/>
  <c r="E513" i="1"/>
  <c r="D514" i="1" a="1"/>
  <c r="E514" i="1"/>
  <c r="D515" i="1" a="1"/>
  <c r="E515" i="1"/>
  <c r="D516" i="1" a="1"/>
  <c r="E516" i="1"/>
  <c r="D517" i="1" a="1"/>
  <c r="E517" i="1"/>
  <c r="D518" i="1" a="1"/>
  <c r="E518" i="1"/>
  <c r="D519" i="1" a="1"/>
  <c r="D520" i="1" a="1"/>
  <c r="E520" i="1"/>
  <c r="D521" i="1" a="1"/>
  <c r="E521" i="1"/>
  <c r="D522" i="1" a="1"/>
  <c r="E522" i="1"/>
  <c r="D523" i="1" a="1"/>
  <c r="D524" i="1" a="1"/>
  <c r="E524" i="1"/>
  <c r="D525" i="1" a="1"/>
  <c r="E525" i="1"/>
  <c r="D526" i="1" a="1"/>
  <c r="E526" i="1"/>
  <c r="D527" i="1" a="1"/>
  <c r="E527" i="1"/>
  <c r="D528" i="1" a="1"/>
  <c r="E528" i="1"/>
  <c r="D529" i="1" a="1"/>
  <c r="D530" i="1" a="1"/>
  <c r="E530" i="1"/>
  <c r="D531" i="1" a="1"/>
  <c r="E531" i="1"/>
  <c r="D532" i="1" a="1"/>
  <c r="E532" i="1"/>
  <c r="D533" i="1" a="1"/>
  <c r="E533" i="1"/>
  <c r="D534" i="1" a="1"/>
  <c r="E534" i="1"/>
  <c r="D535" i="1" a="1"/>
  <c r="E535" i="1"/>
  <c r="D536" i="1" a="1"/>
  <c r="E536" i="1"/>
  <c r="D537" i="1" a="1"/>
  <c r="E537" i="1"/>
  <c r="D538" i="1" a="1"/>
  <c r="E538" i="1"/>
  <c r="D539" i="1" a="1"/>
  <c r="E539" i="1"/>
  <c r="D540" i="1" a="1"/>
  <c r="E540" i="1"/>
  <c r="D541" i="1" a="1"/>
  <c r="E541" i="1"/>
  <c r="D542" i="1" a="1"/>
  <c r="E542" i="1"/>
  <c r="D543" i="1" a="1"/>
  <c r="E543" i="1"/>
  <c r="D544" i="1" a="1"/>
  <c r="D545" i="1" a="1"/>
  <c r="E545" i="1"/>
  <c r="D546" i="1" a="1"/>
  <c r="E546" i="1"/>
  <c r="D547" i="1" a="1"/>
  <c r="E547" i="1"/>
  <c r="D548" i="1" a="1"/>
  <c r="E548" i="1"/>
  <c r="D549" i="1" a="1"/>
  <c r="E549" i="1"/>
  <c r="D550" i="1" a="1"/>
  <c r="E550" i="1"/>
  <c r="D551" i="1" a="1"/>
  <c r="E551" i="1"/>
  <c r="D552" i="1" a="1"/>
  <c r="E552" i="1"/>
  <c r="D553" i="1" a="1"/>
  <c r="E553" i="1"/>
  <c r="D554" i="1" a="1"/>
  <c r="E554" i="1"/>
  <c r="D555" i="1" a="1"/>
  <c r="E555" i="1"/>
  <c r="D556" i="1" a="1"/>
  <c r="E556" i="1"/>
  <c r="D557" i="1" a="1"/>
  <c r="E557" i="1"/>
  <c r="D558" i="1" a="1"/>
  <c r="E558" i="1"/>
  <c r="D559" i="1" a="1"/>
  <c r="D560" i="1" a="1"/>
  <c r="E560" i="1"/>
  <c r="D561" i="1" a="1"/>
  <c r="E561" i="1"/>
  <c r="D562" i="1" a="1"/>
  <c r="E562" i="1"/>
  <c r="D563" i="1" a="1"/>
  <c r="E563" i="1"/>
  <c r="D564" i="1" a="1"/>
  <c r="E564" i="1"/>
  <c r="D565" i="1" a="1"/>
  <c r="E565" i="1"/>
  <c r="D566" i="1" a="1"/>
  <c r="E566" i="1"/>
  <c r="D567" i="1" a="1"/>
  <c r="E567" i="1"/>
  <c r="D568" i="1" a="1"/>
  <c r="E568" i="1"/>
  <c r="D569" i="1" a="1"/>
  <c r="E569" i="1"/>
  <c r="D570" i="1" a="1"/>
  <c r="E570" i="1"/>
  <c r="D571" i="1" a="1"/>
  <c r="E571" i="1"/>
  <c r="D572" i="1" a="1"/>
  <c r="E572" i="1"/>
  <c r="D573" i="1" a="1"/>
  <c r="E573" i="1"/>
  <c r="D574" i="1" a="1"/>
  <c r="E574" i="1"/>
  <c r="D575" i="1" a="1"/>
  <c r="E575" i="1"/>
  <c r="D576" i="1" a="1"/>
  <c r="E576" i="1"/>
  <c r="D577" i="1" a="1"/>
  <c r="E577" i="1"/>
  <c r="D578" i="1" a="1"/>
  <c r="E578" i="1"/>
  <c r="D579" i="1" a="1"/>
  <c r="E579" i="1"/>
  <c r="D580" i="1" a="1"/>
  <c r="E580" i="1"/>
  <c r="D581" i="1" a="1"/>
  <c r="E581" i="1"/>
  <c r="D582" i="1" a="1"/>
  <c r="E582" i="1"/>
  <c r="D583" i="1" a="1"/>
  <c r="D584" i="1" a="1"/>
  <c r="E584" i="1"/>
  <c r="D585" i="1" a="1"/>
  <c r="E585" i="1"/>
  <c r="D586" i="1" a="1"/>
  <c r="E586" i="1"/>
  <c r="D587" i="1" a="1"/>
  <c r="E587" i="1"/>
  <c r="D588" i="1" a="1"/>
  <c r="E588" i="1"/>
  <c r="D589" i="1" a="1"/>
  <c r="E589" i="1"/>
  <c r="D590" i="1" a="1"/>
  <c r="E590" i="1"/>
  <c r="D591" i="1" a="1"/>
  <c r="E591" i="1"/>
  <c r="D592" i="1" a="1"/>
  <c r="E592" i="1"/>
  <c r="D593" i="1" a="1"/>
  <c r="E593" i="1"/>
  <c r="D594" i="1" a="1"/>
  <c r="E594" i="1"/>
  <c r="D595" i="1" a="1"/>
  <c r="E595" i="1"/>
  <c r="D596" i="1" a="1"/>
  <c r="E596" i="1"/>
  <c r="D597" i="1" a="1"/>
  <c r="E597" i="1"/>
  <c r="D598" i="1" a="1"/>
  <c r="E598" i="1"/>
  <c r="D599" i="1" a="1"/>
  <c r="E599" i="1"/>
  <c r="D600" i="1" a="1"/>
  <c r="D601" i="1" a="1"/>
  <c r="E601" i="1"/>
  <c r="D602" i="1" a="1"/>
  <c r="E602" i="1"/>
  <c r="D603" i="1" a="1"/>
  <c r="E603" i="1"/>
  <c r="D604" i="1" a="1"/>
  <c r="E604" i="1"/>
  <c r="D605" i="1" a="1"/>
  <c r="E605" i="1"/>
  <c r="D606" i="1" a="1"/>
  <c r="E606" i="1"/>
  <c r="D607" i="1" a="1"/>
  <c r="E607" i="1"/>
  <c r="D608" i="1" a="1"/>
  <c r="E608" i="1"/>
  <c r="D609" i="1" a="1"/>
  <c r="E609" i="1"/>
  <c r="D610" i="1" a="1"/>
  <c r="E610" i="1"/>
  <c r="D611" i="1" a="1"/>
  <c r="E611" i="1"/>
  <c r="D612" i="1" a="1"/>
  <c r="E612" i="1"/>
  <c r="D613" i="1" a="1"/>
  <c r="E613" i="1"/>
  <c r="D614" i="1" a="1"/>
  <c r="E614" i="1"/>
  <c r="D615" i="1" a="1"/>
  <c r="E615" i="1"/>
  <c r="D616" i="1" a="1"/>
  <c r="E616" i="1"/>
  <c r="D617" i="1" a="1"/>
  <c r="E617" i="1"/>
  <c r="D618" i="1" a="1"/>
  <c r="E618" i="1"/>
  <c r="D619" i="1" a="1"/>
  <c r="E619" i="1"/>
  <c r="D620" i="1" a="1"/>
  <c r="E620" i="1"/>
  <c r="D621" i="1" a="1"/>
  <c r="E621" i="1"/>
  <c r="D622" i="1" a="1"/>
  <c r="E622" i="1"/>
  <c r="D623" i="1" a="1"/>
  <c r="E623" i="1"/>
  <c r="D624" i="1" a="1"/>
  <c r="E624" i="1"/>
  <c r="D625" i="1" a="1"/>
  <c r="E625" i="1"/>
  <c r="D626" i="1" a="1"/>
  <c r="E626" i="1"/>
  <c r="D627" i="1" a="1"/>
  <c r="E627" i="1"/>
  <c r="D628" i="1" a="1"/>
  <c r="E628" i="1"/>
  <c r="D629" i="1" a="1"/>
  <c r="E629" i="1"/>
  <c r="D630" i="1" a="1"/>
  <c r="E630" i="1"/>
  <c r="D631" i="1" a="1"/>
  <c r="E631" i="1"/>
  <c r="D632" i="1" a="1"/>
  <c r="E632" i="1"/>
  <c r="D633" i="1" a="1"/>
  <c r="E633" i="1"/>
  <c r="D634" i="1" a="1"/>
  <c r="E634" i="1"/>
  <c r="D635" i="1" a="1"/>
  <c r="E635" i="1"/>
  <c r="D636" i="1" a="1"/>
  <c r="E636" i="1"/>
  <c r="D637" i="1" a="1"/>
  <c r="E637" i="1"/>
  <c r="D638" i="1" a="1"/>
  <c r="E638" i="1"/>
  <c r="D639" i="1" a="1"/>
  <c r="E639" i="1"/>
  <c r="D640" i="1" a="1"/>
  <c r="E640" i="1"/>
  <c r="D641" i="1" a="1"/>
  <c r="E641" i="1"/>
  <c r="D642" i="1" a="1"/>
  <c r="E642" i="1"/>
  <c r="D643" i="1" a="1"/>
  <c r="E643" i="1"/>
  <c r="D644" i="1" a="1"/>
  <c r="E644" i="1"/>
  <c r="D645" i="1" a="1"/>
  <c r="E645" i="1"/>
  <c r="D646" i="1" a="1"/>
  <c r="E646" i="1"/>
  <c r="D647" i="1" a="1"/>
  <c r="E647" i="1"/>
  <c r="D648" i="1" a="1"/>
  <c r="E648" i="1"/>
  <c r="D649" i="1" a="1"/>
  <c r="E649" i="1"/>
  <c r="D650" i="1" a="1"/>
  <c r="E650" i="1"/>
  <c r="D651" i="1" a="1"/>
  <c r="E651" i="1"/>
  <c r="D652" i="1" a="1"/>
  <c r="E652" i="1"/>
  <c r="D653" i="1" a="1"/>
  <c r="E653" i="1"/>
  <c r="D654" i="1" a="1"/>
  <c r="E654" i="1"/>
  <c r="D655" i="1" a="1"/>
  <c r="E655" i="1"/>
  <c r="D656" i="1" a="1"/>
  <c r="E656" i="1"/>
  <c r="D657" i="1" a="1"/>
  <c r="E657" i="1"/>
  <c r="D658" i="1" a="1"/>
  <c r="E658" i="1"/>
  <c r="D659" i="1" a="1"/>
  <c r="E659" i="1"/>
  <c r="D660" i="1" a="1"/>
  <c r="E660" i="1"/>
  <c r="D661" i="1" a="1"/>
  <c r="E661" i="1"/>
  <c r="D662" i="1" a="1"/>
  <c r="E662" i="1"/>
  <c r="D663" i="1" a="1"/>
  <c r="E663" i="1"/>
  <c r="D664" i="1" a="1"/>
  <c r="E664" i="1"/>
  <c r="D665" i="1" a="1"/>
  <c r="E665" i="1"/>
  <c r="D666" i="1" a="1"/>
  <c r="E666" i="1"/>
  <c r="D667" i="1" a="1"/>
  <c r="E667" i="1"/>
  <c r="D668" i="1" a="1"/>
  <c r="E668" i="1"/>
  <c r="D669" i="1" a="1"/>
  <c r="E669" i="1"/>
  <c r="D670" i="1" a="1"/>
  <c r="E670" i="1"/>
  <c r="D671" i="1" a="1"/>
  <c r="E671" i="1"/>
  <c r="D672" i="1" a="1"/>
  <c r="E672" i="1"/>
  <c r="D673" i="1" a="1"/>
  <c r="E673" i="1"/>
  <c r="D674" i="1" a="1"/>
  <c r="E674" i="1"/>
  <c r="D675" i="1" a="1"/>
  <c r="E675" i="1"/>
  <c r="D676" i="1" a="1"/>
  <c r="E676" i="1"/>
  <c r="D677" i="1" a="1"/>
  <c r="E677" i="1"/>
  <c r="D678" i="1" a="1"/>
  <c r="E678" i="1"/>
  <c r="D679" i="1" a="1"/>
  <c r="E679" i="1"/>
  <c r="D680" i="1" a="1"/>
  <c r="E680" i="1"/>
  <c r="D681" i="1" a="1"/>
  <c r="E681" i="1"/>
  <c r="D682" i="1" a="1"/>
  <c r="E682" i="1"/>
  <c r="D683" i="1" a="1"/>
  <c r="E683" i="1"/>
  <c r="D684" i="1" a="1"/>
  <c r="E684" i="1"/>
  <c r="D685" i="1" a="1"/>
  <c r="E685" i="1"/>
  <c r="D686" i="1" a="1"/>
  <c r="E686" i="1"/>
  <c r="D687" i="1" a="1"/>
  <c r="E687" i="1"/>
  <c r="D688" i="1" a="1"/>
  <c r="E688" i="1"/>
  <c r="D689" i="1" a="1"/>
  <c r="E689" i="1"/>
  <c r="D690" i="1" a="1"/>
  <c r="E690" i="1"/>
  <c r="D691" i="1" a="1"/>
  <c r="E691" i="1"/>
  <c r="D692" i="1" a="1"/>
  <c r="E692" i="1"/>
  <c r="D693" i="1" a="1"/>
  <c r="E693" i="1"/>
  <c r="D694" i="1" a="1"/>
  <c r="E694" i="1"/>
  <c r="D695" i="1" a="1"/>
  <c r="E695" i="1"/>
  <c r="D696" i="1" a="1"/>
  <c r="E696" i="1"/>
  <c r="D697" i="1" a="1"/>
  <c r="E697" i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B32" i="1" a="1"/>
  <c r="B33" i="1" a="1"/>
  <c r="B34" i="1" a="1"/>
  <c r="B35" i="1" a="1"/>
  <c r="B36" i="1" a="1"/>
  <c r="B37" i="1" a="1"/>
  <c r="B38" i="1" a="1"/>
  <c r="B39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50" i="1" a="1"/>
  <c r="B51" i="1" a="1"/>
  <c r="B52" i="1" a="1"/>
  <c r="B53" i="1" a="1"/>
  <c r="B54" i="1" a="1"/>
  <c r="B55" i="1" a="1"/>
  <c r="B56" i="1" a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75" i="1" a="1"/>
  <c r="B76" i="1" a="1"/>
  <c r="B77" i="1" a="1"/>
  <c r="B78" i="1" a="1"/>
  <c r="B79" i="1" a="1"/>
  <c r="B80" i="1" a="1"/>
  <c r="B81" i="1" a="1"/>
  <c r="B82" i="1" a="1"/>
  <c r="B83" i="1" a="1"/>
  <c r="B84" i="1" a="1"/>
  <c r="B85" i="1" a="1"/>
  <c r="B86" i="1" a="1"/>
  <c r="B87" i="1" a="1"/>
  <c r="B88" i="1" a="1"/>
  <c r="B89" i="1" a="1"/>
  <c r="B90" i="1" a="1"/>
  <c r="B91" i="1" a="1"/>
  <c r="B92" i="1" a="1"/>
  <c r="B93" i="1" a="1"/>
  <c r="B94" i="1" a="1"/>
  <c r="B95" i="1" a="1"/>
  <c r="B96" i="1" a="1"/>
  <c r="B97" i="1" a="1"/>
  <c r="B98" i="1" a="1"/>
  <c r="B99" i="1" a="1"/>
  <c r="B100" i="1" a="1"/>
  <c r="B101" i="1" a="1"/>
  <c r="B102" i="1" a="1"/>
  <c r="B103" i="1" a="1"/>
  <c r="B104" i="1" a="1"/>
  <c r="B105" i="1" a="1"/>
  <c r="B106" i="1" a="1"/>
  <c r="B107" i="1" a="1"/>
  <c r="B108" i="1" a="1"/>
  <c r="B109" i="1" a="1"/>
  <c r="B110" i="1" a="1"/>
  <c r="B111" i="1" a="1"/>
  <c r="B112" i="1" a="1"/>
  <c r="B113" i="1" a="1"/>
  <c r="B114" i="1" a="1"/>
  <c r="B115" i="1" a="1"/>
  <c r="B116" i="1" a="1"/>
  <c r="B117" i="1" a="1"/>
  <c r="B118" i="1" a="1"/>
  <c r="B119" i="1" a="1"/>
  <c r="B120" i="1" a="1"/>
  <c r="B121" i="1" a="1"/>
  <c r="B122" i="1" a="1"/>
  <c r="B123" i="1" a="1"/>
  <c r="B124" i="1" a="1"/>
  <c r="B125" i="1" a="1"/>
  <c r="B126" i="1" a="1"/>
  <c r="B127" i="1" a="1"/>
  <c r="B128" i="1" a="1"/>
  <c r="B129" i="1" a="1"/>
  <c r="B130" i="1" a="1"/>
  <c r="B131" i="1" a="1"/>
  <c r="B132" i="1" a="1"/>
  <c r="B133" i="1" a="1"/>
  <c r="B134" i="1" a="1"/>
  <c r="B135" i="1" a="1"/>
  <c r="B136" i="1" a="1"/>
  <c r="B137" i="1" a="1"/>
  <c r="B138" i="1" a="1"/>
  <c r="B139" i="1" a="1"/>
  <c r="B140" i="1" a="1"/>
  <c r="B141" i="1" a="1"/>
  <c r="B142" i="1" a="1"/>
  <c r="B143" i="1" a="1"/>
  <c r="B144" i="1" a="1"/>
  <c r="B145" i="1" a="1"/>
  <c r="B146" i="1" a="1"/>
  <c r="B147" i="1" a="1"/>
  <c r="B148" i="1" a="1"/>
  <c r="B149" i="1" a="1"/>
  <c r="B150" i="1" a="1"/>
  <c r="B151" i="1" a="1"/>
  <c r="B152" i="1" a="1"/>
  <c r="B153" i="1" a="1"/>
  <c r="B154" i="1" a="1"/>
  <c r="B155" i="1" a="1"/>
  <c r="B156" i="1" a="1"/>
  <c r="B157" i="1" a="1"/>
  <c r="B158" i="1" a="1"/>
  <c r="B159" i="1" a="1"/>
  <c r="B160" i="1" a="1"/>
  <c r="B161" i="1" a="1"/>
  <c r="B162" i="1" a="1"/>
  <c r="B163" i="1" a="1"/>
  <c r="B164" i="1" a="1"/>
  <c r="B165" i="1" a="1"/>
  <c r="B166" i="1" a="1"/>
  <c r="B167" i="1" a="1"/>
  <c r="B168" i="1" a="1"/>
  <c r="B169" i="1" a="1"/>
  <c r="B170" i="1" a="1"/>
  <c r="B171" i="1" a="1"/>
  <c r="B172" i="1" a="1"/>
  <c r="B173" i="1" a="1"/>
  <c r="B174" i="1" a="1"/>
  <c r="B175" i="1" a="1"/>
  <c r="B176" i="1" a="1"/>
  <c r="B177" i="1" a="1"/>
  <c r="B178" i="1" a="1"/>
  <c r="B179" i="1" a="1"/>
  <c r="B180" i="1" a="1"/>
  <c r="B181" i="1" a="1"/>
  <c r="B182" i="1" a="1"/>
  <c r="B183" i="1" a="1"/>
  <c r="B184" i="1" a="1"/>
  <c r="B185" i="1" a="1"/>
  <c r="B186" i="1" a="1"/>
  <c r="B187" i="1" a="1"/>
  <c r="B188" i="1" a="1"/>
  <c r="B189" i="1" a="1"/>
  <c r="B190" i="1" a="1"/>
  <c r="B191" i="1" a="1"/>
  <c r="B192" i="1" a="1"/>
  <c r="B193" i="1" a="1"/>
  <c r="B194" i="1" a="1"/>
  <c r="B195" i="1" a="1"/>
  <c r="B196" i="1" a="1"/>
  <c r="B197" i="1" a="1"/>
  <c r="B198" i="1" a="1"/>
  <c r="B199" i="1" a="1"/>
  <c r="B200" i="1" a="1"/>
  <c r="B201" i="1" a="1"/>
  <c r="B202" i="1" a="1"/>
  <c r="B203" i="1" a="1"/>
  <c r="B204" i="1" a="1"/>
  <c r="B205" i="1" a="1"/>
  <c r="B206" i="1" a="1"/>
  <c r="B207" i="1" a="1"/>
  <c r="B208" i="1" a="1"/>
  <c r="B209" i="1" a="1"/>
  <c r="B210" i="1" a="1"/>
  <c r="B211" i="1" a="1"/>
  <c r="B212" i="1" a="1"/>
  <c r="B213" i="1" a="1"/>
  <c r="B214" i="1" a="1"/>
  <c r="B215" i="1" a="1"/>
  <c r="B216" i="1" a="1"/>
  <c r="B217" i="1" a="1"/>
  <c r="B218" i="1" a="1"/>
  <c r="B219" i="1" a="1"/>
  <c r="B220" i="1" a="1"/>
  <c r="B221" i="1" a="1"/>
  <c r="B222" i="1" a="1"/>
  <c r="B223" i="1" a="1"/>
  <c r="B224" i="1" a="1"/>
  <c r="B225" i="1" a="1"/>
  <c r="B226" i="1" a="1"/>
  <c r="B227" i="1" a="1"/>
  <c r="B228" i="1" a="1"/>
  <c r="B229" i="1" a="1"/>
  <c r="B230" i="1" a="1"/>
  <c r="B231" i="1" a="1"/>
  <c r="B232" i="1" a="1"/>
  <c r="B233" i="1" a="1"/>
  <c r="B234" i="1" a="1"/>
  <c r="B235" i="1" a="1"/>
  <c r="B236" i="1" a="1"/>
  <c r="B237" i="1" a="1"/>
  <c r="B238" i="1" a="1"/>
  <c r="B239" i="1" a="1"/>
  <c r="B240" i="1" a="1"/>
  <c r="B241" i="1" a="1"/>
  <c r="B242" i="1" a="1"/>
  <c r="B243" i="1" a="1"/>
  <c r="B244" i="1" a="1"/>
  <c r="B245" i="1" a="1"/>
  <c r="B246" i="1" a="1"/>
  <c r="B247" i="1" a="1"/>
  <c r="B248" i="1" a="1"/>
  <c r="B249" i="1" a="1"/>
  <c r="B250" i="1" a="1"/>
  <c r="B251" i="1" a="1"/>
  <c r="B252" i="1" a="1"/>
  <c r="B253" i="1" a="1"/>
  <c r="B254" i="1" a="1"/>
  <c r="B255" i="1" a="1"/>
  <c r="B256" i="1" a="1"/>
  <c r="B257" i="1" a="1"/>
  <c r="B258" i="1" a="1"/>
  <c r="B259" i="1" a="1"/>
  <c r="B260" i="1" a="1"/>
  <c r="B261" i="1" a="1"/>
  <c r="B262" i="1" a="1"/>
  <c r="B263" i="1" a="1"/>
  <c r="B264" i="1" a="1"/>
  <c r="B265" i="1" a="1"/>
  <c r="B266" i="1" a="1"/>
  <c r="B267" i="1" a="1"/>
  <c r="B268" i="1" a="1"/>
  <c r="B269" i="1" a="1"/>
  <c r="B270" i="1" a="1"/>
  <c r="B271" i="1" a="1"/>
  <c r="B272" i="1" a="1"/>
  <c r="B273" i="1" a="1"/>
  <c r="B274" i="1" a="1"/>
  <c r="B275" i="1" a="1"/>
  <c r="B276" i="1" a="1"/>
  <c r="B277" i="1" a="1"/>
  <c r="B278" i="1" a="1"/>
  <c r="B279" i="1" a="1"/>
  <c r="B280" i="1" a="1"/>
  <c r="B281" i="1" a="1"/>
  <c r="B282" i="1" a="1"/>
  <c r="B283" i="1" a="1"/>
  <c r="B284" i="1" a="1"/>
  <c r="B285" i="1" a="1"/>
  <c r="B286" i="1" a="1"/>
  <c r="B287" i="1" a="1"/>
  <c r="B288" i="1" a="1"/>
  <c r="B289" i="1" a="1"/>
  <c r="B290" i="1" a="1"/>
  <c r="B291" i="1" a="1"/>
  <c r="B292" i="1" a="1"/>
  <c r="B293" i="1" a="1"/>
  <c r="B294" i="1" a="1"/>
  <c r="B295" i="1" a="1"/>
  <c r="B296" i="1" a="1"/>
  <c r="B297" i="1" a="1"/>
  <c r="B298" i="1" a="1"/>
  <c r="B299" i="1" a="1"/>
  <c r="B300" i="1" a="1"/>
  <c r="B301" i="1" a="1"/>
  <c r="B302" i="1" a="1"/>
  <c r="B303" i="1" a="1"/>
  <c r="B304" i="1" a="1"/>
  <c r="B305" i="1" a="1"/>
  <c r="B306" i="1" a="1"/>
  <c r="B307" i="1" a="1"/>
  <c r="B308" i="1" a="1"/>
  <c r="B309" i="1" a="1"/>
  <c r="B310" i="1" a="1"/>
  <c r="B311" i="1" a="1"/>
  <c r="B312" i="1" a="1"/>
  <c r="B313" i="1" a="1"/>
  <c r="B314" i="1" a="1"/>
  <c r="B315" i="1" a="1"/>
  <c r="B316" i="1" a="1"/>
  <c r="B317" i="1" a="1"/>
  <c r="B318" i="1" a="1"/>
  <c r="B319" i="1" a="1"/>
  <c r="B320" i="1" a="1"/>
  <c r="B321" i="1" a="1"/>
  <c r="B322" i="1" a="1"/>
  <c r="B323" i="1" a="1"/>
  <c r="B324" i="1" a="1"/>
  <c r="B325" i="1" a="1"/>
  <c r="B326" i="1" a="1"/>
  <c r="B327" i="1" a="1"/>
  <c r="B328" i="1" a="1"/>
  <c r="B329" i="1" a="1"/>
  <c r="B330" i="1" a="1"/>
  <c r="B331" i="1" a="1"/>
  <c r="B332" i="1" a="1"/>
  <c r="B333" i="1" a="1"/>
  <c r="B334" i="1" a="1"/>
  <c r="B335" i="1" a="1"/>
  <c r="B336" i="1" a="1"/>
  <c r="B337" i="1" a="1"/>
  <c r="B338" i="1" a="1"/>
  <c r="B339" i="1" a="1"/>
  <c r="B340" i="1" a="1"/>
  <c r="B341" i="1" a="1"/>
  <c r="B342" i="1" a="1"/>
  <c r="B343" i="1" a="1"/>
  <c r="B344" i="1" a="1"/>
  <c r="B345" i="1" a="1"/>
  <c r="B346" i="1" a="1"/>
  <c r="B347" i="1" a="1"/>
  <c r="B348" i="1" a="1"/>
  <c r="B349" i="1" a="1"/>
  <c r="B350" i="1" a="1"/>
  <c r="B351" i="1" a="1"/>
  <c r="B352" i="1" a="1"/>
  <c r="B353" i="1" a="1"/>
  <c r="B354" i="1" a="1"/>
  <c r="B355" i="1" a="1"/>
  <c r="B356" i="1" a="1"/>
  <c r="B357" i="1" a="1"/>
  <c r="B358" i="1" a="1"/>
  <c r="B359" i="1" a="1"/>
  <c r="B360" i="1" a="1"/>
  <c r="B361" i="1" a="1"/>
  <c r="B362" i="1" a="1"/>
  <c r="B363" i="1" a="1"/>
  <c r="B364" i="1" a="1"/>
  <c r="B365" i="1" a="1"/>
  <c r="B366" i="1" a="1"/>
  <c r="B367" i="1" a="1"/>
  <c r="B368" i="1" a="1"/>
  <c r="B369" i="1" a="1"/>
  <c r="B370" i="1" a="1"/>
  <c r="B371" i="1" a="1"/>
  <c r="B372" i="1" a="1"/>
  <c r="B373" i="1" a="1"/>
  <c r="B374" i="1" a="1"/>
  <c r="B375" i="1" a="1"/>
  <c r="B376" i="1" a="1"/>
  <c r="B377" i="1" a="1"/>
  <c r="B378" i="1" a="1"/>
  <c r="B379" i="1" a="1"/>
  <c r="B380" i="1" a="1"/>
  <c r="B381" i="1" a="1"/>
  <c r="B382" i="1" a="1"/>
  <c r="B383" i="1" a="1"/>
  <c r="B384" i="1" a="1"/>
  <c r="B385" i="1" a="1"/>
  <c r="B386" i="1" a="1"/>
  <c r="B387" i="1" a="1"/>
  <c r="B388" i="1" a="1"/>
  <c r="B389" i="1" a="1"/>
  <c r="B390" i="1" a="1"/>
  <c r="B391" i="1" a="1"/>
  <c r="B392" i="1" a="1"/>
  <c r="B393" i="1" a="1"/>
  <c r="B394" i="1" a="1"/>
  <c r="B395" i="1" a="1"/>
  <c r="B396" i="1" a="1"/>
  <c r="B397" i="1" a="1"/>
  <c r="B398" i="1" a="1"/>
  <c r="B399" i="1" a="1"/>
  <c r="B400" i="1" a="1"/>
  <c r="B401" i="1" a="1"/>
  <c r="B402" i="1" a="1"/>
  <c r="B403" i="1" a="1"/>
  <c r="B404" i="1" a="1"/>
  <c r="B405" i="1" a="1"/>
  <c r="B406" i="1" a="1"/>
  <c r="B407" i="1" a="1"/>
  <c r="B408" i="1" a="1"/>
  <c r="B409" i="1" a="1"/>
  <c r="B410" i="1" a="1"/>
  <c r="B411" i="1" a="1"/>
  <c r="B412" i="1" a="1"/>
  <c r="B413" i="1" a="1"/>
  <c r="B414" i="1" a="1"/>
  <c r="B415" i="1" a="1"/>
  <c r="B416" i="1" a="1"/>
  <c r="B417" i="1" a="1"/>
  <c r="B418" i="1" a="1"/>
  <c r="B419" i="1" a="1"/>
  <c r="B420" i="1" a="1"/>
  <c r="B421" i="1" a="1"/>
  <c r="B422" i="1" a="1"/>
  <c r="B423" i="1" a="1"/>
  <c r="B424" i="1" a="1"/>
  <c r="B425" i="1" a="1"/>
  <c r="B426" i="1" a="1"/>
  <c r="B427" i="1" a="1"/>
  <c r="B428" i="1" a="1"/>
  <c r="B429" i="1" a="1"/>
  <c r="B430" i="1" a="1"/>
  <c r="B431" i="1" a="1"/>
  <c r="B432" i="1" a="1"/>
  <c r="B433" i="1" a="1"/>
  <c r="B434" i="1" a="1"/>
  <c r="B435" i="1" a="1"/>
  <c r="B436" i="1" a="1"/>
  <c r="B437" i="1" a="1"/>
  <c r="B438" i="1" a="1"/>
  <c r="B439" i="1" a="1"/>
  <c r="B440" i="1" a="1"/>
  <c r="B441" i="1" a="1"/>
  <c r="B442" i="1" a="1"/>
  <c r="B443" i="1" a="1"/>
  <c r="B444" i="1" a="1"/>
  <c r="B445" i="1" a="1"/>
  <c r="B446" i="1" a="1"/>
  <c r="B447" i="1" a="1"/>
  <c r="B448" i="1" a="1"/>
  <c r="B449" i="1" a="1"/>
  <c r="B450" i="1" a="1"/>
  <c r="B451" i="1" a="1"/>
  <c r="B452" i="1" a="1"/>
  <c r="B453" i="1" a="1"/>
  <c r="B454" i="1" a="1"/>
  <c r="B455" i="1" a="1"/>
  <c r="B456" i="1" a="1"/>
  <c r="B457" i="1" a="1"/>
  <c r="B458" i="1" a="1"/>
  <c r="B459" i="1" a="1"/>
  <c r="B460" i="1" a="1"/>
  <c r="B461" i="1" a="1"/>
  <c r="B462" i="1" a="1"/>
  <c r="B463" i="1" a="1"/>
  <c r="B464" i="1" a="1"/>
  <c r="B465" i="1" a="1"/>
  <c r="B466" i="1" a="1"/>
  <c r="B467" i="1" a="1"/>
  <c r="B468" i="1" a="1"/>
  <c r="B469" i="1" a="1"/>
  <c r="B470" i="1" a="1"/>
  <c r="B471" i="1" a="1"/>
  <c r="B472" i="1" a="1"/>
  <c r="B473" i="1" a="1"/>
  <c r="B474" i="1" a="1"/>
  <c r="B475" i="1" a="1"/>
  <c r="B476" i="1" a="1"/>
  <c r="B477" i="1" a="1"/>
  <c r="B478" i="1" a="1"/>
  <c r="B479" i="1" a="1"/>
  <c r="B480" i="1" a="1"/>
  <c r="B481" i="1" a="1"/>
  <c r="B482" i="1" a="1"/>
  <c r="B483" i="1" a="1"/>
  <c r="B484" i="1" a="1"/>
  <c r="B485" i="1" a="1"/>
  <c r="B486" i="1" a="1"/>
  <c r="B487" i="1" a="1"/>
  <c r="B488" i="1" a="1"/>
  <c r="B489" i="1" a="1"/>
  <c r="B490" i="1" a="1"/>
  <c r="B491" i="1" a="1"/>
  <c r="B492" i="1" a="1"/>
  <c r="B493" i="1" a="1"/>
  <c r="B494" i="1" a="1"/>
  <c r="B495" i="1" a="1"/>
  <c r="B496" i="1" a="1"/>
  <c r="B497" i="1" a="1"/>
  <c r="B498" i="1" a="1"/>
  <c r="B499" i="1" a="1"/>
  <c r="B500" i="1" a="1"/>
  <c r="B501" i="1" a="1"/>
  <c r="B502" i="1" a="1"/>
  <c r="B503" i="1" a="1"/>
  <c r="B504" i="1" a="1"/>
  <c r="B505" i="1" a="1"/>
  <c r="B506" i="1" a="1"/>
  <c r="B507" i="1" a="1"/>
  <c r="B508" i="1" a="1"/>
  <c r="B509" i="1" a="1"/>
  <c r="B510" i="1" a="1"/>
  <c r="B511" i="1" a="1"/>
  <c r="B512" i="1" a="1"/>
  <c r="B513" i="1" a="1"/>
  <c r="B514" i="1" a="1"/>
  <c r="B515" i="1" a="1"/>
  <c r="B516" i="1" a="1"/>
  <c r="B517" i="1" a="1"/>
  <c r="B518" i="1" a="1"/>
  <c r="B519" i="1" a="1"/>
  <c r="B520" i="1" a="1"/>
  <c r="B521" i="1" a="1"/>
  <c r="B522" i="1" a="1"/>
  <c r="B523" i="1" a="1"/>
  <c r="B524" i="1" a="1"/>
  <c r="B525" i="1" a="1"/>
  <c r="B526" i="1" a="1"/>
  <c r="B527" i="1" a="1"/>
  <c r="B528" i="1" a="1"/>
  <c r="B529" i="1" a="1"/>
  <c r="B530" i="1" a="1"/>
  <c r="B531" i="1" a="1"/>
  <c r="B532" i="1" a="1"/>
  <c r="B533" i="1" a="1"/>
  <c r="B534" i="1" a="1"/>
  <c r="B535" i="1" a="1"/>
  <c r="B536" i="1" a="1"/>
  <c r="B537" i="1" a="1"/>
  <c r="B538" i="1" a="1"/>
  <c r="B539" i="1" a="1"/>
  <c r="B540" i="1" a="1"/>
  <c r="B541" i="1" a="1"/>
  <c r="B542" i="1" a="1"/>
  <c r="B543" i="1" a="1"/>
  <c r="B544" i="1" a="1"/>
  <c r="B545" i="1" a="1"/>
  <c r="B546" i="1" a="1"/>
  <c r="B547" i="1" a="1"/>
  <c r="B548" i="1" a="1"/>
  <c r="B549" i="1" a="1"/>
  <c r="B550" i="1" a="1"/>
  <c r="B551" i="1" a="1"/>
  <c r="B552" i="1" a="1"/>
  <c r="B553" i="1" a="1"/>
  <c r="B554" i="1" a="1"/>
  <c r="B555" i="1" a="1"/>
  <c r="B556" i="1" a="1"/>
  <c r="B557" i="1" a="1"/>
  <c r="B558" i="1" a="1"/>
  <c r="B559" i="1" a="1"/>
  <c r="B560" i="1" a="1"/>
  <c r="B561" i="1" a="1"/>
  <c r="B562" i="1" a="1"/>
  <c r="B563" i="1" a="1"/>
  <c r="B564" i="1" a="1"/>
  <c r="B565" i="1" a="1"/>
  <c r="B566" i="1" a="1"/>
  <c r="B567" i="1" a="1"/>
  <c r="B568" i="1" a="1"/>
  <c r="B569" i="1" a="1"/>
  <c r="B570" i="1" a="1"/>
  <c r="B571" i="1" a="1"/>
  <c r="B572" i="1" a="1"/>
  <c r="B573" i="1" a="1"/>
  <c r="B574" i="1" a="1"/>
  <c r="B575" i="1" a="1"/>
  <c r="B576" i="1" a="1"/>
  <c r="B577" i="1" a="1"/>
  <c r="B578" i="1" a="1"/>
  <c r="B579" i="1" a="1"/>
  <c r="B580" i="1" a="1"/>
  <c r="B581" i="1" a="1"/>
  <c r="B582" i="1" a="1"/>
  <c r="B583" i="1" a="1"/>
  <c r="B584" i="1" a="1"/>
  <c r="B585" i="1" a="1"/>
  <c r="B586" i="1" a="1"/>
  <c r="B587" i="1" a="1"/>
  <c r="B588" i="1" a="1"/>
  <c r="B589" i="1" a="1"/>
  <c r="B590" i="1" a="1"/>
  <c r="B591" i="1" a="1"/>
  <c r="B592" i="1" a="1"/>
  <c r="B593" i="1" a="1"/>
  <c r="B594" i="1" a="1"/>
  <c r="B595" i="1" a="1"/>
  <c r="B596" i="1" a="1"/>
  <c r="B597" i="1" a="1"/>
  <c r="B598" i="1" a="1"/>
  <c r="B599" i="1" a="1"/>
  <c r="B600" i="1" a="1"/>
  <c r="B601" i="1" a="1"/>
  <c r="B602" i="1" a="1"/>
  <c r="B603" i="1" a="1"/>
  <c r="B604" i="1" a="1"/>
  <c r="B605" i="1" a="1"/>
  <c r="B606" i="1" a="1"/>
  <c r="B607" i="1" a="1"/>
  <c r="B608" i="1" a="1"/>
  <c r="B609" i="1" a="1"/>
  <c r="B610" i="1" a="1"/>
  <c r="B611" i="1" a="1"/>
  <c r="B612" i="1" a="1"/>
  <c r="B613" i="1" a="1"/>
  <c r="B614" i="1" a="1"/>
  <c r="B615" i="1" a="1"/>
  <c r="B616" i="1" a="1"/>
  <c r="B617" i="1" a="1"/>
  <c r="B618" i="1" a="1"/>
  <c r="B619" i="1" a="1"/>
  <c r="B620" i="1" a="1"/>
  <c r="B621" i="1" a="1"/>
  <c r="B622" i="1" a="1"/>
  <c r="B623" i="1" a="1"/>
  <c r="B624" i="1" a="1"/>
  <c r="B625" i="1" a="1"/>
  <c r="B626" i="1" a="1"/>
  <c r="B627" i="1" a="1"/>
  <c r="B628" i="1" a="1"/>
  <c r="B629" i="1" a="1"/>
  <c r="B630" i="1" a="1"/>
  <c r="B631" i="1" a="1"/>
  <c r="B632" i="1" a="1"/>
  <c r="B633" i="1" a="1"/>
  <c r="B634" i="1" a="1"/>
  <c r="B635" i="1" a="1"/>
  <c r="B636" i="1" a="1"/>
  <c r="B637" i="1" a="1"/>
  <c r="B638" i="1" a="1"/>
  <c r="B639" i="1" a="1"/>
  <c r="B640" i="1" a="1"/>
  <c r="B641" i="1" a="1"/>
  <c r="B642" i="1" a="1"/>
  <c r="B643" i="1" a="1"/>
  <c r="B644" i="1" a="1"/>
  <c r="B645" i="1" a="1"/>
  <c r="B646" i="1" a="1"/>
  <c r="B647" i="1" a="1"/>
  <c r="B648" i="1" a="1"/>
  <c r="B649" i="1" a="1"/>
  <c r="B650" i="1" a="1"/>
  <c r="B651" i="1" a="1"/>
  <c r="B652" i="1" a="1"/>
  <c r="B653" i="1" a="1"/>
  <c r="B654" i="1" a="1"/>
  <c r="B655" i="1" a="1"/>
  <c r="B656" i="1" a="1"/>
  <c r="B657" i="1" a="1"/>
  <c r="B658" i="1" a="1"/>
  <c r="B659" i="1" a="1"/>
  <c r="B660" i="1" a="1"/>
  <c r="B661" i="1" a="1"/>
  <c r="B662" i="1" a="1"/>
  <c r="B663" i="1" a="1"/>
  <c r="B664" i="1" a="1"/>
  <c r="B665" i="1" a="1"/>
  <c r="B666" i="1" a="1"/>
  <c r="B667" i="1" a="1"/>
  <c r="B668" i="1" a="1"/>
  <c r="B669" i="1" a="1"/>
  <c r="B670" i="1" a="1"/>
  <c r="B671" i="1" a="1"/>
  <c r="B672" i="1" a="1"/>
  <c r="B673" i="1" a="1"/>
  <c r="B674" i="1" a="1"/>
  <c r="B675" i="1" a="1"/>
  <c r="B676" i="1" a="1"/>
  <c r="B677" i="1" a="1"/>
  <c r="B678" i="1" a="1"/>
  <c r="B679" i="1" a="1"/>
  <c r="B680" i="1" a="1"/>
  <c r="B681" i="1" a="1"/>
  <c r="B682" i="1" a="1"/>
  <c r="B683" i="1" a="1"/>
  <c r="B684" i="1" a="1"/>
  <c r="B685" i="1" a="1"/>
  <c r="B686" i="1" a="1"/>
  <c r="B687" i="1" a="1"/>
  <c r="B688" i="1" a="1"/>
  <c r="B689" i="1" a="1"/>
  <c r="B690" i="1" a="1"/>
  <c r="B691" i="1" a="1"/>
  <c r="B692" i="1" a="1"/>
  <c r="B693" i="1" a="1"/>
  <c r="B694" i="1" a="1"/>
  <c r="B695" i="1" a="1"/>
  <c r="B696" i="1" a="1"/>
  <c r="B697" i="1" a="1"/>
  <c r="G2" i="1" a="1"/>
  <c r="F2" i="1" a="1"/>
  <c r="D2" i="1" a="1"/>
  <c r="E2" i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<sst xmlns="http://schemas.openxmlformats.org/spreadsheetml/2006/main" count="4563" uniqueCount="1471">
  <si>
    <t>sku</t>
  </si>
  <si>
    <t>2-09-163-030</t>
  </si>
  <si>
    <t>2-09-150-091</t>
  </si>
  <si>
    <t>1-03-187-269</t>
  </si>
  <si>
    <t>1-03-186-084</t>
  </si>
  <si>
    <t>1-03-186-085</t>
  </si>
  <si>
    <t>1-03-187-270</t>
  </si>
  <si>
    <t>1-03-187-267</t>
  </si>
  <si>
    <t>1-03-187-268</t>
  </si>
  <si>
    <t>1-03-186-083</t>
  </si>
  <si>
    <t>1-03-186-068</t>
  </si>
  <si>
    <t>1-03-044-032</t>
  </si>
  <si>
    <t>1-03-044-031</t>
  </si>
  <si>
    <t>1-03-044-030</t>
  </si>
  <si>
    <t>1-03-044-028</t>
  </si>
  <si>
    <t>2-09-023-009</t>
  </si>
  <si>
    <t>2-09-157-025</t>
  </si>
  <si>
    <t>1-03-020-188</t>
  </si>
  <si>
    <t>1-03-187-240</t>
  </si>
  <si>
    <t>1-03-020-234</t>
  </si>
  <si>
    <t>1-03-020-205</t>
  </si>
  <si>
    <t>1-03-187-228</t>
  </si>
  <si>
    <t>1-02-019-009</t>
  </si>
  <si>
    <t>1-03-020-070</t>
  </si>
  <si>
    <t>2-14-094-120</t>
  </si>
  <si>
    <t>1-03-020-202</t>
  </si>
  <si>
    <t>1-03-020-173</t>
  </si>
  <si>
    <t>1-03-187-239</t>
  </si>
  <si>
    <t>2-14-094-108</t>
  </si>
  <si>
    <t>1-03-164-001</t>
  </si>
  <si>
    <t>2-14-094-124</t>
  </si>
  <si>
    <t>2-14-094-121</t>
  </si>
  <si>
    <t>2-14-094-102</t>
  </si>
  <si>
    <t>1-09-066-046</t>
  </si>
  <si>
    <t>1-09-118-050</t>
  </si>
  <si>
    <t>2-09-031-483</t>
  </si>
  <si>
    <t>1-03-187-263</t>
  </si>
  <si>
    <t>1-03-187-197</t>
  </si>
  <si>
    <t>1-03-187-196</t>
  </si>
  <si>
    <t>1-03-020-237</t>
  </si>
  <si>
    <t>1-02-019-008</t>
  </si>
  <si>
    <t>1-03-020-013</t>
  </si>
  <si>
    <t>1-03-020-184</t>
  </si>
  <si>
    <t>2-09-031-529</t>
  </si>
  <si>
    <t>1-14-201-014</t>
  </si>
  <si>
    <t>1-03-187-237</t>
  </si>
  <si>
    <t>1-03-187-262</t>
  </si>
  <si>
    <t>1-03-020-174</t>
  </si>
  <si>
    <t>1-03-186-061</t>
  </si>
  <si>
    <t>1-03-044-029</t>
  </si>
  <si>
    <t>1-03-146-037</t>
  </si>
  <si>
    <t>1-03-044-033</t>
  </si>
  <si>
    <t>1-03-187-252</t>
  </si>
  <si>
    <t>1-03-146-039</t>
  </si>
  <si>
    <t>1-08-187-116</t>
  </si>
  <si>
    <t>1-03-186-077</t>
  </si>
  <si>
    <t>2-09-157-020</t>
  </si>
  <si>
    <t>2-09-092-022</t>
  </si>
  <si>
    <t>2-09-031-398</t>
  </si>
  <si>
    <t>2-09-066-104</t>
  </si>
  <si>
    <t>2-09-150-081</t>
  </si>
  <si>
    <t>2-09-157-026</t>
  </si>
  <si>
    <t>2-09-031-449</t>
  </si>
  <si>
    <t>2-09-003-002</t>
  </si>
  <si>
    <t>2-09-031-343</t>
  </si>
  <si>
    <t>2-14-094-090</t>
  </si>
  <si>
    <t>2-09-092-021</t>
  </si>
  <si>
    <t>2-09-031-364</t>
  </si>
  <si>
    <t>2-14-094-113</t>
  </si>
  <si>
    <t>1-14-166-032</t>
  </si>
  <si>
    <t>1-12-109-038</t>
  </si>
  <si>
    <t>ATS CODE</t>
  </si>
  <si>
    <t>الصنف</t>
  </si>
  <si>
    <t>نسبة خصم العرض</t>
  </si>
  <si>
    <t>السعر بعد العرض</t>
  </si>
  <si>
    <t>بداية المدة</t>
  </si>
  <si>
    <t>نهاية المدة</t>
  </si>
  <si>
    <t>PAMPERS PANTS MEGA NO-3 2X60</t>
  </si>
  <si>
    <t>26-7-2026</t>
  </si>
  <si>
    <t>6-8-2026</t>
  </si>
  <si>
    <t>PAMPERS PREMUM CARE PANTS BOX NO-6 1X54</t>
  </si>
  <si>
    <t>PAMPERS PREMUM CARE PANTS NO-4 2X50</t>
  </si>
  <si>
    <t> PAMPERS BOX JUMBO NO-1 1X136</t>
  </si>
  <si>
    <t>5-10-2026</t>
  </si>
  <si>
    <t> PAMPERS BOX JUMBO NO-2 1X136.</t>
  </si>
  <si>
    <t> PAMPERS BOX JUMBO NO-3 1X104</t>
  </si>
  <si>
    <t> PAMPERS BOX JUMBO NO-4 1X96</t>
  </si>
  <si>
    <t> PAMPERS BOX JUMBO NO-5 1X80</t>
  </si>
  <si>
    <t> PAMPERS BOX JUMBO NO-6 1X58</t>
  </si>
  <si>
    <t>PAMPERS NO-3 2X84</t>
  </si>
  <si>
    <t xml:space="preserve">pampers mega no 4 2*76           </t>
  </si>
  <si>
    <t>PAMPERS NO-4+ 2X74</t>
  </si>
  <si>
    <t>PAMPERS NO 6+ MEGA 2X40</t>
  </si>
  <si>
    <t>pampers mega no 5 2*70</t>
  </si>
  <si>
    <t>PAMPERS MEGA NO-5+ 2X58</t>
  </si>
  <si>
    <t>pampers mega no6 2*48</t>
  </si>
  <si>
    <t>PANTENE SHAMPOO PERFECT CURLS 600ML</t>
  </si>
  <si>
    <t>PANTENE SHAMPOO ANTI DANDRUFF  600ML</t>
  </si>
  <si>
    <t>PANTENE SHAMPOO ANTI HAIR FALL 600ML</t>
  </si>
  <si>
    <t>PANTENE SHAMPOO CLASSIC CARE 600ML</t>
  </si>
  <si>
    <t>PANTENE SHAMPOO MILKY DAMAGE REPAIR 600ML</t>
  </si>
  <si>
    <t>PANTENE SHAMPOO NATURLE FUSION  600ML</t>
  </si>
  <si>
    <t>PANTENE SHAMPOO PRO-V SHEER VALUM  600 ML</t>
  </si>
  <si>
    <t>PANTENE SHAMPOO SMOOTHY&amp;SILKY  600ML</t>
  </si>
  <si>
    <t>PANTENE SHAMPOO SHEER VALUME 390 ML</t>
  </si>
  <si>
    <t>PANTENE SHAMPOO SMOOTH &amp; SILKY 390ML</t>
  </si>
  <si>
    <t>HERBAL ESS SHAM HELLO HYDRATION 400ML-01106</t>
  </si>
  <si>
    <t>PANTENE SHAMPOO ANTI HAIR FALL 390ML</t>
  </si>
  <si>
    <t>PANTENE SHAMPOO ANTI DANDRUFF 390ML</t>
  </si>
  <si>
    <t>HERBALSHAMPO IGNITE MYCOLOR 400ML</t>
  </si>
  <si>
    <t>HEAD&amp;SHOLDERS SHAMPO MOIST SCALP CARE 600ML</t>
  </si>
  <si>
    <t>HEAD&amp;SHOLDER SHAMPO CLASSIC CLEAN 600ML</t>
  </si>
  <si>
    <t>HEAD&amp;SHOLDER SHAMPO CLASSIC CLEAN 390ML</t>
  </si>
  <si>
    <t>HEAD&amp;SHOLDERS HAIRFALL DEFNCE  FOR MEN 600ML</t>
  </si>
  <si>
    <t>HEAD&amp;SHOLDER SHAMPO HAIR FALL MEN 400ML</t>
  </si>
  <si>
    <t>HEAD&amp;SHOLDER SHAMPO LIVELY&amp;SILKY 2X1  600ML</t>
  </si>
  <si>
    <t>HEAD&amp;SHOLDER LIVELY,SILKY SHAMPO 390ML</t>
  </si>
  <si>
    <t>HEAD &amp; SHOULDERS MOIST SCALP CARE ALMOND 600ML</t>
  </si>
  <si>
    <t>HEAD &amp; SHOULDERS NATURAL FRESH 600 ML</t>
  </si>
  <si>
    <t>HEAD&amp;SHOLDER SHAMPO REFRESHING MENTOL 390ML</t>
  </si>
  <si>
    <t>HEAD AND SHOULDERS SHAMPO ANTI-HAIR FALL 390 ML</t>
  </si>
  <si>
    <t>HEAD&amp;SHOLDER SHAMPO MOIST SCALP CARE 400ML</t>
  </si>
  <si>
    <t> HEAD&amp;SHOLDER SHAMPO APPLE FRESH 400ML</t>
  </si>
  <si>
    <t>HEAD&amp;SHOLDER SHAMPO LIVELY SILKY 2X1 400ML</t>
  </si>
  <si>
    <t>HEAD&amp;SHOLDER SHAMPO CITRUS FRESH LEMON 390ML</t>
  </si>
  <si>
    <t>HERBALSHAMP BEAUTFUL ENDS 400ML</t>
  </si>
  <si>
    <t>PANTENE SHAMPOO DAILY CARE 600 ML</t>
  </si>
  <si>
    <t>PANTENE SHAMPOO CLASSIC CARE 2X1 400ML</t>
  </si>
  <si>
    <t>PANTENE SHAMPOO CLASSIC CARE  390ML</t>
  </si>
  <si>
    <t>HEAD &amp; SHOLDER FOR MEN  400ML</t>
  </si>
  <si>
    <t>HEAD&amp;SHOLDERS SHAMPO CITRUS FRESH LEMON  600ML</t>
  </si>
  <si>
    <t>PANTENE SHAMPOO MOISTARE RENEWAL 390ML</t>
  </si>
  <si>
    <t xml:space="preserve">HEAD&amp;SHOLDER SHAMPO REFRESHING MENTHOL 600ML </t>
  </si>
  <si>
    <t>HEAD&amp;SHOLDERS SHAMPO TOTAL CARE  600ML</t>
  </si>
  <si>
    <t>HEAD&amp;SHOLDER SHAMPO VOLUME&amp;THICKNESS 600ML</t>
  </si>
  <si>
    <t>HEAD&amp;SHOLDER SHAMPO EXTRA VOLUME 400ML</t>
  </si>
  <si>
    <t>HERBAL SHAMPO MOROCCAN MY SHINE 400ML</t>
  </si>
  <si>
    <t> HEAD&amp;SHOLDERS SHAMPO TOTAL CARE 400ML</t>
  </si>
  <si>
    <t>HERBALSHAMP BODY ENVY VOLUME  400ML</t>
  </si>
  <si>
    <t>HERBAL ESSENCES SHAMPO 400ML BEE STRONG HONEY</t>
  </si>
  <si>
    <t xml:space="preserve">Head Sholder Shampoo600ML  Apple Fresh                          </t>
  </si>
  <si>
    <t>PANTENE SHAMPOO MOISTURE RENEWAL 600ML</t>
  </si>
  <si>
    <t>HEAD AND SHOULDERS NATURAL FRESH SHAMPOO 400ML</t>
  </si>
  <si>
    <t>PANTENE SHAMPOO MILKY DAMAGE REPAIR 390ML</t>
  </si>
  <si>
    <t>HERBALSHAMPO IGNTE MY COLOUR 400ML</t>
  </si>
  <si>
    <t>HEAD&amp;SHOLDERS SHAMPO CHARCOAL DETOX 390 ML</t>
  </si>
  <si>
    <t>HEAD&amp;SHOLDERS SHAMPO CHARCOAL DETOX 600 ML</t>
  </si>
  <si>
    <t>HERBAL ESSENCES SHAMPO MICELLAR WATER &amp;BLUE GINGER 400ML</t>
  </si>
  <si>
    <t>HERBAL ESSENCES SHAMPO GOLDEN MORINGA OIL 400ML</t>
  </si>
  <si>
    <t>HERBAL ESSENCES SHAMPO ARGAN OIL OF MOROCCO 400ML</t>
  </si>
  <si>
    <t>HERBAL ESSENCES SHAMPO HYDRATE COCONUT MILK 400ML</t>
  </si>
  <si>
    <t>HERBAL ESSENCES SHAMPO WHITE STRAWBERRY&amp;SWEET MINT 400ML</t>
  </si>
  <si>
    <t>HERBAL ESSENCES SHAMPO VOLUME ARABICA COFFEE FRUIT 400ML</t>
  </si>
  <si>
    <t> HEAD&amp;SHOLDER SHAMPO SUB ZERO FRESHNESS 40</t>
  </si>
  <si>
    <t>HEAD&amp;SHOLDER SHAMPO SUPREME SCALP SOOTHING 400ML</t>
  </si>
  <si>
    <t>PANTENE SHAMPOO GOODBYE SUMMER FRIZZ 400ML</t>
  </si>
  <si>
    <t>PANTENE SHAMPOO GOODBYE SUMMER FRIZZ 600ML</t>
  </si>
  <si>
    <t>PANTENE SHAMPOO SUPER FOOD 400ML</t>
  </si>
  <si>
    <t>PANTENE SHAMPOO SUPER FOOD 600ML</t>
  </si>
  <si>
    <t>HERBAL ESSENCES SHAMPO POTENT ALOE+BAMBOO 400ML</t>
  </si>
  <si>
    <t>Pantene hair shampo anti hair fall 1000ml 44046</t>
  </si>
  <si>
    <t>Pantene hair shampo smooth&amp;silky 1000ml 43827</t>
  </si>
  <si>
    <t>Pantene hair shampo daily care 1000ml 61775</t>
  </si>
  <si>
    <t>HEAD&amp;SHOLDER SHAMPO SMOOTH&amp;SILKY 2X1 1000ML44138</t>
  </si>
  <si>
    <t>HEAD&amp;SHOLDER SHAMPO REFRESHING MENTOL 1000 ML 44077</t>
  </si>
  <si>
    <t>HERBAL ESSNS SHAMPO PURE ALOE&amp;AVOCADO 400 ML</t>
  </si>
  <si>
    <t>HERBAL ESSENCES SHAMPO ALOE&amp;MANGO 400 ML</t>
  </si>
  <si>
    <t>PANTENE SHAMPO CURLYSTIC 400 ML</t>
  </si>
  <si>
    <t>PANTENE SHAMPOO SMOOTH &amp; SILKY</t>
  </si>
  <si>
    <t>PANTENE SHAMPOO ANTI HAIR FALL 3</t>
  </si>
  <si>
    <t>PANTENE SHAMPOO ANTI DANDRUFF </t>
  </si>
  <si>
    <t>PANTENE SHAMPOO MILKY DAMAGE R</t>
  </si>
  <si>
    <t>PANTENE SHAMPOO SHEER VALUME 37</t>
  </si>
  <si>
    <t>PANTENE SHAMPOO MOISTARE RENEW</t>
  </si>
  <si>
    <t>PANTENE SHAMPO DAILY CARE 2X1 375</t>
  </si>
  <si>
    <t>HEAD&amp;SHOLDER SHAMPO SEVERE OIL </t>
  </si>
  <si>
    <t>HEAD&amp;SHOLDER SHAMPO SEVERE FLA</t>
  </si>
  <si>
    <t>HEAD AND SHOULDERS SHAMPO ICE F</t>
  </si>
  <si>
    <t>UNIDOVE FEMINE VAGINAL WASH /1ML</t>
  </si>
  <si>
    <t>UNIDOVE COLLAGEN Cream /1Container, </t>
  </si>
  <si>
    <t>2-09-031-399</t>
  </si>
  <si>
    <t>UNIDOVE SUN SCREEN Cream /1Containe</t>
  </si>
  <si>
    <t>UNIDOVE SUN SCREEN container Lotion, </t>
  </si>
  <si>
    <t>2-09-066-103</t>
  </si>
  <si>
    <t>UNIDOVE WHITENING SOAP container So</t>
  </si>
  <si>
    <t>UNIDOVE CLEANSING SOAP container So</t>
  </si>
  <si>
    <t>UNIDOVE FACIAL CLEANSER Liquid /1Co</t>
  </si>
  <si>
    <t>2-09-094-076</t>
  </si>
  <si>
    <t>UNIDOVE BODY LOTION /1Container, 1Co</t>
  </si>
  <si>
    <t>2-09-149-045</t>
  </si>
  <si>
    <t>UNIDOVE ALICE Serum /1Container, 1Cont</t>
  </si>
  <si>
    <t>2-09-149-063</t>
  </si>
  <si>
    <t>NANO DERMA VITAMIN C SERUM  30 M</t>
  </si>
  <si>
    <t>2-09-149-068</t>
  </si>
  <si>
    <t>UNIDOVE HAIR CREAM  100 ML/CONTA</t>
  </si>
  <si>
    <t>UNIDOVE ALICE shampoo /1Container, 1C</t>
  </si>
  <si>
    <t>UNIDOVE JOYFUL WHITNING SKIN CREA</t>
  </si>
  <si>
    <t>UNIDOVE CLEANSING FOAM 150 ML/CO</t>
  </si>
  <si>
    <t>UNIDOVE ACNOGEL  30 GM/CONTAINER</t>
  </si>
  <si>
    <t>2-09-157-027</t>
  </si>
  <si>
    <t>NANODERMA EXFLIATING WHITENING</t>
  </si>
  <si>
    <t>2-09-157-028</t>
  </si>
  <si>
    <t>NANODERMA EYE CONTOUR SERUM 30</t>
  </si>
  <si>
    <t>BIOFAR IRON FOLIC ACID Effervescent Tablet, 20 TABLET/CONTAINER</t>
  </si>
  <si>
    <t>BIOFAR CHROMIUM COMPLEX Effervescent Tablet, 20 TABLET/CONTAINER</t>
  </si>
  <si>
    <t>BIOFAR KIDS MULTIVITAMIN Effervescent Tablet, 20 TABLET/CONTAINER</t>
  </si>
  <si>
    <t>BIOFAR VITAMIN B complex Effervescent Tablet, 20 TABLET/CONTAINER</t>
  </si>
  <si>
    <t>BIOFAR PHYTO DIGESTION Effervescent Tablet, 6 TABLET/CONTAINER</t>
  </si>
  <si>
    <t>BIOFAR PHYTO DIGESTION gm Effervescent Tablet, 8 TABLET/CONTAINER</t>
  </si>
  <si>
    <t>BIOFAR GOOD NIGHT 7/7 DIRE</t>
  </si>
  <si>
    <t>BIOFAR MAGNE-TIME 400 DIRE</t>
  </si>
  <si>
    <t>BIOFAR ACE SELENIUM-ZINC tablet, 20 TABLET/BOX</t>
  </si>
  <si>
    <t>NQ ARGITONE ml Syrup, 100 ML/BOTTLE</t>
  </si>
  <si>
    <t>BLEMIL PLUS NO (1) 800 GM</t>
  </si>
  <si>
    <t>BLEMIL PLUS 2 800G</t>
  </si>
  <si>
    <t>BLEMIL PLUS NO (3) 800 GM</t>
  </si>
  <si>
    <t>BLEMIL PLUS ( 3 ) 1200</t>
  </si>
  <si>
    <t>BLEVIT MULTIGRAIN AND FIBER 0% AD</t>
  </si>
  <si>
    <t>BLEVIT PLUS AD CARROT&amp;RICE 0% ADD</t>
  </si>
  <si>
    <t>BLEVIT PLUS TO SHAKE 0% ADDED SUG</t>
  </si>
  <si>
    <t>BLEVIT RICE AND FRUITS WITH MILK 3</t>
  </si>
  <si>
    <t>BLEVIT RICE WITH MILK  350 GM</t>
  </si>
  <si>
    <t>BLEVIT WHEAT WITH MILK 350 GM</t>
  </si>
  <si>
    <t>VITAFOS 3+NUTRITONAL FORMULA FO</t>
  </si>
  <si>
    <t>VITAFOS NUTITIONAL MILK 400</t>
  </si>
  <si>
    <t>BLEMIL PLUS  (2)  400G</t>
  </si>
  <si>
    <t>BLEMIL PLUS (1) 400 GM</t>
  </si>
  <si>
    <t>BLEMIL PLUS 3 400G</t>
  </si>
  <si>
    <t>FRESH TOUNG BRUSH ADULT 92792</t>
  </si>
  <si>
    <t>FRESH TOUNG BRUSH SMALL FOR KIDS 92808</t>
  </si>
  <si>
    <t>FRESH TOUNG GEL MINT 85 G 92303</t>
  </si>
  <si>
    <t>FRESH TOUNG GEL EXTRA MINT 85 G 92761</t>
  </si>
  <si>
    <t>FRESH TOUNG GEL STRAWBERRY 85 G 92778</t>
  </si>
  <si>
    <t>FRESH TOUNG GEL STRAWBERRY FOR KIDS85 G 92785</t>
  </si>
  <si>
    <t>FABLAB DETANGLING SPRAY PRINCESS 200 ML -0524</t>
  </si>
  <si>
    <t>FABLAB DETANGLING SPRAY DORA 200 ML -3047</t>
  </si>
  <si>
    <t>FABLAB DETANGLING SPRAY SOFIA 200 ML -0531</t>
  </si>
  <si>
    <t>FABLAB DETANGLING SPRAY FROZEN 200 ML -0517</t>
  </si>
  <si>
    <t>FABLAB DETANGLING SPRAY MASHA AND BEAR 200 ML -3023</t>
  </si>
  <si>
    <t>FABLAB COLLAGEN ELASTIN CREAM 454 GM -300</t>
  </si>
  <si>
    <t>FABLAB FOOT CRACK CREAM 454 GM -140</t>
  </si>
  <si>
    <t>FABLAB FOOT MASSAGE LOTION 454 GM -126</t>
  </si>
  <si>
    <t>FABLAB ALL IN ONE CLEAR BATH&amp;BODY SCRUB LEMON 454 GM -201</t>
  </si>
  <si>
    <t>FABLAB DEEP CLEANSING APRICOT SCRUB 454 GM -249</t>
  </si>
  <si>
    <t>FABLAB WHITE PLUS FACE WASH HELLO KITTY 100 ML -098</t>
  </si>
  <si>
    <t>FABLAB WHITE PLUS PEEL OF MASK HELLO KITTY 100 ML -128</t>
  </si>
  <si>
    <t>FABLAB WHITE PLUS CLAY MASK HELLO KITTY 100 ML -081</t>
  </si>
  <si>
    <t>FABLAB FOOT FUNGUS GEL 454 GM -164</t>
  </si>
  <si>
    <t>MOVE ON SPRAY 200ML</t>
  </si>
  <si>
    <t>NICKELODEON MINNIE SOFT T/BRUSH WITH CUP -3535</t>
  </si>
  <si>
    <t>NICKELODEON PRINCESS SOFT T/BRUSH WITH CUP -3542</t>
  </si>
  <si>
    <t>NICKELODEON SOFIA SOFT T/BRUSH WHIT CUP -3566</t>
  </si>
  <si>
    <t>NICKELODEON PAW PATROL BATTERY SOFT T/BRUSH -2733</t>
  </si>
  <si>
    <t>NICKELODEON SPONG BOB BATTERY SOFT T/BRUSH -2726</t>
  </si>
  <si>
    <t>NICKELODEON AVENGERS SOFT T/BRUSH WITH CUP -3344</t>
  </si>
  <si>
    <t>NICKELODEON TOY STORY BATTERY SOFT T/BRUSH -3580</t>
  </si>
  <si>
    <t>NICKELODEON SPIDERMAN BATTERY SOFT T/BRUSH -3382</t>
  </si>
  <si>
    <t>NICKELODEON SPIDERMAN SOFT T/BRUSH WITH CUP -3351</t>
  </si>
  <si>
    <t>NICKELODEON HELLO KITTY BATTERY SOFT T/BRUSH -2740</t>
  </si>
  <si>
    <t>ISILAC 1 400 GM</t>
  </si>
  <si>
    <t>ISILAC 2 400 GM</t>
  </si>
  <si>
    <t>ISILAC 3 400 GM</t>
  </si>
  <si>
    <t xml:space="preserve"> VAUVA BABY WIPES  80 PCS COTTON 100% BAGS 2+1</t>
  </si>
  <si>
    <t>1-04-031-002</t>
  </si>
  <si>
    <t>NOSTRISOFT apply Cream, 100 ML/TUBE</t>
  </si>
  <si>
    <t>NOSTRICURE  Oral Gel, 30 ML/TUBE</t>
  </si>
  <si>
    <t>1-09-194-017</t>
  </si>
  <si>
    <t>NOSTRI LICE  Topical Spray, CONTAINER</t>
  </si>
  <si>
    <t>ORACURE  Mouth Wash, 300 ML/BOTTEL</t>
  </si>
  <si>
    <t>INTIMO VAGINAL WASH Solution /1ML, 250ML/Container</t>
  </si>
  <si>
    <t>RIZER apply Cream, 75 ML/TUBE</t>
  </si>
  <si>
    <t>NOSTRIDERM  Ointment , 50 ML/TUBE</t>
  </si>
  <si>
    <t>HIMALAYA HERBALS CLEAR CO</t>
  </si>
  <si>
    <t>HIMALAYA HERBALS PURIFYIN</t>
  </si>
  <si>
    <t>HIMALAYA HERBALS OIL CON</t>
  </si>
  <si>
    <t>Himalaya BRIGHTENING VITAM</t>
  </si>
  <si>
    <t>HIMALAYA DETOX CHARCOAL</t>
  </si>
  <si>
    <t>HIMALAYA ALOE VERA FACE&amp;</t>
  </si>
  <si>
    <t>HIMALAYA SENSITIVE BABY W</t>
  </si>
  <si>
    <t>HIMALAYA PROTEIN HAIRCREA</t>
  </si>
  <si>
    <t>HIMALAYA ANTI HAIR FALL CR</t>
  </si>
  <si>
    <t>1-03-187-198</t>
  </si>
  <si>
    <t>NAFEES PHARMA BIOTIN Tablet, 60 TABLET/BOX</t>
  </si>
  <si>
    <t>05-09-2026</t>
  </si>
  <si>
    <t>1-09-187-238</t>
  </si>
  <si>
    <t>NAFEES PHARMA INU CARE Capsule, 30 CAPSULE/BOX</t>
  </si>
  <si>
    <t>NAFEES PHARMA MULTIVITAMIN GUMMIES , 60 TABLET/BOTTEL</t>
  </si>
  <si>
    <t>1-03-187-236</t>
  </si>
  <si>
    <t>NAFEES PHARMA NEUROBIT-B12 (1000 mcg/tablet), 100 TABLET/BOX</t>
  </si>
  <si>
    <t>1-03-186-071</t>
  </si>
  <si>
    <t>NAFEES PHARMA OMEGA3  Syrup, 150 ML/BOTTEL</t>
  </si>
  <si>
    <t>1-03-020-233</t>
  </si>
  <si>
    <t>NAFEES PHARMA ROYA-GIN Tablet, 30 TABLET/BOX</t>
  </si>
  <si>
    <t>TRIGLISTAB ARKO Capsule /1Capsule, 30Cap</t>
  </si>
  <si>
    <t>1-03-186-072</t>
  </si>
  <si>
    <t>NAFEES PHARMA PROPOLIS SPRAY , 20 ML/BOTTLE</t>
  </si>
  <si>
    <t>FORCAPIL KERATIN+ B5 SHAMPO  Shampoo, 200 ML/CONTAINER</t>
  </si>
  <si>
    <t>1-09-194-002</t>
  </si>
  <si>
    <t>FORCAPIL TOPICAL SPRAY /1Applicator, 1Applicator/Applicator</t>
  </si>
  <si>
    <t>FORCAPIL Capsule, 180 CAPSULE/BOX</t>
  </si>
  <si>
    <t>1-03-187-238</t>
  </si>
  <si>
    <t>ARKO PHARMA FORCAPIL GROWTH HAIR AND NAILS GUMMIES, 60 TABLET/BOTTEL</t>
  </si>
  <si>
    <t>1-03-020-246</t>
  </si>
  <si>
    <t>ASHWAGANDHA Capsule, 60 CAPSULE/BOTTLE</t>
  </si>
  <si>
    <t>1-04-020-074</t>
  </si>
  <si>
    <t>APPLE CIDER VINEGAR 1000 mg/capsule, 60 CAPSULE/BOTTEL</t>
  </si>
  <si>
    <t>BEESLINE WHITENING ROLL 1+50% DISC FRA</t>
  </si>
  <si>
    <t>BEESLINE WHITENING ROLL 1+50%DIS SPOR</t>
  </si>
  <si>
    <t>BEESLINE WHITENING ROLL 1+50%DIS GREE</t>
  </si>
  <si>
    <t>BEESLINE WHITENING ROLL 1+50%DIS COOL</t>
  </si>
  <si>
    <t>BEESLINE EXPRESS HAIR &amp; STRAIG</t>
  </si>
  <si>
    <t>BEESLINE DAILY SHAMPOO</t>
  </si>
  <si>
    <t>BEESLINE SMALL HAJJ KIT 10044</t>
  </si>
  <si>
    <t>BEESLINE EXPRESS MASK EYE CON</t>
  </si>
  <si>
    <t>BEESLINE OIL TAN KSA038</t>
  </si>
  <si>
    <t>BEESLINE WHITENING FACIAL WA</t>
  </si>
  <si>
    <t>BEESLINE ROLL ON INVISIBLE TOUCH</t>
  </si>
  <si>
    <t>BEESLINE LIP CARE SHOOTHING JOUNIOR ROSE</t>
  </si>
  <si>
    <t>BEESLINE LIP CARE SHOOTHIN</t>
  </si>
  <si>
    <t>BEESLINE ULTRASCREEN CREAM INVISIBLE SUN FILTER SPF 50+</t>
  </si>
  <si>
    <t>BEESLINE FACIAL OXOGEN DAILY SCRUB</t>
  </si>
  <si>
    <t>BEESLINE EXPRESS MASK 9OIL FOR</t>
  </si>
  <si>
    <t>BEESLIN COOL LIPS</t>
  </si>
  <si>
    <t>BEESLIN lip care Honey &amp; Milk</t>
  </si>
  <si>
    <t>BEESLINE EXPRESS FACIAL WHITE</t>
  </si>
  <si>
    <t>BEESLINE EXPRESS STRAWBERRY </t>
  </si>
  <si>
    <t>BEESLINE LIP CARE</t>
  </si>
  <si>
    <t>BEESLINE LIP CARE Shimmery C</t>
  </si>
  <si>
    <t>BEESLINE SUN TAN RICH IN CARROT DEEP TAN</t>
  </si>
  <si>
    <t>BEESLINE WHITENING BODY EXFOLIATING SOAP</t>
  </si>
  <si>
    <t>BEESLINE WHITENING FACIAL EXF</t>
  </si>
  <si>
    <t>BEESLINE WHITENING FACIAL SOA</t>
  </si>
  <si>
    <t>BEESLINE WHITENING SENSITIVE Z</t>
  </si>
  <si>
    <t>BEESLINE EXPRESS FACIAL ANTI S</t>
  </si>
  <si>
    <t>BEESLINE SUN TAN OIL GOLD SHIMMERING</t>
  </si>
  <si>
    <t>BEESLINE SUN TAN OIL GOLD 200 ML+ULTRA SCREEN FREE</t>
  </si>
  <si>
    <t>BEESLINE FACIAL WASH</t>
  </si>
  <si>
    <t>BEESLINE WHITINING SENSTIVE ZO</t>
  </si>
  <si>
    <t>BEESLINE HONEY MOIST SOAP</t>
  </si>
  <si>
    <t>BEESLINE EXPRESS FACIAL LIFTIN</t>
  </si>
  <si>
    <t>BEESLINE LIP CARE SHEA BUTTER</t>
  </si>
  <si>
    <t>BEESLINE AGE DEFENSE FACIAL FL</t>
  </si>
  <si>
    <t>BEESLINE AGE DEFENSE TINTED FA</t>
  </si>
  <si>
    <t>BEESLINE WHITE SAPPHIRE LUXURY MASK</t>
  </si>
  <si>
    <t>BEESLINE RADIANT UNDERARM</t>
  </si>
  <si>
    <t>BEESLINE INSTANT BRIGHT FA</t>
  </si>
  <si>
    <t>BEESLINE FACIAL PURIFYING SOA</t>
  </si>
  <si>
    <t>BEESLINE WHITENING FACIAL SOAP PAPAYA</t>
  </si>
  <si>
    <t>BEESLINE WHITENING FACIAL SOAP JOURIROSE</t>
  </si>
  <si>
    <t>BEESLINE WHITENING FACIAL SOAP REDBERRY</t>
  </si>
  <si>
    <t>BEESLINE PACIFIC ISLAND ROLL</t>
  </si>
  <si>
    <t>BEESLINE WHITENING ROLL DEODRANT INDIAN BAKHOOR</t>
  </si>
  <si>
    <t>BEESLINE WHITENING COOL BREEZE ROLL</t>
  </si>
  <si>
    <t>BEESLINE WHITENING DEO ROLL FRAGRANCE FREE</t>
  </si>
  <si>
    <t>BEESLINE WHITENING ELDER ROSE ROLL</t>
  </si>
  <si>
    <t>BEESLINE WHITENING GREEN FOREST ROLL</t>
  </si>
  <si>
    <t>BEESLINE WHITENING HAIR DELAYING DEO ROLL</t>
  </si>
  <si>
    <t>BEESLINE WHITENING DEO ROLL SPORT PLUS</t>
  </si>
  <si>
    <t>BEESLINE WHITENING DEO ROL OU</t>
  </si>
  <si>
    <t>BEESLINE WHITENING ROLL DEODORANT SENSITIVE ZONE</t>
  </si>
  <si>
    <t>BEESLINE WHITENING DEO ROLL B</t>
  </si>
  <si>
    <t>BEESLINE WHITENING DEO ROL CO</t>
  </si>
  <si>
    <t>BEESLINE WHITENING ROLL ON INSTANT WHITE FOR WOMEN 50ML</t>
  </si>
  <si>
    <t>BEESLINE WHITENING ROLL ON ZERO ALUMINUM NO TRACE FOR WOMEN 50ML</t>
  </si>
  <si>
    <t>BEESLINE WHITENING ROLL ON SUPER DRY POWDER SOFT FOR WOMEN 50ML</t>
  </si>
  <si>
    <t>BEESLINE WHITENING ROLL ON SUPER DRY JOURI ROSE FOR WOMEN 50ML</t>
  </si>
  <si>
    <t>BEESLINE WHITENING ROLL ON SUPER DRY FRAGRANCE FREE FOR WOMEN 50ML</t>
  </si>
  <si>
    <t>BEESLINE WHITENING ROLL ON OCEAN FRESH FOR MEN 50ML</t>
  </si>
  <si>
    <t>BEESLINE WHITENING ROLL ON HEAT PROTECTION FOR MEN 50ML</t>
  </si>
  <si>
    <t>BEESLINE WHITENING ROLL ON ACTIVE FRESH FOR MEN 50ML</t>
  </si>
  <si>
    <t>BEESLINE WHITENING ROLL ON SUPER DRY FRAGRANCE FREE FOR MEN 50ML</t>
  </si>
  <si>
    <t>BEESLINE WHITENING ROLL ON ZERO ALUMINUM FRAGRANCE FREE FOR MEN 50ML</t>
  </si>
  <si>
    <t>BEESLINE DEO ROLL FRAGRANCE FREE</t>
  </si>
  <si>
    <t>BEESLINE DEODORANT ROLL ON 50 ML FRAGRANCE FREE HONEY YELLOW 19023</t>
  </si>
  <si>
    <t>BEESLINE DEO  WHITE SENS FRESH</t>
  </si>
  <si>
    <t>BEESLINE FRUITY LIPS</t>
  </si>
  <si>
    <t>BEESLINE WHITENING FACIAL TONER</t>
  </si>
  <si>
    <t>BEESLINE EXPRESS BLACK HEAD M</t>
  </si>
  <si>
    <t>BEESLINE LIP WAX</t>
  </si>
  <si>
    <t>PURE BEAUTY HAIR SERUM KERATIN 90 ML 71993</t>
  </si>
  <si>
    <t>PURE BEAUTY HAIR SERUM COLLAGEN 90 ML 72006</t>
  </si>
  <si>
    <t>PURE BEAUTY WHITENING BB CR. SPF 25 LIGHT 50 ML</t>
  </si>
  <si>
    <t>PURE BEAUTY WHITENING BB CR. SPF 25 MEDIUM 50 ML</t>
  </si>
  <si>
    <t>PURE BEAUTY PATCHES BLACKHEAD CL</t>
  </si>
  <si>
    <t>PURE BEAUTY UNDER EYE WHITENING SERUM 15ML</t>
  </si>
  <si>
    <t>PURE BEAUTY SUNSCREEN CREAM SPF100 50 ML</t>
  </si>
  <si>
    <t>PURE BEAUTY HYDROGEL LIFTING FACIAL MASK 19737</t>
  </si>
  <si>
    <t>PURE BEAUTY WHITENING FIRMING ROLL ON Q10 SERUM 50 ML SPRING BREEZ 70996</t>
  </si>
  <si>
    <t>PURE BEAUTY ANTI-AGING MOISTURISING SOAP 70 GM 70774</t>
  </si>
  <si>
    <t>PURE BEAUTY ANTIBACTERIAL SOAP 70 GM 70750</t>
  </si>
  <si>
    <t>PURE BEAUTY EXFOLIATING SOAP 70 GM 70767</t>
  </si>
  <si>
    <t>PURE BEAUTY ORGANIC ALOE VERA HYDROGEL MASK WHITH VEGETABLE COLLAGEN 07560</t>
  </si>
  <si>
    <t>PURE BEAUTY WHITENING CREAM FOR ELBOWS&amp;KNEES 50 GM 70705</t>
  </si>
  <si>
    <t>PURE BEAUTY WHITENING BODY LOTION 330 ML 70903</t>
  </si>
  <si>
    <t>PURE BEAUTY WHITENING FACE LOTION 50 ML 70712</t>
  </si>
  <si>
    <t>PURE BEAUTY ANTI-AGING SERUM FOR FACE&amp;NECK 50 ML 71733</t>
  </si>
  <si>
    <t>PURE BEAUTY WHITENING SUNSCREEN LOTION SPF50+ 200 ML 70897</t>
  </si>
  <si>
    <t>PURE BEAUTY ACNE PATCH CLEANSING 40 PCS</t>
  </si>
  <si>
    <t>PURE BEAUTY FACE&amp;BODY MO</t>
  </si>
  <si>
    <t>PURE BEAUTY MICELLAR WATE</t>
  </si>
  <si>
    <t>PURE BEAUTY SENSITIVE AREA WHITENIN</t>
  </si>
  <si>
    <t>PURE BEAUTY MOISTTURISING</t>
  </si>
  <si>
    <t>PURE BEAUTY FRESH STICK DEODORANT</t>
  </si>
  <si>
    <t>PURE BEAUTY MEN BODY SPLASH MOST </t>
  </si>
  <si>
    <t>PURE BEAUTY MEN BODY SPLASH MAJESTIC 250 ML</t>
  </si>
  <si>
    <t>PURE BEAUTY WHITENING  ROLL ON FRA</t>
  </si>
  <si>
    <t>PURE BEAUTY WHITENING FIRMING ROLL ON Q10 SERUM 50 ML SOFT TOUCH 71962</t>
  </si>
  <si>
    <t>PURE BEAUTY BODY SPLASH PASSIONATE LOVE (W) 250 ML 71849</t>
  </si>
  <si>
    <t>PURE BEAUTY BODY SPLASH PURE LOVE (W) 250 ML 71856</t>
  </si>
  <si>
    <t>PURE BEAUTY MEN BODY SPLASH ULTRA MARINE 250 ML 71948</t>
  </si>
  <si>
    <t>PURE BEAUTY MEN BODY SPLASH IMPERIAL 250 ML 71917</t>
  </si>
  <si>
    <t>PURE BEAUTY MEN BODY SPLASH DARK ICE 250 ML 71900</t>
  </si>
  <si>
    <t>PURE BEAUTY BODY SPLASH ALWAYS LOVE (W) 250 ML 71030</t>
  </si>
  <si>
    <t>PURE BEAUTY MEN BODY SPLASH ADVENTURER 250 ML 71016</t>
  </si>
  <si>
    <t>PURE BEAUTY MEN BODY SPLASH BAD BOYS 250 ML 71009</t>
  </si>
  <si>
    <t>PURE BEAUTY WHITENING DEO</t>
  </si>
  <si>
    <t>PURE BEAUTY BODY SPLASH MIDNIGHT L</t>
  </si>
  <si>
    <t>PURE PEAUTY BODY SPLASH PASSIONATE</t>
  </si>
  <si>
    <t>PURE BEAUTY BODY SPLASH SECRET LOV</t>
  </si>
  <si>
    <t>PURE BEAUTY BODY SPLASH SWEET LOV</t>
  </si>
  <si>
    <t>PURE BEAUTY BODY SPLASH SIMPLY LOV</t>
  </si>
  <si>
    <t>PURE BEAUTY CLEANSING SOAP 70 GM</t>
  </si>
  <si>
    <t>PURE BEAUTY CREAM FOR SENSITIVE AR</t>
  </si>
  <si>
    <t>PURE PEAUTY EXPERT HAIR SERUM 90 ML</t>
  </si>
  <si>
    <t>PURE BEAUTY NATURAL WHITENING SOA</t>
  </si>
  <si>
    <t>PURE BEAUTY HAIR MINIMIZING &amp;ANTIPERPIRANT DEODORANT STICK 50 GM</t>
  </si>
  <si>
    <t>PURE BEAUTY WHITENING&amp;ANTIAGING C</t>
  </si>
  <si>
    <t>PURE BEAUTY WHITENING FACIAL CREA</t>
  </si>
  <si>
    <t>PURE BEAUTY WHITENING NIGHT CREAM</t>
  </si>
  <si>
    <t>PURE BEAUTY DAVE SILKY ROLL ON DEO</t>
  </si>
  <si>
    <t>PURE BEAUTY FRESH ROLL ON DEODORA</t>
  </si>
  <si>
    <t>PURE BEAUTY LIGHTLY SCENTED ROLL O</t>
  </si>
  <si>
    <t>PURE BEAUTY ORIGINAL ROLL ON DEODO</t>
  </si>
  <si>
    <t>PURE BEAUTY BERRY BLOSSOM STICK  D</t>
  </si>
  <si>
    <t>PURE BEAUTY DAVE SILKY STICK DEODO</t>
  </si>
  <si>
    <t>PURE BEAUTY ORIGINAL STICK DEODORA</t>
  </si>
  <si>
    <t>PURE BEAUTY SPRING BLOSSOM STICK D</t>
  </si>
  <si>
    <t>PURE BEAUTY PARABEN FREE STICK DEO</t>
  </si>
  <si>
    <t>PURE BEAUTY SPRING BLOSSOM ROLL O</t>
  </si>
  <si>
    <t>PURE BEAUTY BERRY BLOSSOM ROLL ON</t>
  </si>
  <si>
    <t>PURE BEAUTY 20 WAX STRIPS FACE</t>
  </si>
  <si>
    <t>JASMINA DAILY CLEANSING GEL WITH CHARCOAL,ANTI BLACKHEAD 200ML-10142</t>
  </si>
  <si>
    <t>JASMINA EXFOLIATOR WITH ECUALYPTUS,ANTI BLACKHEAD 150ML-10104</t>
  </si>
  <si>
    <t>JASMINA 3 IN 1  GEL WITH CHARCOAL,ANTI BLACKHEAD 150ML-10128</t>
  </si>
  <si>
    <t>JASMINA 3 IN 1  GEL WITH EUCALYPTUS, ADJUST SEBUM 150ML-10111</t>
  </si>
  <si>
    <t>JASMINA EXFOLIATOR WITH BLUEBERRY,PORE-MINIMIZING 150ML-10135</t>
  </si>
  <si>
    <t>JASMINA DAILY CLEANSING GEL WITH MENTHOL,ADJUST SEBUM 200ML-10098</t>
  </si>
  <si>
    <t>JASMINA PEEL-OFF MASK WITH CHARCOAL,ANTI BLACKHEAL 100ML-67349</t>
  </si>
  <si>
    <t>JASMINA PEEL-OFF MASK WITH GINGER,PURIFYING 15ML-67295</t>
  </si>
  <si>
    <t>JASMINA PEEL-OFF MASK WITH MATCHA TEA,PURIFYING AND MATTIFYING 15ML-67301</t>
  </si>
  <si>
    <t>JASMINA MASK WITH WHITE CLAY,PURIFYING 15ML-67363</t>
  </si>
  <si>
    <t>JASMINA GEL 3 IN 1 EYE CONTOUR 15ML-67288</t>
  </si>
  <si>
    <t>JASMINA FACE CREAM WITH PEARL BRIGHTENING 15ML-67356</t>
  </si>
  <si>
    <t>JASMINA FACE CREAM WITH PROPOLIS,ACNE-PRONE SKIN 15ML-67318</t>
  </si>
  <si>
    <t>JASMINA FACE WAXING STRIPS WITH NATURAL CHARCOAL&amp;GINGER 12 STRIP-7645</t>
  </si>
  <si>
    <t>JASMINA FACE SCRUB WITH  DIAMOND BRIGHTENING 15ML-67332</t>
  </si>
  <si>
    <t>PURE BEAUTY DEEP CARE HAIR SERUM 70ML-70675</t>
  </si>
  <si>
    <t>PURE BEAUTY WHITENING FEMININE WASH 200ML-70682</t>
  </si>
  <si>
    <t>PURE BEAUTY LIP CARE LIGHTNING</t>
  </si>
  <si>
    <t>ZAYN&amp;MYZA FOAMING FACE WASH-VITAMIN C-3824</t>
  </si>
  <si>
    <t>ZAYN&amp;MYZA FACE WASH-VITAMIN C-6429</t>
  </si>
  <si>
    <t>ZAYN&amp;MYZA NIGHT CREAM VITAMIN C-4005</t>
  </si>
  <si>
    <t>ZAYN&amp;MYZA FACE SERUM- VITAMIN C-3732</t>
  </si>
  <si>
    <t>ZAYN&amp;MYZA FOAMING FACE WASH-TEA TREE&amp;SALICYLIC ACID-3848</t>
  </si>
  <si>
    <t>ZAYN&amp;MYZA  FACE WASH-TEA TREE&amp;SALICYLIC ACID-6436</t>
  </si>
  <si>
    <t>ZAYN&amp;MYZA DAY CREAM-TEA TREE&amp;SALICYLIC ACID-2902</t>
  </si>
  <si>
    <t>ZAYN&amp;MYZA NIGHT CREAM-TEA TREE&amp;SALICYLIC ACID-0496</t>
  </si>
  <si>
    <t>ZAYN&amp;MYZA FACE SERUM-TEA TREE&amp;SALICYLIC ACID-3725</t>
  </si>
  <si>
    <t>ZAYN&amp;MYZA FACE SERUM-NIACINIMIDE 10%-0526</t>
  </si>
  <si>
    <t>ZAYN&amp;MYZA FACE SERUM-RETINOL-0533</t>
  </si>
  <si>
    <t>ZAYN&amp;MYZA FACE SERUM-FRUIT AHA 10%-0519</t>
  </si>
  <si>
    <t>ZAYN&amp;MYZA FACE SERUM-HYALURAUNIC ACID 1.5%-0540</t>
  </si>
  <si>
    <t>ZAYN&amp;MYZA DAY CREAM VITAMIN C-3992</t>
  </si>
  <si>
    <t>MICA BLLA BODY MIST   250ML STR</t>
  </si>
  <si>
    <t>MICA BLLA BODY MIST   250ML HYP</t>
  </si>
  <si>
    <t>MICA BLLA BODY MIST 250ML REV</t>
  </si>
  <si>
    <t>MICA BLLA BODY MIST 250ML PURE</t>
  </si>
  <si>
    <t>MICA BLLA BODY MIST 250ML GILD</t>
  </si>
  <si>
    <t>MICA BLLA BODY MIST 250ML VANI</t>
  </si>
  <si>
    <t>MICA BLLA BODY MIST 250ML DAR</t>
  </si>
  <si>
    <t>MICA BLLA BODY MIST 250ML DIAM</t>
  </si>
  <si>
    <t>HUMANA MILK CEREAL FRUITS 400 GM</t>
  </si>
  <si>
    <t>HUMANA MILK CEREAL RICE 400 GM</t>
  </si>
  <si>
    <t>HUMANA MILK CEREAL WHEAT 400 GM</t>
  </si>
  <si>
    <t>HUMANA BEBEMIL (1) 800 GM</t>
  </si>
  <si>
    <t>HUMANA BEBEMIL NO 2 800g</t>
  </si>
  <si>
    <t>HUMANA BEBEMIL (3) 800 GM</t>
  </si>
  <si>
    <t>HUMANA MILK  (1) 1100 GM</t>
  </si>
  <si>
    <t>HUMANA MILK (2) 1100 GM</t>
  </si>
  <si>
    <t>HUMANA MILK (3) 1100 GM</t>
  </si>
  <si>
    <t>HUMANA BABY CEREAL ORGANIC RICE 200 GM</t>
  </si>
  <si>
    <t>2-09-031-485</t>
  </si>
  <si>
    <t>QV CREAM ( PUMP ), 500 GM/CONTAINER</t>
  </si>
  <si>
    <t>2-09-003-001</t>
  </si>
  <si>
    <t>QVFEETHEELBALM/1APPLY,50GM</t>
  </si>
  <si>
    <t>QVLIPBALM/1APPLY,15GM/Tube</t>
  </si>
  <si>
    <t>2-09-023-004</t>
  </si>
  <si>
    <t>QVAZCLEARFOAMINGWASH/1AP</t>
  </si>
  <si>
    <t>2-09-023-007</t>
  </si>
  <si>
    <t>QVBABY2IN1SHAMPOO&amp;COND</t>
  </si>
  <si>
    <t>2-09-023-008</t>
  </si>
  <si>
    <t>QVBABYBARRIERCREAMapplyCr</t>
  </si>
  <si>
    <t>QVBABYMOISTURISINGCREAMap</t>
  </si>
  <si>
    <t>2-09-023-010</t>
  </si>
  <si>
    <t>QVBABYSKINLOTIONapplyCream</t>
  </si>
  <si>
    <t>2-09-023-011</t>
  </si>
  <si>
    <t>QVFACEGENTLEFOAMINGCLEAN</t>
  </si>
  <si>
    <t>2-09-023-013</t>
  </si>
  <si>
    <t>QVFACERESCUEGELapplyGel,25G</t>
  </si>
  <si>
    <t>2-09-031-342</t>
  </si>
  <si>
    <t>QVFLAREUPCream/1Container,1Co</t>
  </si>
  <si>
    <t>QVHANDCream/1Container,1Contain</t>
  </si>
  <si>
    <t>2-09-031-344</t>
  </si>
  <si>
    <t>QVINTENSIVEBODYMOISTCream</t>
  </si>
  <si>
    <t>2-09-031-347</t>
  </si>
  <si>
    <t>QVKIDSMOISTURISINGCream/1Co</t>
  </si>
  <si>
    <t>QVtubeCream,100GM/TUBE</t>
  </si>
  <si>
    <t>2-09-031-451</t>
  </si>
  <si>
    <t>QVCreamJAR,250GM/CONTAINER</t>
  </si>
  <si>
    <t>2-09-092-016</t>
  </si>
  <si>
    <t>QVGENTLEWASH/1Container,1Cont</t>
  </si>
  <si>
    <t>2-09-092-025</t>
  </si>
  <si>
    <t>QVWASHcontainerWash,500ML/CO</t>
  </si>
  <si>
    <t>2-09-094-065</t>
  </si>
  <si>
    <t>QVSKINLOTION/1APPLY,250ML/C</t>
  </si>
  <si>
    <t>QVBARSOAP/1APPLY,100GM/Conta</t>
  </si>
  <si>
    <t>2-09-163-031</t>
  </si>
  <si>
    <t>QVKIDSbarSOAP/1Container,1Conta</t>
  </si>
  <si>
    <t>2-09-166-031</t>
  </si>
  <si>
    <t>QVFACEMAKEUPREMOVERWIPE</t>
  </si>
  <si>
    <t>2-09-166-032</t>
  </si>
  <si>
    <t>QVINTESIVEMOISTURISERCLEAN</t>
  </si>
  <si>
    <t>2-09-204-004</t>
  </si>
  <si>
    <t>QVBABYGENTLEWASH250GATap</t>
  </si>
  <si>
    <t>2-09-204-005</t>
  </si>
  <si>
    <t>QVBABYMOISTURISINGCREAM(P</t>
  </si>
  <si>
    <t>2-09-204-006</t>
  </si>
  <si>
    <t>QVGENTLEWASH500GARABICapp</t>
  </si>
  <si>
    <t>2-09-204-007</t>
  </si>
  <si>
    <t>QVSKINLOTION500MLATapplySk</t>
  </si>
  <si>
    <t>2-09-204-008</t>
  </si>
  <si>
    <t>QVINTENSIVECREAM500GATappl</t>
  </si>
  <si>
    <t>2-09-204-009</t>
  </si>
  <si>
    <t>EGOQVINTENSIVECREAM100Gap</t>
  </si>
  <si>
    <t>2-09-204-010</t>
  </si>
  <si>
    <t>QVINTENSIVELIPBALM15GATapp</t>
  </si>
  <si>
    <t>2-09-204-011</t>
  </si>
  <si>
    <t>QVKIDSHAIRSHAMPOO200MLapp</t>
  </si>
  <si>
    <t>2-09-204-013</t>
  </si>
  <si>
    <t>QVHANDCREAMSPF15GWPBAGa</t>
  </si>
  <si>
    <t>ALTA MODE CONDITIONER DE</t>
  </si>
  <si>
    <t>ALTA MODE CONDITIONER KE</t>
  </si>
  <si>
    <t>ALTA MODE SHAMPO Bb CREA</t>
  </si>
  <si>
    <t>ALTA MODE CONDITIONER Bb</t>
  </si>
  <si>
    <t>ALTA MODE SHAMPO PERFECT</t>
  </si>
  <si>
    <t>ALTA MODE CONDITIONER PE</t>
  </si>
  <si>
    <t>ALTA MODE CONDITIONER HY</t>
  </si>
  <si>
    <t>ALTA MODE CONDITIONER MI</t>
  </si>
  <si>
    <t>ALTA MODA KERATIN SHAMPO</t>
  </si>
  <si>
    <t>ALTA MODA POWERFUL CURL</t>
  </si>
  <si>
    <t>ALTA MODA SUPER OILS SHAM</t>
  </si>
  <si>
    <t>ALTA MODA HIDRA SAVE SHAM</t>
  </si>
  <si>
    <t>ALTA MODA CONDITIONER PO</t>
  </si>
  <si>
    <t>ALTA MODA SHAMPO MICELL</t>
  </si>
  <si>
    <t>KERATIN MAINTENANCE SHAMPO 250 ML</t>
  </si>
  <si>
    <t>KERATIN MAINTENANCE CONDITIONER 250 ML</t>
  </si>
  <si>
    <t>KERATIN THERAPY RE HYDRATING MASK 200 ML</t>
  </si>
  <si>
    <t>IL SALON PROTIN STRAIGHTEN KIT WITH ARGAN OIL</t>
  </si>
  <si>
    <t>IL SALON PROTIN CONDITIONER NORMAL DRY HAIR 500 ML</t>
  </si>
  <si>
    <t>IL SALON PROTIN CREAM FOR NORMAL DRY HAIR 250 ML</t>
  </si>
  <si>
    <t>IL SALON PROTIN MASK FOR DRY DAMEGED HAIR 250 ML</t>
  </si>
  <si>
    <t>IL SALON PROTIN SHAMPO FOR  DAMEGED HAIR 500 ML</t>
  </si>
  <si>
    <t>BIOMIL1- 400G</t>
  </si>
  <si>
    <t>BIOMIL 2- 400G</t>
  </si>
  <si>
    <t>BIOMIL 3- 400G</t>
  </si>
  <si>
    <t>BIOMIL 2- 800G</t>
  </si>
  <si>
    <t>BIOMIL 3- 800G</t>
  </si>
  <si>
    <t>BIOMIL1- 800G</t>
  </si>
  <si>
    <t>BIOMIL EXTRA PREMIUM NO 3 400 GM</t>
  </si>
  <si>
    <t>BIOMIL EXTRA PREMIUM NO 2 400 GM</t>
  </si>
  <si>
    <t>BIOMIL EXTRA PREMIUM NO 1 400 GM</t>
  </si>
  <si>
    <t>SUPRAMIL (2) 400G</t>
  </si>
  <si>
    <t>SUPRAMIL (3) 400G</t>
  </si>
  <si>
    <t>SUPRAMIL(1)  400G</t>
  </si>
  <si>
    <t>SIMILAC GOLD 1 800GM</t>
  </si>
  <si>
    <t>SIMILAC GOLD 2 800GM</t>
  </si>
  <si>
    <t>SIMILAC GOLD 3 POWDER 800G</t>
  </si>
  <si>
    <t>SIMILAC GOLD 1 1600G</t>
  </si>
  <si>
    <t>SIMILAC GOLD 2 1600G</t>
  </si>
  <si>
    <t>SIMILAC GOLD 3 1600G</t>
  </si>
  <si>
    <t>NAIR SENS CREAM TUBE 302026063</t>
  </si>
  <si>
    <t>NAIR SPRAY LEMON 200ML 302028594</t>
  </si>
  <si>
    <t>NAIR LEMON CREAM TUBE 302026061</t>
  </si>
  <si>
    <t>NAIR ROSE CREAM TUBE 302026062</t>
  </si>
  <si>
    <t>NAIR MOISURIZING CREAM TUBE 302026064</t>
  </si>
  <si>
    <t>NAIR SPRAY ROSE 200ML 302028595</t>
  </si>
  <si>
    <t>NAIR SPRAY KIWI 200ML 302036919</t>
  </si>
  <si>
    <t>NAIR HAIR CREAM REMOVER CHERRY BLOSSM 110 ML 302042541</t>
  </si>
  <si>
    <t>NAIR HAIR CREAM REMOVER COCOA BUTTER 110 ML 302042542</t>
  </si>
  <si>
    <t>NAIR HAIR CREAM REMOVER ARGAN OIL 110 ML 302042543</t>
  </si>
  <si>
    <t>RONAGROW 850 GM</t>
  </si>
  <si>
    <t>RONALAC 1  850 GM</t>
  </si>
  <si>
    <t>RONALAC 2  850 GM</t>
  </si>
  <si>
    <t>RONALAC NO (1) 1700</t>
  </si>
  <si>
    <t>RONALAC NO (2) 1700</t>
  </si>
  <si>
    <t>RONALAC 2 400 GM</t>
  </si>
  <si>
    <t>RONALAC 1 400 GM</t>
  </si>
  <si>
    <t>RONAGROW 400 GM</t>
  </si>
  <si>
    <t>NURALAC NO2 900 G</t>
  </si>
  <si>
    <t>NURALAC NO1 900 G</t>
  </si>
  <si>
    <t>NURALAC NO3 900 G</t>
  </si>
  <si>
    <t>NURALAC NO1 400 G</t>
  </si>
  <si>
    <t>NURALAC NO2 400 G</t>
  </si>
  <si>
    <t>NURALAC NO 3 400 G</t>
  </si>
  <si>
    <t>COMPMIST COMPRESSOR NEBULIZER</t>
  </si>
  <si>
    <t>AM CARE PORTABLE NEBULIZER</t>
  </si>
  <si>
    <t>SKINLAB MICELLAR CLEANSI</t>
  </si>
  <si>
    <t>SKINLAB DAILY GEL CLEANS</t>
  </si>
  <si>
    <t>SKINLAB COLLAGEN MASK 5</t>
  </si>
  <si>
    <t>SKINLAB TREATMENT SERUM</t>
  </si>
  <si>
    <t>SKINLAB DAILY MOISTURIZE</t>
  </si>
  <si>
    <t>SKINLAB EYE GEL 19.8 G WITH</t>
  </si>
  <si>
    <t>SKINLAB VITAMIN C SLEEPIN</t>
  </si>
  <si>
    <t>SKINLAB 5 MINUTE CHARCOA</t>
  </si>
  <si>
    <t>SKINLAB INSTANT LINE SMOO</t>
  </si>
  <si>
    <t>SKINLAB INSTANT RADIANCE</t>
  </si>
  <si>
    <t>DORCO 3 FIT FOR LADY 3+1 90</t>
  </si>
  <si>
    <t>DORCO SHAI 2 PORTABLE 2+1 612874</t>
  </si>
  <si>
    <t>SASMAR STRAWBERRY LUBRICANT 6</t>
  </si>
  <si>
    <t>BETTER MIRROR 146085</t>
  </si>
  <si>
    <t>BETTER HAIR COMB WITH HA</t>
  </si>
  <si>
    <t>BETTER BIG CUSHION BRUSH</t>
  </si>
  <si>
    <t>BETTER SMALL CUSHION BRU</t>
  </si>
  <si>
    <t>BETTER MINI CUSHION BRUSH</t>
  </si>
  <si>
    <t>BETTER TWEEZERS DUPLY EX</t>
  </si>
  <si>
    <t>BETTER NITS REMOVER COM</t>
  </si>
  <si>
    <t>BETTER EMERY BOARD NAIL</t>
  </si>
  <si>
    <t>BETTER CHROMED NAIL CUT</t>
  </si>
  <si>
    <t>BETTER CORN SCRAPER FILE</t>
  </si>
  <si>
    <t>BETTER TOE NAIL CUTTER W</t>
  </si>
  <si>
    <t>BETTER MANICURE NAIL CLI</t>
  </si>
  <si>
    <t>BETTER SAPPHIRE NAIL FILE</t>
  </si>
  <si>
    <t>BETTER DIAGONAL GILDED P</t>
  </si>
  <si>
    <t>BETTER PEDIACURE NAIL CL</t>
  </si>
  <si>
    <t>BETTER SAPPHIRE ROUND PO</t>
  </si>
  <si>
    <t>BETTER BLUING STRAIGHT P</t>
  </si>
  <si>
    <t>BETTER CHROMEPLARED PO</t>
  </si>
  <si>
    <t>BETTER WIDE-TOOTH COMB</t>
  </si>
  <si>
    <t>BETTER STYLER COMB 121037</t>
  </si>
  <si>
    <t>BETTER STYLER COMB 121020</t>
  </si>
  <si>
    <t>BETTER ERGNOMIC PEDICUR</t>
  </si>
  <si>
    <t>BETTER STYLER COMP 121013</t>
  </si>
  <si>
    <t>BETTER QUADRUPLE NAIL FI</t>
  </si>
  <si>
    <t>BETTER NAIL FILE FIBERGLA</t>
  </si>
  <si>
    <t>SASMAR CLASSIC LUBRICANT 50ML</t>
  </si>
  <si>
    <t>SASMAR CLASSIC LUBRICANT 60ML</t>
  </si>
  <si>
    <t>SASMAR STRAWBERR  LUBRICANT 50</t>
  </si>
  <si>
    <t>SASMAR VANILLA  LUBRICANT 50ML</t>
  </si>
  <si>
    <t>SASMAR WARMING LUBRICANT 50ML</t>
  </si>
  <si>
    <t>SASMAR WARMING LUBRICANT 60ML</t>
  </si>
  <si>
    <t>SASMAR ORIGINAL SLICON PUMP 60M</t>
  </si>
  <si>
    <t>DORCO TG710 TWIN BLADES 24 PCS</t>
  </si>
  <si>
    <t>DORCO LADY TG711 RAZORS 4+1 BA</t>
  </si>
  <si>
    <t>DORCO SHAI 4 FRA200-4B FOR WOM</t>
  </si>
  <si>
    <t>DORCO SHAI SAFE FOR EYEBROW LDFA200-3B 23813</t>
  </si>
  <si>
    <t>DORCO TG710-5P BAG 4+1 RAZOR 1</t>
  </si>
  <si>
    <t>DORCO TG710-12MP 12PCS IN BAG 8</t>
  </si>
  <si>
    <t>DORCO BODY SINGLE BLADE</t>
  </si>
  <si>
    <t>DORCO SHAI 2 SOFT BLADE PI</t>
  </si>
  <si>
    <t>DORCO PACE 2 PLUS BODY BA</t>
  </si>
  <si>
    <t>DORCO SHAI 2 SOFT BODY BA</t>
  </si>
  <si>
    <t>DORCO 2 LONG HANDLE BODY</t>
  </si>
  <si>
    <t>DORCO 3 FIT BLADES 3+1 9102</t>
  </si>
  <si>
    <t>DORCO SHAI 3 CREAMY MINI</t>
  </si>
  <si>
    <t>DORCO PACE 3 BLISTER RAZO</t>
  </si>
  <si>
    <t>DORCO PACE 6 BLADES 3+1 80</t>
  </si>
  <si>
    <t>DORCO PACE 6 PRO 3D RAZOR</t>
  </si>
  <si>
    <t>DORCO PACE 6 PRO RAZOR 86</t>
  </si>
  <si>
    <t>DORCO NATTY SINGLE EYE B</t>
  </si>
  <si>
    <t>DORCO SHIA BIKINI 3B RAZORS 565262</t>
  </si>
  <si>
    <t>DORCO LADY 0375 PK-5P,FOR WOMEN (4+1) IN POLY BAG-582214</t>
  </si>
  <si>
    <t>DORCO SHAI 4:FRA 200-4P,FOR WOMEN (3+1) IN POLY BAG- 580630</t>
  </si>
  <si>
    <t>DORCO 2 RAZOR SOFT FOR MEN 2+1 87141</t>
  </si>
  <si>
    <t>DORCO PACE 6 SXA 100 3 PCS IN BLISTER PAXK OFFER 80654</t>
  </si>
  <si>
    <t>DORCO 1 BODY 3 PCS 585420</t>
  </si>
  <si>
    <t>DORCO PACE2 PORTABLE 5+2 612799</t>
  </si>
  <si>
    <t>DORCO PACE2 PORTABLE 8+4 613109</t>
  </si>
  <si>
    <t>DORCO PACE2 PORTABLE 15+5 595184</t>
  </si>
  <si>
    <t>DORCO PACE2 PLUS PORTABLE 5+2 612836</t>
  </si>
  <si>
    <t>DORCO PACE2 PLUS PORTABLE 612850</t>
  </si>
  <si>
    <t>DORCO PACE2 PLUS PORTABLE 15+5 613017</t>
  </si>
  <si>
    <t>DORCO 3 PORTABLE 4+4 613239</t>
  </si>
  <si>
    <t>DORCO PACE 3 PLUS PORTABLE 3+1 590004</t>
  </si>
  <si>
    <t>DORCO SHAI 2 PORTABLE 5+2 612898</t>
  </si>
  <si>
    <t>DORCO SHAI 2 PORTABLE 8+4 613123</t>
  </si>
  <si>
    <t>DORCO SHAI 2 SOFT PORTABLE 5+2 612935</t>
  </si>
  <si>
    <t>DORCO 3 FOR LADY PORTABLE 4+4 613253</t>
  </si>
  <si>
    <t>DORCO TINKLE 3 612997</t>
  </si>
  <si>
    <t>DORCO 2 LONG HANDLE 5+5 590028</t>
  </si>
  <si>
    <t>DORCO 2 LONG HANDLE FOR LADY 5+5 590066</t>
  </si>
  <si>
    <t>ORCA DIVA 2 COMFORT 5+1 PC</t>
  </si>
  <si>
    <t>ORCA DIVA 2 COMFORT 10+2 P</t>
  </si>
  <si>
    <t>ORCA GENTS 2 COMFORT 5+1</t>
  </si>
  <si>
    <t>ORCA GENTS 2 COMFORT 10+2</t>
  </si>
  <si>
    <t>ORCA SINGLE BOGY 5 PCS POL</t>
  </si>
  <si>
    <t>WHITE GLO 2 IN 1 T.P 100 ML + T.B</t>
  </si>
  <si>
    <t>WHITE GLO BREATH FRESHENER S</t>
  </si>
  <si>
    <t>WHITE GLO CHARCOAL BAD BREATH E</t>
  </si>
  <si>
    <t>WHITE GLO CHARCOAL DEEP STAIN RE</t>
  </si>
  <si>
    <t>WHITE GLO CHARCOAL M.W BAD B</t>
  </si>
  <si>
    <t>WHITE GLO CHARCOAL M.W DEEP</t>
  </si>
  <si>
    <t>WHITE GLO COFFEE&amp;TEA DRINKERS F</t>
  </si>
  <si>
    <t>WHITE GLO HERBAL WHITENING T.P 10</t>
  </si>
  <si>
    <t>WHITE GLO PROFESSIONAL CHOICE T.</t>
  </si>
  <si>
    <t>WHITE GLO SENSITIVE FORTE T.P 100M</t>
  </si>
  <si>
    <t>WHITE GLO SMOKER FORMULA T.P 100</t>
  </si>
  <si>
    <t>WHITE GLO ADVANTAGE CLEAN M</t>
  </si>
  <si>
    <t>WHITE GLO CHARCOAL DEEP S</t>
  </si>
  <si>
    <t>WHITE GLO EXPRESS WHITE W</t>
  </si>
  <si>
    <t>WHITE GLO PROFESSIONAL W</t>
  </si>
  <si>
    <t>WHITE GLO STAIN EXPERT WH</t>
  </si>
  <si>
    <t>WHITE GLO TOTAL PROTECTI</t>
  </si>
  <si>
    <t>WHITE GLO WHITENING T/PAS</t>
  </si>
  <si>
    <t>WHITE GLO PURPLE TOOTH TO</t>
  </si>
  <si>
    <t>SASMAR CHERRY PERSONAL LUBRICANT 60ML PUMP</t>
  </si>
  <si>
    <t>SASMAR VANILLA PERSONAL LUBRICANT 60ML PUMP</t>
  </si>
  <si>
    <t>SASMAR PINA COLADA PERSONAL LUBRICANT 60ML PUMP</t>
  </si>
  <si>
    <t>SASMAR MELON PERSONAL LUBRICANT 60ML PUMP</t>
  </si>
  <si>
    <t>WHITE GLO WHITENING MOUT</t>
  </si>
  <si>
    <t>FRANCE BEBE EQUILIBRE NO-1</t>
  </si>
  <si>
    <t>FRANCE BEBE EQUILIBRE NO-2</t>
  </si>
  <si>
    <t>FRANCE BEBE EQUILIBRE NO-3</t>
  </si>
  <si>
    <t>FRANCE BEBE PICKY EATER 1-</t>
  </si>
  <si>
    <t>OZNATURALS VITAMIN C SERUM 30 ML</t>
  </si>
  <si>
    <t>LENS ME COLORED LENSES CAFFE 13896</t>
  </si>
  <si>
    <t>LENS ME COLORED LENSES DATE 35889</t>
  </si>
  <si>
    <t>LENS ME COLORED LENSES LIME 13872</t>
  </si>
  <si>
    <t>LENS ME COLORED LENSES SNOWY 13865</t>
  </si>
  <si>
    <t>FRESH MORE BREATH ORANGE+STRAWBER</t>
  </si>
  <si>
    <t>FRESH MORE BREATH LEMON 24 STRIPS</t>
  </si>
  <si>
    <t>FRESH MORE BREATH ORANGE 24 STRIPS</t>
  </si>
  <si>
    <t>FRESH MORE MOUTH SPRAY STRAWBERRY </t>
  </si>
  <si>
    <t>FRESH MORE MOUTH SPRAY LEMON 20 ML</t>
  </si>
  <si>
    <t>FRESH MORE MOUTH SPRAY MINT 20 ML</t>
  </si>
  <si>
    <t>FRESH MORE MOUTH SPRAY PEPPERMINT 20</t>
  </si>
  <si>
    <t>FORX VIOLA BODY&amp;HAIR MIS</t>
  </si>
  <si>
    <t>FORX STORY BODY&amp;HAIR MIS</t>
  </si>
  <si>
    <t>FORX DURIAN FRUITS BODY&amp;</t>
  </si>
  <si>
    <t>FORX MUSK POWDER BODY&amp;H</t>
  </si>
  <si>
    <t>FORX CRIMSON WATERMELON</t>
  </si>
  <si>
    <t>FORX AREEJ BODY&amp;HAIR MIST</t>
  </si>
  <si>
    <t>FORX ORCHID FLOWER BODY</t>
  </si>
  <si>
    <t>FORX LOGAN BERRY BODY&amp;H</t>
  </si>
  <si>
    <t>B&amp;S 1</t>
  </si>
  <si>
    <t>B&amp;S 2</t>
  </si>
  <si>
    <t>B&amp;S 3</t>
  </si>
  <si>
    <t>B&amp;S 4</t>
  </si>
  <si>
    <t>B&amp;S 5</t>
  </si>
  <si>
    <t> PURE OMEGA-3  Syrup, 240 ML/BO</t>
  </si>
  <si>
    <t> PureFeel Tablet, 30 TABLET/BOX</t>
  </si>
  <si>
    <t> CENTROZON Tablet, 30 TABLET/BO</t>
  </si>
  <si>
    <t>1-03-044-040</t>
  </si>
  <si>
    <t> FAWARVIT Vitamin C + Zinc tablet, 20</t>
  </si>
  <si>
    <t> ZINCOLIVE  Syrup, 150 ML/BOTTE</t>
  </si>
  <si>
    <t> CENTROZON WOMEN Tablet, 30 T</t>
  </si>
  <si>
    <t> BoneFriend Tablet, 30 TABLET/BOX</t>
  </si>
  <si>
    <t> ARGIGROW ml Syrup, 150 ML/BOT</t>
  </si>
  <si>
    <t>1-03-044-039</t>
  </si>
  <si>
    <t> FAWARVIT Vitamin C 1000 mg/Efferv</t>
  </si>
  <si>
    <t>CETAPHIL MOISTURIZING LOTION 500 ML/CONTAINER</t>
  </si>
  <si>
    <t>EUCERIN DERMATO CLEAN 3 IN 1 MICE</t>
  </si>
  <si>
    <t>LA ROCHE-POSAY EFFACLAR DUO+ SPF</t>
  </si>
  <si>
    <t>CERAVE HYDRATING CLEANSER (OT) , 4</t>
  </si>
  <si>
    <t>EUCERIN DEDORANT 24H ROLL (OT) , 50</t>
  </si>
  <si>
    <t>LA ROCHE-POSAY EFFACLAR DUO+M C</t>
  </si>
  <si>
    <t>BIODERMA CICABIO SOOTHING REPAIR</t>
  </si>
  <si>
    <t>TEBRAMIL ADVANCED NO 1 400 GM</t>
  </si>
  <si>
    <t>TEBRAMIL ADVANCED NO 2 400 GM</t>
  </si>
  <si>
    <t>TEBRAMIL ADVANCED NO 3 400 GM</t>
  </si>
  <si>
    <t>AVENT103/02 ANTI-COLIC BOTTLE 260M</t>
  </si>
  <si>
    <t>PHILIPS AVENT 962/02 NATURAL 3.0 FEE</t>
  </si>
  <si>
    <t>PHILIPS AVENT 963/02 NATURAL 3.0 FEE</t>
  </si>
  <si>
    <t>AVENT 100/01 ANTI-COLIC BOTTLE 125 M</t>
  </si>
  <si>
    <t>AVENT 106/01 ANTI-COLIC BOTTLE 330 M</t>
  </si>
  <si>
    <t>AVENT NATURAL 3 FEEDING BOTTLE GL</t>
  </si>
  <si>
    <t>AVENT NATURAL 3 FEEDING BOTTLE KO</t>
  </si>
  <si>
    <t>AVENT NATURAL 3 FEEDING BOTTLE GI</t>
  </si>
  <si>
    <t>AVENT NATURAL 3 FEEDING TEATS 3 M</t>
  </si>
  <si>
    <t>AVENT NATURAL 3 FEEDING TEATS THI</t>
  </si>
  <si>
    <t>AVENT CLASSIC/CLASSIC PLUS TEATS </t>
  </si>
  <si>
    <t>AVENT STHR SILICONE ULTRA AIR 0-6 M</t>
  </si>
  <si>
    <t>$old$AVENT SCF053/17 NATURAL 2.0 BO</t>
  </si>
  <si>
    <t>AVENT SCF085/06 ULTRA AIR FREEFLOW</t>
  </si>
  <si>
    <t>Philips Avent 376/21 STHR SIL ULTRA AIR</t>
  </si>
  <si>
    <t>AVENT SCF085/05 ULTRA AIR FREEFLOW</t>
  </si>
  <si>
    <t>AVENT SCF036/17 NATURAL 2.0 BOTTLE</t>
  </si>
  <si>
    <t>Philips Avent 673/01 NATURAL 3.0 FEEDIN</t>
  </si>
  <si>
    <t>AVENT SCF634/27 CLASSIC PLUS TEATS </t>
  </si>
  <si>
    <t>$old$AVENT SCF041/27 NATURAL 2.0 TEA</t>
  </si>
  <si>
    <t>AVENT 085/61 ULTRA AIR PACIFIER 6-18M</t>
  </si>
  <si>
    <t>AVENT VIDEO AND AUDIO BABY MONI</t>
  </si>
  <si>
    <t>AVENT 135/07 MILK POWDER DISPENSER</t>
  </si>
  <si>
    <t>AVENT 103/01 ANTI-COLIC BOTTLE 260M</t>
  </si>
  <si>
    <t>$old$AVENT SCF030/17 NATURAL 2.0 BO</t>
  </si>
  <si>
    <t>Philips Avent 670/01 NATURAL 3.0 FEEDIN</t>
  </si>
  <si>
    <t>AVENT 085/60 SOOTHER SILICON PACIFI</t>
  </si>
  <si>
    <t>AVENT 376/14 SOOTHER SILICON ULTRA</t>
  </si>
  <si>
    <t>AVENT ULTRA AIR FLOW 18 M DECO X2</t>
  </si>
  <si>
    <t>AVENT NATURAL BOTTLE 125ML X1 900</t>
  </si>
  <si>
    <t>Philips Avent 903/01 NATURAL 3.0 FEEDIN</t>
  </si>
  <si>
    <t>AVENT SCF635/27 CLASSIC PLUS TEATS </t>
  </si>
  <si>
    <t>AVENT NATURAL GLASS BOTTLE 240ML</t>
  </si>
  <si>
    <t>AVENT ULTRA AIR PACIFIER 0-6 M GIRL </t>
  </si>
  <si>
    <t>AVENT ULTRA AIR PACIFIER 0-6 M BOY </t>
  </si>
  <si>
    <t>AVENT SCF632/27 CLASSIC PLUS TEATS </t>
  </si>
  <si>
    <t>Philips Avent 376/12 STHR SIL ULTRA AIR</t>
  </si>
  <si>
    <t>$old$AVENT SCF042/27 NATURAL 2.0 TEA</t>
  </si>
  <si>
    <t>AVENT 091/15 SOOTHER SILICON SOFT 6</t>
  </si>
  <si>
    <t>AVENT SCF039/17 NATURAL 2.0 BOTTLE</t>
  </si>
  <si>
    <t>AVENT SCF045/27 NATURAL 2.0 TEATS V</t>
  </si>
  <si>
    <t>Philips Avent 091/07ULTRA SOFT PACIFIE</t>
  </si>
  <si>
    <t>PHILIPS AVENT 223/03 SOFT SOOTHER 6-</t>
  </si>
  <si>
    <t>Philips Avent 222/02 ULTRA SOFT PACIFIE</t>
  </si>
  <si>
    <t>PHILIPS AVENT 223/02 SOFT SOOTHER 6-</t>
  </si>
  <si>
    <t>AVENT349/10 ULTRA AIR FREE FLOW SO</t>
  </si>
  <si>
    <t>NAN ( 2)  800 G</t>
  </si>
  <si>
    <t>S-26 GOLD NO(2) 1800 G</t>
  </si>
  <si>
    <t>S-26 PRO GOLD NO(1) 1800G</t>
  </si>
  <si>
    <t>S-26 GOLD NO (3) 1800G</t>
  </si>
  <si>
    <t>NAN 1 MILK 800 GM</t>
  </si>
  <si>
    <t>S-26 NO(1) 800 GM</t>
  </si>
  <si>
    <t>S-26 GOLD NO(2) 800 GM</t>
  </si>
  <si>
    <t>NAN 3 800G</t>
  </si>
  <si>
    <t>S-26 GOLD NO(3) 800 GM</t>
  </si>
  <si>
    <t>NIDO NO 1 (1-3) 900 G</t>
  </si>
  <si>
    <t>NIDO NO 1 (1-3) 1800 G</t>
  </si>
  <si>
    <t>NAN 3-1800G</t>
  </si>
  <si>
    <t>NIDO NO 1 (1-3) 400G</t>
  </si>
  <si>
    <t>KOLE MAXI 302/0 NATURAL BLACK 83</t>
  </si>
  <si>
    <t>KOLESTON MAXI 307/0 MEDIUM  BLON</t>
  </si>
  <si>
    <t>KOLESTONE MAXI 307/2 NATT MEDIUM</t>
  </si>
  <si>
    <t>KOLE MAXI 308/1 LIGHT ASH BLONDE</t>
  </si>
  <si>
    <t>KOLESTON MAXI 307/1 MEDIUM Ash  B</t>
  </si>
  <si>
    <t>KOLESTON MAXI 308/0 LIGHT BLOND</t>
  </si>
  <si>
    <t>KOLESTON  WR MAXI 308/11 DEEP ASH 110ML</t>
  </si>
  <si>
    <t>KOLESTON  WR MAXI 307/11 DEEP ASH 110ML</t>
  </si>
  <si>
    <t>KOLESTON  WR MAXI 305/1 LIGHT ASH 110ML</t>
  </si>
  <si>
    <t>KOLESTON  WR MAXI 310/81 ULTRA LIGHT 110ML</t>
  </si>
  <si>
    <t>KOLESTON  WR MAXI 307/17 FROSTED CHOCO 110ML</t>
  </si>
  <si>
    <t>KOLESTON MAXI 301/0 BLUE BLACK 8</t>
  </si>
  <si>
    <t>KOLE MAXI 307/0 MEDIUM BLOND 654</t>
  </si>
  <si>
    <t>KOL MAXI 306/1 DARK ASH BLOND 14</t>
  </si>
  <si>
    <t>KOLE MAXI 303/0 DARK BROWN 91265</t>
  </si>
  <si>
    <t>KOLESTON MAXI 307/7 DEER BROWN </t>
  </si>
  <si>
    <t>KOLE MAXI 306/1 DARK ASH BLOND 8</t>
  </si>
  <si>
    <t>KOLESTON MAXI 306/0DARK BLONDE</t>
  </si>
  <si>
    <t>KOLE MAXI 306/7 CHOCOLATE BROW</t>
  </si>
  <si>
    <t>KOLESTON MAXI 303/4 DARK CHESTN</t>
  </si>
  <si>
    <t>KOLE MAXI 304/0 MEDIUM BROWN 812</t>
  </si>
  <si>
    <t>KOLESTON MAXI 309/0 LIGHTEST BLO</t>
  </si>
  <si>
    <t>KOLE MAXI 309/1 LIGHT ASH BLONDE</t>
  </si>
  <si>
    <t>KOLE MAXI 310/0 PLATINUM BLONDE </t>
  </si>
  <si>
    <t>KOLESTON MAXI 304/6 BEAJOLAIS 81</t>
  </si>
  <si>
    <t>KOLE MAXI 305/0 LIGHT BROWN 8112</t>
  </si>
  <si>
    <t>KOLE MAXI 307/3HAZELNUT 81383915</t>
  </si>
  <si>
    <t>JP OMEGA 3 567 MG 60 CAP</t>
  </si>
  <si>
    <t>NEMR ROYAL 1000 mg/capsule, 30 CAPSULE/BOX</t>
  </si>
  <si>
    <t>ASHWAG Capsule, 50 CAPSULE/BOTTLE</t>
  </si>
  <si>
    <t>JP OMEGA-3 1000 mg/capsule, 60 CAPSULE/BOX</t>
  </si>
  <si>
    <t>CO-Q Soft Gel Cap 100MG/1Capsule, 30Capsule/Box</t>
  </si>
  <si>
    <t>JP MACA 500 mg/capsule, 50 CAPSULE/BOTTLE</t>
  </si>
  <si>
    <t>NERVAN 500 mg/tablet, 30 TABLET/BOX</t>
  </si>
  <si>
    <t>JP MELATONIN 5 mg/tablet Soft Gel Cap, 100 TABLET/BOX</t>
  </si>
  <si>
    <t>1-16-187-012</t>
  </si>
  <si>
    <t>CURAMIN 100 mg/capsule, 60 CAPSULE/CONTAINER</t>
  </si>
  <si>
    <t>BABY DAR NIPPLE 3PCS BOX L101</t>
  </si>
  <si>
    <t>BABY DAR FEEDING BOT WITH H</t>
  </si>
  <si>
    <t>BABY DAR PACIFIER S 0-5101035</t>
  </si>
  <si>
    <t>BABY DAR FEEDING BOT WITHO</t>
  </si>
  <si>
    <t>BABY DAR PACIFIER L +8101033</t>
  </si>
  <si>
    <t>BABY DAR PACIFIER M 5-8101034</t>
  </si>
  <si>
    <t>BABY DAR NIPPLE 1PCS BOX L101</t>
  </si>
  <si>
    <t>BABY DAR PLASTIC WITH HANDL</t>
  </si>
  <si>
    <t>BABY DAR NIPPLE 3PCS BOX S10</t>
  </si>
  <si>
    <t>BABY DAR NIPPLE 1PCS BOX M10</t>
  </si>
  <si>
    <t>BABY DAR BOT WITH HAND 120M</t>
  </si>
  <si>
    <t>BABY DAR PLASTIC 210ML WITH</t>
  </si>
  <si>
    <t>BABY DAR NIPPLE 1PCS BOX S10</t>
  </si>
  <si>
    <t>BABY DAR PLASTIC 200NL WITH H</t>
  </si>
  <si>
    <t>BABY DAR MILK POWDER BOX(C</t>
  </si>
  <si>
    <t>BABY DAR PLASTIC 210ML WITHO</t>
  </si>
  <si>
    <t>BABY DAR BREAST PUMP101037</t>
  </si>
  <si>
    <t>BABY DAR PLASTIC 60ML WITH O</t>
  </si>
  <si>
    <t>BABY DAR TEETHING GUM SILIC</t>
  </si>
  <si>
    <t>BABY DAR TOOTH GUM B53-7 101</t>
  </si>
  <si>
    <t>BABY DAR PLASTIC 200ML WITHO</t>
  </si>
  <si>
    <t>BABY DAR WIDE NECK PP BOT WITHOUT HAND COLOR BOX 125 ML</t>
  </si>
  <si>
    <t>BABY DAR WIDE NECK PP BOT WITHOUT HAND COLOR BOX 180 ML</t>
  </si>
  <si>
    <t>BABY DAR WIDE NECK PP BOT WITHOUT HAND COLOR BOX 260 ML</t>
  </si>
  <si>
    <t>BABY DAR WIDE NECK PP BOT WITHOUT HAND COLOR BOX 330 ML</t>
  </si>
  <si>
    <t>BABY DAR WIDE NECK SILINCONE NIPPLE 2PCS IN CARD(S)</t>
  </si>
  <si>
    <t>BABY DAR WIDE NECK  SILINCONE NIPPLE 2PCS IN CARD(M)</t>
  </si>
  <si>
    <t>BABY DAR WIDE NECK SILINCONE NIPPLE 2PCS IN CARD(L)</t>
  </si>
  <si>
    <t>BABY DAR GLASS F B WITHOUT HAND 240ML</t>
  </si>
  <si>
    <t>BABY DAR GLASS F B WITHOUT HAND 120ML</t>
  </si>
  <si>
    <t>BABY DAR GLASS F B WITHOUT HAND 60ML</t>
  </si>
  <si>
    <t>BABY DAR NIPPLE 3PCS CARD L101024</t>
  </si>
  <si>
    <t>BABY DAR NIPPLE 3PCS CARD M101025</t>
  </si>
  <si>
    <t>BABY DAR NIPPLE 3PCS CARD S101026</t>
  </si>
  <si>
    <t>BABY DAR BOT BRUSH101036</t>
  </si>
  <si>
    <t>BABY DAR PLASTIC 150ML WITH HANDLE SHRINK WARP101014</t>
  </si>
  <si>
    <t>BABY DAR PLASTIC 120ML WITH OUT HANDLE SHRINK WARP101020</t>
  </si>
  <si>
    <t>BABY DAR PLASTIC WITH HANDLE SHRINK WARP 275ML101002</t>
  </si>
  <si>
    <t>BABY DAR FEEDING BOT WITHOUT HAND 240ML SHRINK WARP101006</t>
  </si>
  <si>
    <t>BABY DAR PLASTIC 210ML WITH HANDLE SHRINK WARP101008</t>
  </si>
  <si>
    <t>BABY DAR PLASTIC 210ML WITH OUT HANDLE SHRINK WARP101010</t>
  </si>
  <si>
    <t>BABY DAR PLASTIC 120ML WITH  HANDLE SHRINK WARP101018</t>
  </si>
  <si>
    <t>EZYTECH BONE KIDS strip Orodispersible strip, 3</t>
  </si>
  <si>
    <t> EZYTECH DALVIT-F  Orodispersible strip, 30 STR</t>
  </si>
  <si>
    <t>LACTONIC EASE 2go  (1) GOLD 400G</t>
  </si>
  <si>
    <t>LACTONIC HA PLUS 2 GOLD 400G</t>
  </si>
  <si>
    <t>LACTONIC HA PLUS 1 GOLD 400G</t>
  </si>
  <si>
    <t>LACTONIC EASE 2go (3) GOLD 400G</t>
  </si>
  <si>
    <t>LACTONIC LF GOLD 350</t>
  </si>
  <si>
    <t>LACTONIC (1) GOLD 800G</t>
  </si>
  <si>
    <t>LACTONIC (1) GOLD 400G</t>
  </si>
  <si>
    <t>LACTONIC (2) GOLD 400G</t>
  </si>
  <si>
    <t>LACTONIC (2) GOLD 800G</t>
  </si>
  <si>
    <t>LACTONIC EASE 2go  (1) GOLD 800G</t>
  </si>
  <si>
    <t>LACTONIC EASE 2go  (2) GOLD 800G</t>
  </si>
  <si>
    <t>LACTONIC EASE 2go (3) GOLD 800G</t>
  </si>
  <si>
    <t xml:space="preserve">VEET HAIR REMOVAL CREAM DRY SKIN    </t>
  </si>
  <si>
    <t xml:space="preserve">VEET HAIR REMOVAL CREAM NORMAL SKIN     </t>
  </si>
  <si>
    <t xml:space="preserve">VEET HAIR REMOVAL CREAM SENSETIVE SKIN               </t>
  </si>
  <si>
    <t> VEET WAX STRIP NORMAL SKIN  20 WAX STRIPS   </t>
  </si>
  <si>
    <t> VEET WAX STRIPS DRY SKIN 20 WAX  STRIPS</t>
  </si>
  <si>
    <t> VEET WAX STRIPS SENSETIVE SKIN 20 WAX STRIPS</t>
  </si>
  <si>
    <t>HONEY ROYAL KING 1000 G</t>
  </si>
  <si>
    <t>HONEY BLACK FOREST 1000 G</t>
  </si>
  <si>
    <t>NOVALAC 1 800GM</t>
  </si>
  <si>
    <t>NOVALAC 2 800GM</t>
  </si>
  <si>
    <t>NOVALAC GENIO 800 G</t>
  </si>
  <si>
    <t>CHICCO  BOTTLE WELL-BEING GLASS B</t>
  </si>
  <si>
    <t>CHICCO  BOTTLE WELL-BEING PP COL 2</t>
  </si>
  <si>
    <t>CHICCO  BOTTLE WELL-BEING PP UNI 25</t>
  </si>
  <si>
    <t>CHICCO  BOTTLE WELL-BEING TRAVEL </t>
  </si>
  <si>
    <t>CHICCO BOTTLE NATURAL FEEDING  33</t>
  </si>
  <si>
    <t>CHICCO BOTTLE WARMER HOME STEP</t>
  </si>
  <si>
    <t>CHICCO BOTTLE WELL-BEING  COL PP U</t>
  </si>
  <si>
    <t>CHICCO BOTTLE WELL-BEING GLASS NO</t>
  </si>
  <si>
    <t>CHICCO BOTTLE WELL-BEING PP BOY 15</t>
  </si>
  <si>
    <t>CHICCO BOTTLE WELL-BEING PP BOY 25</t>
  </si>
  <si>
    <t>CHICCO BOTTLE WELL-BEING PP GIRL 1</t>
  </si>
  <si>
    <t>CHICCO BOTTLE WELL-BEING PP GIRL 2</t>
  </si>
  <si>
    <t>CHICCO BOTTLE WELL-BEING PP GIRL 3</t>
  </si>
  <si>
    <t>CHICCO BOTTLE WELL-BEING PP UNI 33</t>
  </si>
  <si>
    <t>CHICCO BREST PAD 60 PCS 70989257</t>
  </si>
  <si>
    <t>CHICCO BRUSH AND COMB LIGHT BLUE</t>
  </si>
  <si>
    <t>CHICCO BRUSH AND COMB PINK 401192</t>
  </si>
  <si>
    <t>CHICCO COTTON BUDS 90PCS 844839</t>
  </si>
  <si>
    <t>CHICCO FEDING BOTTLE NATFEELING 4</t>
  </si>
  <si>
    <t>CHICCO FEDING BOTTLE STEP UP NEW </t>
  </si>
  <si>
    <t>CHICCO FRESH RELAX CHERRY TEETHE</t>
  </si>
  <si>
    <t>CHICCO FRESH RELAX ICE CREAM TEET</t>
  </si>
  <si>
    <t>CHICCO FRESH RELAX RING WITH HAN</t>
  </si>
  <si>
    <t>CHICCO FUNNY RELAX TEETHING RING</t>
  </si>
  <si>
    <t>CHICCO MICRO FEEDING BOTTLE 60ML </t>
  </si>
  <si>
    <t>CHICCO NATURAL FEEDING BOTTLE  0M</t>
  </si>
  <si>
    <t>CHICCO NATURAL FEELING BOTTLE 0M</t>
  </si>
  <si>
    <t>CHICCO NATURAL FEELING BOTTLE 2M</t>
  </si>
  <si>
    <t>CHICCO NATURAL FEELING TEAT 0M+R</t>
  </si>
  <si>
    <t>CHICCO NATURAL FEELING TEAT 4M+F</t>
  </si>
  <si>
    <t>CHICCO NATURAL FEELING TEAT6M+FA</t>
  </si>
  <si>
    <t>CHICCO NO TEARS BATH FOAM 200ML </t>
  </si>
  <si>
    <t>CHICCO NO TEARS SHAMPO 200ML BAB</t>
  </si>
  <si>
    <t>CHICCO SILICONE NIPPLE SHIELDS-LAR</t>
  </si>
  <si>
    <t>CHICCO SILICONE NIPPLE SHIELDS-SMA</t>
  </si>
  <si>
    <t>CHICCO SOAP 100GM BABY MOMENTS </t>
  </si>
  <si>
    <t>CHICCO SOOTHER PH AIR BLUE LATEX </t>
  </si>
  <si>
    <t>CHICCO SOOTHER PH AIR PINK LATEX </t>
  </si>
  <si>
    <t>CHICCO SOOTHER PH AIR PINK SILICON</t>
  </si>
  <si>
    <t>CHICCO SOOTHER PH COMFORT PINK S</t>
  </si>
  <si>
    <t>CHICCO SWEET PERFUMED WATER 100M</t>
  </si>
  <si>
    <t>CHICCO TEAT NATURAL FEELING 2M+F</t>
  </si>
  <si>
    <t>CHICCO WELL-BEING 0M+NORMAL SILI</t>
  </si>
  <si>
    <t>CHICCO WELL-BEING FEEDING BOTTLE </t>
  </si>
  <si>
    <t>CHICCO WELL-BEING TEAT 2M+ADJ SIL</t>
  </si>
  <si>
    <t>CHICCO WELL-BEING TEAT 2M+MEDIUM</t>
  </si>
  <si>
    <t>CHICO BOTTLE NATURAL FEEDING 0M+</t>
  </si>
  <si>
    <t>CHICO BOTTLE NATURAL FEEDING 2M+</t>
  </si>
  <si>
    <t>CREME 21 BELOVED BREEZ DEO ROLL O</t>
  </si>
  <si>
    <t>CREME 21 COCOA-RICH MOIST PETROL</t>
  </si>
  <si>
    <t>CREME 21- CREAM SOAP AQUA SOFT 3+</t>
  </si>
  <si>
    <t>CREME 21 FRESH FUSION DEO ROLL ON</t>
  </si>
  <si>
    <t>CREME 21 GLYCERIN CREAM PURE GLYC</t>
  </si>
  <si>
    <t>CREME 21 INTENSIVE MOIST PETROLEU</t>
  </si>
  <si>
    <t>CREME 21 PETAL WHISPER DEO ROLL O</t>
  </si>
  <si>
    <t>CREME 21 SOAP AQUA SOFT MOIST CRE</t>
  </si>
  <si>
    <t>CREME 21 TENDER TOUCH BODY LOITO</t>
  </si>
  <si>
    <t>HOBBY PROTEIN SHAMPO GARLIC EXT</t>
  </si>
  <si>
    <t>HOBBY PROTEIN SHAMPO HERBAL EXT</t>
  </si>
  <si>
    <t>HOBBY PROTEIN SHAMPO OLIVE EXTRA</t>
  </si>
  <si>
    <t>HOBBY PROTEIN SHAMPO ROSE EXTRA</t>
  </si>
  <si>
    <t>HOBBY PROTEIN SHAMPO WITH ALMO</t>
  </si>
  <si>
    <t>PERSONNA COMFORT TOUCH FOR WOM</t>
  </si>
  <si>
    <t>PERSONNA LADY BIKINI 3PCS 8/6/3 3250</t>
  </si>
  <si>
    <t>PERSONNA LADY EYEBROW SHAPER 3P</t>
  </si>
  <si>
    <t>PERSONNA LADY SOFT SKIN 2+1 FREE4/</t>
  </si>
  <si>
    <t>PERSONNA RAZ.COMFORT TOUCH 15+5</t>
  </si>
  <si>
    <t>JERGENS LOT SHEA BUTTER 40</t>
  </si>
  <si>
    <t>JERGENS LOT SOFTNING MUS</t>
  </si>
  <si>
    <t>JERGENS LOT ORIGNAL SCEN</t>
  </si>
  <si>
    <t>JERGENS LOT SOOTHING ALO</t>
  </si>
  <si>
    <t>JERGENS LOT DAILY MOISTUR</t>
  </si>
  <si>
    <t>JERGENS LOTION SHEA BUTTE</t>
  </si>
  <si>
    <t>JERGENS LOT ORIGINAL SCEN</t>
  </si>
  <si>
    <t>JERGENS LOT OVERNIGHT REP</t>
  </si>
  <si>
    <t>JERGENS OVERNIGHT REPAIR</t>
  </si>
  <si>
    <t>JERGENS SKIN FIRMING BODY</t>
  </si>
  <si>
    <t>JERGENS SOOTHING ALOE LO</t>
  </si>
  <si>
    <t>JERGENS LOT ULTRA HEALING</t>
  </si>
  <si>
    <t>JERGENS BODY LOTION SKIN</t>
  </si>
  <si>
    <t>JERGENS LOT SOFTENING MU</t>
  </si>
  <si>
    <t>JERGENS ULTRA HEALING BOD</t>
  </si>
  <si>
    <t>JERGENS LOT MUSK 200ML 208</t>
  </si>
  <si>
    <t>JERGENS SMOOTHING OUD 40</t>
  </si>
  <si>
    <t>BIC BODY 3"S 801005</t>
  </si>
  <si>
    <t>BIC 2 SENSITIVE 10+5 801011</t>
  </si>
  <si>
    <t>BIC 3 SENSITIVE TRAY 4+2 8010</t>
  </si>
  <si>
    <t>BIC 3 SENSITIVE 8+4 801020</t>
  </si>
  <si>
    <t>BIC FLEX 5 FLEXIBLE BLADES 2</t>
  </si>
  <si>
    <t>BIC TWIN LADY 10+5 801031</t>
  </si>
  <si>
    <t>BIC PURE 3 4+2 TRAY 20 801032</t>
  </si>
  <si>
    <t>BIC 3 SOLEIL SCENT 4+2 801034</t>
  </si>
  <si>
    <t>BIC 4 SOLEIL BELLA 3+1 801035</t>
  </si>
  <si>
    <t>BIC 3 ACTION P12 8+4 801040</t>
  </si>
  <si>
    <t>BIC 3 MISS SOLEIL SENSITIVE</t>
  </si>
  <si>
    <t>BIC SOLEIL CLICK 3 B4 10 80104</t>
  </si>
  <si>
    <t>BIC SOLEIL CLICK 3 SENSITIVE</t>
  </si>
  <si>
    <t>BIC SOLEIL ESCAPE 5B BLAD 2</t>
  </si>
  <si>
    <t>BIC FLEX 3 HYBRID B4 801047</t>
  </si>
  <si>
    <t>BIC FLEX 5 HYBRID B4 801048</t>
  </si>
  <si>
    <t>APTAMIL NO1 800G</t>
  </si>
  <si>
    <t>APTAMIL NO 2 800G</t>
  </si>
  <si>
    <t>APTAMIL NO 3 800G</t>
  </si>
  <si>
    <t>APTAMIL NO 3 1200 GM</t>
  </si>
  <si>
    <t>VIDALAC MILK NO 3 400 GM</t>
  </si>
  <si>
    <t>VIDALAC MILK NO 2 400 GM</t>
  </si>
  <si>
    <t>VIDALAC MILK NO 1 400 GM</t>
  </si>
  <si>
    <t>ENJOY  WHITENING SCRUB 100 ML 263-23</t>
  </si>
  <si>
    <t>ENJOY APRICOT FACE AND BODY MASK 5X1</t>
  </si>
  <si>
    <t>ENJOY CHARACOL BLACK MASK 100 ML</t>
  </si>
  <si>
    <t>ENJOY CUCUMBER FACE AND BODY MASK </t>
  </si>
  <si>
    <t>ENJOY GOLD MASK 100 ML 2412013</t>
  </si>
  <si>
    <t>ENJOY HAIR COLOR SPRAY BLACK 150ML 50</t>
  </si>
  <si>
    <t>ENJOY HAIR COLOR SPRAY PINK 150ML 5063</t>
  </si>
  <si>
    <t>ENJOY HAIR COLOR SPRAY PURPLE  150ML 5</t>
  </si>
  <si>
    <t>ENJOY HAIR COLOR SPRAY RED 150ML 40709</t>
  </si>
  <si>
    <t>ENJOY HAIR COLOR SPRAY SILVER 150ML 50</t>
  </si>
  <si>
    <t>ENJOY HAIR COLOR SPRAY YELLOW 150ML 5</t>
  </si>
  <si>
    <t>ENJOY LEMON FACE AND BODY MASK 5X150</t>
  </si>
  <si>
    <t>ENJOY LENS CLEANING WIPES 24 WIPES</t>
  </si>
  <si>
    <t>ENJOY MICELLAR CLEANSING ROSE WATER</t>
  </si>
  <si>
    <t>ENJOY MICELLAR CLEANSING WATER  CUC</t>
  </si>
  <si>
    <t>ENJOY MICELLAR CLEANSING WATER WITH</t>
  </si>
  <si>
    <t>ENJOY MUSK FEMININE WIPES 10 WIPES</t>
  </si>
  <si>
    <t>ENJOY NAIL POLISH REMOVER BLUE 150ML </t>
  </si>
  <si>
    <t>ENJOY NAIL POLISH REMOVER PINK 150ML 0</t>
  </si>
  <si>
    <t>ENJOY NAIL POLISH REMOVER PURPLE  150M</t>
  </si>
  <si>
    <t>ENJOY NAIL POLISH REMOVER WHITE 150ML</t>
  </si>
  <si>
    <t>ENJOY SCRUB WITH VITAMIN C 100 ML 262-2</t>
  </si>
  <si>
    <t>ENJOY STRAWBERRY FACE AND BODY MAS</t>
  </si>
  <si>
    <t>ENJOY SWEET VANILLA 400 GM</t>
  </si>
  <si>
    <t>ENJOY VITAMIN C FACIAL SERUM 50ML 134-2</t>
  </si>
  <si>
    <t>ENJOY VITAMIN E FACE SERUM 50ML 081-25</t>
  </si>
  <si>
    <t>ENJOY WHITE MUSK FEMININE WIPES 10 WIP</t>
  </si>
  <si>
    <t>FOCUS WEIGHT SCALE BLACK 2008 C</t>
  </si>
  <si>
    <t>PURELIFE WET LOOK STYLING GEL 300ML 71</t>
  </si>
  <si>
    <t>LIPS LIPPENCIL ULTRA RICH C</t>
  </si>
  <si>
    <t>EYES MASCARA VOLUME ONE</t>
  </si>
  <si>
    <t>LIPS LIPGLOSS NOTE LE VOLU</t>
  </si>
  <si>
    <t>LIPS |LIPGLOSS |FLAWLESS LIP</t>
  </si>
  <si>
    <t>FACE|BLUSHER|NOTE LUMINO</t>
  </si>
  <si>
    <t>LIPS|LIPSTICK|NOTE ICONIC S</t>
  </si>
  <si>
    <t>FACE|FACEFOUNDATION|NOT</t>
  </si>
  <si>
    <t>FACE|BLUSHER|LUMINOUS SIL</t>
  </si>
  <si>
    <t>EYES|EYEBROW|NATURAL LOO</t>
  </si>
  <si>
    <t>EYES|Eyebrow|NOTE EYEBROW</t>
  </si>
  <si>
    <t>LIPS|LIPSTICK|NOTE ICONIC M</t>
  </si>
  <si>
    <t>FACE|POWDER|BAKED POWDE</t>
  </si>
  <si>
    <t>NAILS |NAIL ENAMEL |FLAWLES</t>
  </si>
  <si>
    <t>EYES|PENCIL|ULTRA RICH COL</t>
  </si>
  <si>
    <t>EYES|EYELINER|PRECISION EY</t>
  </si>
  <si>
    <t>LIPS |LIPSTICK |FLAWLESS LIP</t>
  </si>
  <si>
    <t>LIPS|Lipgloss|NOTE MATTE QUE</t>
  </si>
  <si>
    <t>FACE|FOUNDATION|BB CREAM</t>
  </si>
  <si>
    <t>FACE|FACEBLUSHER|NOTE LUM</t>
  </si>
  <si>
    <t>FACE|FACECONCEALER|NOTE</t>
  </si>
  <si>
    <t>NAILS |NAIL ENAMEL |GEL LOO</t>
  </si>
  <si>
    <t>EYES |MASCARA |VOLUME ONE</t>
  </si>
  <si>
    <t>FACE|POWDER|LOOSE POWDE</t>
  </si>
  <si>
    <t>EYES|Eyebrow|NOTE NATURAL</t>
  </si>
  <si>
    <t>EYES|Eyebrow|NOTE BROW POM</t>
  </si>
  <si>
    <t>EYES |LINER |ELEGANT MATTE</t>
  </si>
  <si>
    <t>FACE|HIGHLIGHTER|DROP HIG</t>
  </si>
  <si>
    <t>LIPS|LIPPENCIL|ULTRA RICH C</t>
  </si>
  <si>
    <t>FACE|POWDER|LUMINOUS SIL</t>
  </si>
  <si>
    <t>FACE|FACEBLUSHER|NOTE BA</t>
  </si>
  <si>
    <t>LIPS|Lippencil|ULTRA RICH COL</t>
  </si>
  <si>
    <t>LIPS |LIPGLOSS |LE VOLUME P</t>
  </si>
  <si>
    <t>FACE |PRIMER |SKIN PERFECTI</t>
  </si>
  <si>
    <t>FACE|BLUSHER|BAKED BLUSH</t>
  </si>
  <si>
    <t>LIPS|Lipgloss|NOTE LE VOLUME</t>
  </si>
  <si>
    <t>EYES |MASCARA |VOLUME ACT</t>
  </si>
  <si>
    <t>EYES|Eyepencil|ULTRA RICH CO</t>
  </si>
  <si>
    <t>FACE|FOUNDATION|NOTE 3 IN</t>
  </si>
  <si>
    <t>FACE |FOUNDATION |BB CREA</t>
  </si>
  <si>
    <t>EYES|Eyeshadow|NOTE LOVE AT</t>
  </si>
  <si>
    <t>FACE|FACEPOWDER|LUMINOU</t>
  </si>
  <si>
    <t>EYES|EyeLiner|NOTE ELEGANT</t>
  </si>
  <si>
    <t>FACE|FACEPRIMER|NOTE NEW</t>
  </si>
  <si>
    <t>EYES |MASCARA |SCULPT MAS</t>
  </si>
  <si>
    <t>EYES |LINER |ULTRA BLACK DI</t>
  </si>
  <si>
    <t>EYES |MASCARA |LASH MASTE</t>
  </si>
  <si>
    <t>EYES |MASCARA |REAL LOOK M</t>
  </si>
  <si>
    <t>LIPS|LIPPENCIL|NOTE ULTRA R</t>
  </si>
  <si>
    <t>EYES|EyeLiner|NOTE GEL EYEL</t>
  </si>
  <si>
    <t>EYES|MASCARA|NOTE FIRST C</t>
  </si>
  <si>
    <t>1-03-187-264</t>
  </si>
  <si>
    <t>KIDS MULTIMINERALS+ VITAM</t>
  </si>
  <si>
    <t>31-12-2026</t>
  </si>
  <si>
    <t>KIDS OMEGA3 DHA+EPA PUREV</t>
  </si>
  <si>
    <t>KIDS CLACIUM+VIT D3 PUREVE</t>
  </si>
  <si>
    <t>VICTORIA-BODYMIST-LOTUS</t>
  </si>
  <si>
    <t>VICTORIA-BODYMIST-LOVE S</t>
  </si>
  <si>
    <t>VICTORIA-BODYMIST-RESSBE</t>
  </si>
  <si>
    <t>VICTORIA BODY MIST SENSUA</t>
  </si>
  <si>
    <t>Masculan  Condom Long PLEASURE 10</t>
  </si>
  <si>
    <t>Masculan  Condom Gold 10PCS. 114180</t>
  </si>
  <si>
    <t>MASCULAN 10 CONDOMS DOTTED </t>
  </si>
  <si>
    <t>MASCULAN 10 CONDOMS RIBBED+D</t>
  </si>
  <si>
    <t>MASCULAN 10 CONDOMS SENSITIV</t>
  </si>
  <si>
    <t>MASCULAN 3 CONDOMS DOTTED N</t>
  </si>
  <si>
    <t>MASCULAN 3 CONDOMS SENSITIVE</t>
  </si>
  <si>
    <t>MASCULAN LUBRICANT 75ML STRA</t>
  </si>
  <si>
    <t>MASCULAN  CONDOM  FRUIT 10PCS</t>
  </si>
  <si>
    <t>MASCULAN CONDOM 3PCS RIBBED</t>
  </si>
  <si>
    <t>MASCULAN CONDOM 3PCS.NO.4</t>
  </si>
  <si>
    <t>MASCULAN CONDOM 3 PCS.FRUIT </t>
  </si>
  <si>
    <t>MASCULAN LONG PLEASURE 3PCS </t>
  </si>
  <si>
    <t>Masculan Condom Douple Protection 10</t>
  </si>
  <si>
    <t>MASCULAN GOLD LUXURY EDITIO</t>
  </si>
  <si>
    <t>VICTORIA-BODYMIST SWEETC</t>
  </si>
  <si>
    <t>Masculan  Condom Silk Pure 10PCS. 114</t>
  </si>
  <si>
    <t>MASCULAN CONDOM SILK PUR 3PC</t>
  </si>
  <si>
    <t>MASCULAN LUBRICANT GEL VELV</t>
  </si>
  <si>
    <t>MASCULAN 3 CONDOM ANATOMIC</t>
  </si>
  <si>
    <t>SOFFISOF ADULT DIAPER XXL 111318</t>
  </si>
  <si>
    <t>SOFFISOF ADULT DIAPER XL 111487</t>
  </si>
  <si>
    <t>FINE GREEN 2 3X58</t>
  </si>
  <si>
    <t>FINE GREEN 6 JOU 3X38</t>
  </si>
  <si>
    <t>FINE CARE CLOT LARG 6X14</t>
  </si>
  <si>
    <t>FINE CARE CLOT MED 6X14</t>
  </si>
  <si>
    <t>FINE GREEN 4 LRG 3X48</t>
  </si>
  <si>
    <t>FINE GREEN 4 LRG 2X62</t>
  </si>
  <si>
    <t>FINE GREEN 3 MED 2X68</t>
  </si>
  <si>
    <t>FINE GREEN 3 MED 3X52</t>
  </si>
  <si>
    <t>FINE GREEN 5 MAX 3X40</t>
  </si>
  <si>
    <t>FINE GREEN 5 MAX 2X56</t>
  </si>
  <si>
    <t>FINE GREEN NO 6 4X54</t>
  </si>
  <si>
    <t>FINE CARE MEDDIUM 3X44</t>
  </si>
  <si>
    <t>FINE CARE LARG 4X18</t>
  </si>
  <si>
    <t>FINE CARE MED 4X22</t>
  </si>
  <si>
    <t>FINE BABY GREEN NO-6 4X36</t>
  </si>
  <si>
    <t>FINE CARE LARG GAMPO 3X36</t>
  </si>
  <si>
    <t>FINE CARE MEDIUM GAMPO 3X36</t>
  </si>
  <si>
    <t>FINE BABY NO-3 BOX 1X104</t>
  </si>
  <si>
    <t>ULTRA DOUX  AVOCADO KARITE SHAMPO 600ML 59472</t>
  </si>
  <si>
    <t>ULTRA DOUX HONEY TREASURES SHAMPO 600ML 59480</t>
  </si>
  <si>
    <t>ULTRA DOUX MYTHIC OLIVE SHAMPOO 400ML 43069</t>
  </si>
  <si>
    <t>ULTRA DOUX MYTHIC OLIVE SHAMPOO 600ML 43071</t>
  </si>
  <si>
    <t>ULTRA DOUX HAIR SHAMPO ALMOND MILK 400ML</t>
  </si>
  <si>
    <t>ULTRA DOUX BLACK CHAROCAL&amp;NIGELL SEED OIL SHAMPO 600ML 52608</t>
  </si>
  <si>
    <t>ULTRA DOUX BLACK CHAROCAL&amp;NIGELL SEED OIL SHAMPO 400ML 52349</t>
  </si>
  <si>
    <t>ULTRA DOUX HAIR SHAMPO ALMOND MILK 600ML 48779</t>
  </si>
  <si>
    <t>Garnier Ultra Doux Shampo  Normal Hair  ( with castor and almond oil ) 600ml 47611</t>
  </si>
  <si>
    <t>GARNIER ESSENTIALS MICELLAR 595210</t>
  </si>
  <si>
    <t>ULTRA DOUX AVOCADO KARITE SHAMPO 400ML 594620</t>
  </si>
  <si>
    <t>ULTRA DOUX HONEY TREASURES SHAMPO 400ML 594810</t>
  </si>
  <si>
    <t>Garnier Ultra Doux Shampo  Normal Hair  ( with castor and almond oil ) 400ml</t>
  </si>
  <si>
    <t xml:space="preserve">Garnier Ultra Doux Conditioner  Weak Hair  ( with Castor and Almond Oil ) 400ML           </t>
  </si>
  <si>
    <t>CANTU EXTRA HOLD EDGE STAY HAIR GEL 64 GM 5694</t>
  </si>
  <si>
    <t>CANTU DEFINE NARROW DETANGLING HAIR BRUSH 0787</t>
  </si>
  <si>
    <t>CANTU FOR KIDS NOURISHING HAIR CONDITIONER 237 ML 5472</t>
  </si>
  <si>
    <t>CANTU FOR KIDS NOURISHING HAIR SHAMPO 237 ML 5465</t>
  </si>
  <si>
    <t>CANTU OIL SHEEN DEEP CONDITIONING SPRAY 283 G 5014</t>
  </si>
  <si>
    <t>CANTU DEEP TREATMENT MASQUE DRY DAMAGED 340 G 10040</t>
  </si>
  <si>
    <t>CANTU SMOOTHING LEAVE-IN CONDIT HAIR LOTION 284 GM 6219</t>
  </si>
  <si>
    <t>CANTU MOISTURIZING TWIST LOC CURL GEL 369 GM 10057</t>
  </si>
  <si>
    <t>CANTU THERMAL SHIELD HEAT PROTECTANT 151 ML 15588</t>
  </si>
  <si>
    <t>CANTU SULFATE FREE CLEANSING CREAM SHAMPOO 59 ML 16684</t>
  </si>
  <si>
    <t>CANTU COIL CALM DETANGLER CONDOTION 236 ML 15342</t>
  </si>
  <si>
    <t>CANTU WAVE WHIP CURLING MOUSSE STYLE 248 ML 15700</t>
  </si>
  <si>
    <t>CANTU AVOCADO HYDRATING STYLING MOUSSE 248 ML 2460</t>
  </si>
  <si>
    <t>CANTU ALOE SOOMTHING BODY LOTION DRY SKIN 473 ML 40565</t>
  </si>
  <si>
    <t>I M SORRY FOR MY SKIN RELAXING CICA CLEANSING FOAM 150 ML 5040</t>
  </si>
  <si>
    <t>I M SORRY FOR MY SKIN RELAXING CREAM AMPOULE 30 ML 8134</t>
  </si>
  <si>
    <t>I M SORRY FOR MY SKIN HONEY BEAM AMPOULE 30 ML 60750</t>
  </si>
  <si>
    <t>I M SORRY FOR MY SKIN CAPTURE  SKIN RELIEF CREAM 50 ML 4464</t>
  </si>
  <si>
    <t>I M SORRY FOR MY SKIN CAPTURE FIRMING ERICHED CREAM 50 ML  4488</t>
  </si>
  <si>
    <t>BEAUTY OF JOSEON REVIVE SERUM 30 ML 6139</t>
  </si>
  <si>
    <t>ANUA BIRCH 70 MOISTURE BOOSTING CREAM 50 ML 2324</t>
  </si>
  <si>
    <t>ANUA BIRCH 70 MOISTURE BOOSTING SERUM 30 ML 1181</t>
  </si>
  <si>
    <t>CANTU HAIR SPRAY COMEBACK CURL NEXT DAY CURL REVITALIZER 355ML-5656</t>
  </si>
  <si>
    <t>CANTU  COCONUT CURLING CREAM STYLE 340 GM 0033</t>
  </si>
  <si>
    <t>CANTU AVOCADO HYDRATING CONDITIONER OIL&amp;SHEA BUTTER  400ML-9883</t>
  </si>
  <si>
    <t>CANTU SHEA BUTTER  HAIR DRESSING POMADE 113GM -2685</t>
  </si>
  <si>
    <t>CANTU BIOTIN INFUSED HAIR SCALP OIL 59 ML 2439</t>
  </si>
  <si>
    <t>THERA BREATH FRESH ICY MINT MOUTH WASH 473 ML 101162</t>
  </si>
  <si>
    <t>THERA BREATH WHITENING FRESH DAZZLING MINT MOUTH WASH  473 ML 505182</t>
  </si>
  <si>
    <t>HERO BABY NO (1) 400 GM</t>
  </si>
  <si>
    <t>HERO BABY NO (2) 400 GM</t>
  </si>
  <si>
    <t>HERO BABY NO (3) 400 GM</t>
  </si>
  <si>
    <t>ROYAL DRINK (20 VIAL*10ML)</t>
  </si>
  <si>
    <t>MARNYS EXOTIQUE PLUS Capsule 1000MG/1Capsule, 30Capsule/Box</t>
  </si>
  <si>
    <t>ROYAL JELLY 1000 mg/capsule, 30 CAPSULE/BOX</t>
  </si>
  <si>
    <t>SALMON OIL 1000MG OMEGA3 60CAP</t>
  </si>
  <si>
    <t>1-03-186-002</t>
  </si>
  <si>
    <t>PROPOLIS 1000 MG  30Capsule/Box</t>
  </si>
  <si>
    <t>HAPPY DREAMS -MAW ml Syru</t>
  </si>
  <si>
    <t>OMEGA D3 PLUS 1000 mg/capsul</t>
  </si>
  <si>
    <t>MAW ROCKET 5000 SYRUP  Bottles, 60 ML/BOTTEL</t>
  </si>
  <si>
    <t>MAW STRONG HAIR &amp; NAILS tablet, 30 CHEWABLE TABLET/BOX</t>
  </si>
  <si>
    <t>MAW FERRO CARE  Orodispersible strip , 30 STRIP/BOX</t>
  </si>
  <si>
    <t>FAM MAXI ONE STEP 6X3X10</t>
  </si>
  <si>
    <t>FAM MAXI WINGS 6X3X10</t>
  </si>
  <si>
    <t>FAM RELAX PADS 10X20</t>
  </si>
  <si>
    <t>PRIVATE MAXI NORMAL 6X30</t>
  </si>
  <si>
    <t>PRIVATE MAXI SUPER  6X30</t>
  </si>
  <si>
    <t>PRIVATE SUPER MAXI WINGES 12X9</t>
  </si>
  <si>
    <t>PRIVATE SUPER THIN WINGS 12X16</t>
  </si>
  <si>
    <t>FAM MAXI NIGHT WINGES 8X24</t>
  </si>
  <si>
    <t>PRIVATE MAX NIGHT 6X24</t>
  </si>
  <si>
    <t>FAM MAXI WINGES SUPER 4X50</t>
  </si>
  <si>
    <t>FAM MAXI WINGES SUPER 41+9 6X50</t>
  </si>
  <si>
    <t>FAM MAXI WINGS NORMAL 4X30</t>
  </si>
  <si>
    <t>FAM MAXI WINGS SUPER 8X30</t>
  </si>
  <si>
    <t>PRIVATE MAXI WINGS NIGHT 6X48</t>
  </si>
  <si>
    <t>FAM MAXI WITH OUT WINGS SUPER 8X30</t>
  </si>
  <si>
    <t>BAMBI M NO-3 3X70</t>
  </si>
  <si>
    <t>BAMBI L NO-4 3X62</t>
  </si>
  <si>
    <t>BAMBI NEW BORN 3X19</t>
  </si>
  <si>
    <t>BAMBI NO-6 6X10</t>
  </si>
  <si>
    <t>BAMBI S NO-2 4X19</t>
  </si>
  <si>
    <t>BAMBI S NO-3 6X15</t>
  </si>
  <si>
    <t>BAMBI S NO-4 6X13</t>
  </si>
  <si>
    <t>BAMBI S NO-5 6X11</t>
  </si>
  <si>
    <t>BAMBI SANITA NO 6 3X40</t>
  </si>
  <si>
    <t>BAMBI MEGA NO5 2X74</t>
  </si>
  <si>
    <t>BAMBI  MEGA NO-4 2X80</t>
  </si>
  <si>
    <t>BABMI NO-6  6X10</t>
  </si>
  <si>
    <t>BAMBI MEGA NO-6 2X52</t>
  </si>
  <si>
    <t>BABMI JUMBO NO-5 3X54</t>
  </si>
  <si>
    <t>BAMBI MEGA NO-3 2X92</t>
  </si>
  <si>
    <t>BAMBI BOX PANTS NO-6 1X58</t>
  </si>
  <si>
    <t>ELEGANCE ADULT BRIEFS XL 2X16</t>
  </si>
  <si>
    <t>ELEGANCE ADULT BRIEFS  M 2X44</t>
  </si>
  <si>
    <t>ELEGANCE ADULT BRIEFS BOX L 1X36</t>
  </si>
  <si>
    <t>BAMBI LARG BOX SUPER NO-4 1X124</t>
  </si>
  <si>
    <t>BAMBI XXL BOX SUPER NO-6 1X72</t>
  </si>
  <si>
    <t>BAMBI BOX PANTS LARG GIANT 1X84</t>
  </si>
  <si>
    <t>BAMBI LARG BOX SUPER NO-5 1X108</t>
  </si>
  <si>
    <t>BAMBI BOX XL NO-5 1X68</t>
  </si>
  <si>
    <t>BAMBI BABY WIPES PURE&amp;CARE SENS</t>
  </si>
  <si>
    <t>BAMBI BABY WIPES AQUA CLEAN 56 W</t>
  </si>
  <si>
    <t>NIVEA LOTION COCO W /PUMP 625 ML 80075</t>
  </si>
  <si>
    <t>NIVEA BODY ESSENTIAIS EXPRESS HYDRATION LOTION 250 ML70059</t>
  </si>
  <si>
    <t>NIVEA LOTION SMOOTH SENSATION  400 ML 80016</t>
  </si>
  <si>
    <t>NIVEA LOTION  NORISHING EXTRA DRY 400 ML 80014</t>
  </si>
  <si>
    <t>NIVEA LOTION EXPRESS MOIST  400 ML 70058</t>
  </si>
  <si>
    <t>NIVEA LOTION REPAIR &amp; CARE 400 ML 70542</t>
  </si>
  <si>
    <t>NIVEA LOTION ESSENTIALS SENSUAL MUSK LOTION 250 ML70588</t>
  </si>
  <si>
    <t>NIVEA LOTION SMOOTH SENSATION SHEYA 250ML 80017</t>
  </si>
  <si>
    <t>NIVEA LOTION  NORISHING EXTRA DRY 250 ML 70053</t>
  </si>
  <si>
    <t>NIVEA LOTION NATURAL FAIRNESS 250ML 80021</t>
  </si>
  <si>
    <t>NIVEA LOTION NATURAL FAIRNESS 400ML 70078</t>
  </si>
  <si>
    <t>NIVEA DEO ROLL MALE INVISIBLE B&amp;W FRESH 50ML 80158</t>
  </si>
  <si>
    <t>NIVEA LOTION COCO 400ML 70602</t>
  </si>
  <si>
    <t>NIVEA LOTION NORISHING EXTRA DRY 625 ML 80010</t>
  </si>
  <si>
    <t>NIVEA LOTION NATURAL FAIRNESS  625 ML 70039</t>
  </si>
  <si>
    <t>NIVEA LOTION COCO 250 ML 80073</t>
  </si>
  <si>
    <t>NIVEA LOTION SENSUAL MUSK 400ML 80072</t>
  </si>
  <si>
    <t>NIVEA BODY LOTION ALOE VERA 250 ML 71470</t>
  </si>
  <si>
    <t>NIVEA BODY LOTION ALOE VERA 400 ML 71471</t>
  </si>
  <si>
    <t>NIVEA BODY LOTION ALOE VERA 625 ML 71472</t>
  </si>
  <si>
    <t>NIVEA ROLL NATURAL FAIRNESS FEMAL 50ML 80070</t>
  </si>
  <si>
    <t>NIVEA SPRAY FRESH ACTIVE MEN 200 ML 70112</t>
  </si>
  <si>
    <t>NIVEA SPRAY DRY MEN 200ML 70115</t>
  </si>
  <si>
    <t>NIVEA SPRAY AQUA COOL MEN 200ML 80038</t>
  </si>
  <si>
    <t>NIVEA SPRAY PEARL&amp; BEAUTY 200ML 80041</t>
  </si>
  <si>
    <t>NIVEA SPRAY B&amp;W WOMEN 200ML 80048</t>
  </si>
  <si>
    <t>NIVEA SPRAY B&amp;W MEN 200ML 80051</t>
  </si>
  <si>
    <t>NIVEA SPRAY AQUA COOL KICK 150ML 80027</t>
  </si>
  <si>
    <t>NIVEA SPRAY FRESH FAMEL 150ML 80024</t>
  </si>
  <si>
    <t>NIVEA SPRAY B&amp;W  MAL 150 ML 80052</t>
  </si>
  <si>
    <t>NIVEA ROLL FRESH POWER 50 ML  80078</t>
  </si>
  <si>
    <t>NIVEA ROLL  AQUE COOL KICK MEN 50 ML 80033</t>
  </si>
  <si>
    <t>NIVEA ROLL DRY WOMEN 50ML 80032</t>
  </si>
  <si>
    <t>NIVEA ROLL DRY MEN 50ML 80031</t>
  </si>
  <si>
    <t>NIVEA ROLL FRESH FEMAL  50ML 80030</t>
  </si>
  <si>
    <t>NIVEA ROLL FRESH ACTIVE MEN  50ML 80029</t>
  </si>
  <si>
    <t>NIVEA ROLL INV B&amp;W FEMAL 50 ML 70230</t>
  </si>
  <si>
    <t>NIVEA ROLL PEARL BEAUTY FEMAL 50ML 80034</t>
  </si>
  <si>
    <t>NIVEA ROLL POWDER TOUCH FEMAL 50ML 80076</t>
  </si>
  <si>
    <t>NIVEA ROLL SILVER PROTECT MALE 50 ML 80040</t>
  </si>
  <si>
    <t>NIVEA SPRAY PEARL BEAUTY 150ML 80028</t>
  </si>
  <si>
    <t>NIVEA  DRY SPRAY  FEMALE 150 ML 70093</t>
  </si>
  <si>
    <t>NIVEA SPRAY FRESH ACTIVE MALE 150ML 70090</t>
  </si>
  <si>
    <t>NIVEA SPRAY INVISIBLE B&amp;W CLEAR FEMAL 150ML 70229</t>
  </si>
  <si>
    <t>NIVEA SPRAY POWDER TOUCH FEMAL 150ML 80077</t>
  </si>
  <si>
    <t>NIVEA  SPRAY SILVER PROTECT MEN 150 ML 80039</t>
  </si>
  <si>
    <t>NIVEA STICK COOL KICK MEN 50ML  80101</t>
  </si>
  <si>
    <t>NIVEA STICK DRY FEMAL 50ML 70935</t>
  </si>
  <si>
    <t>NIVEA STICK DRY MAL 50ML 70931</t>
  </si>
  <si>
    <t>NIVEA STICK FRESH FEMAL 50ML 70937</t>
  </si>
  <si>
    <t>NIVEA  STICK FRESH MALE 50ML 80102</t>
  </si>
  <si>
    <t>NIVEA STICK INVISIBLE B&amp;W  FEMAL 50 ML 80103</t>
  </si>
  <si>
    <t>NIVEA STICK INV B&amp;W ORG MALE 50ML80099</t>
  </si>
  <si>
    <t>NIVEA STICK NATURAL FAIRNESS 50 ML 80107</t>
  </si>
  <si>
    <t>NIVEA STICK PEARL BEAUTY  50ML 80105</t>
  </si>
  <si>
    <t>NIVEA SPRAY FRESH POWER MALE 150 ML 70652</t>
  </si>
  <si>
    <t>NIVEA DEO ROLL  DEEP SPORT MALE 50 ML93388 80240</t>
  </si>
  <si>
    <t>NIVEA FRESH NATURAL SPRAY WOMEN 200 ML 80036</t>
  </si>
  <si>
    <t>NIVEA B&amp;W MEN DEO ROLL 50 ML 80053</t>
  </si>
  <si>
    <t>NIVEA DEO ROLL DEEP BROWN 50 ML 80155</t>
  </si>
  <si>
    <t>NIVEA DEO SPRAY DEEP BROWN 150 ML 71374</t>
  </si>
  <si>
    <t>NIVEA DEO SPRAY MALE INVISIBLE B&amp;W FRESH 200ML 80157</t>
  </si>
  <si>
    <t>NIVEA DEO SPRAY B&amp;W SILKY SMOOTH 150ML 71399</t>
  </si>
  <si>
    <t>NIVEA DEO SPRY MALE DEEP 150 ML 80139</t>
  </si>
  <si>
    <t>NIVEA DEO SPRAY MALE DEEP 200ML 80140</t>
  </si>
  <si>
    <t>NIVEA DEO ROLL-ON MALE DEEP 50ML 80141</t>
  </si>
  <si>
    <t>NIVEA DEO B&amp;W SILKY SMOOTH ROLL ON 50ML-71401</t>
  </si>
  <si>
    <t>NIVEA DEO SPY FML FRESH CHERY 150ML-71477</t>
  </si>
  <si>
    <t>NIVEA DEO ROLL ON FM FRESH CHERRY 50ML 80172</t>
  </si>
  <si>
    <t>NIVEA DEO SPRAY CLEAN PROTECT PURE ALUM WOMEN 150 ML</t>
  </si>
  <si>
    <t>NIVEA SPRAY  VIT C&amp;E FEAMLE 150 ML 84189 80098</t>
  </si>
  <si>
    <t>NIVEA STICK DEEP MALE 50 ML 83182 80108</t>
  </si>
  <si>
    <t>NIVEA DEO ROLL  PEARL&amp;BEAUTY BLACK FEMALE 50 ML 85346  80110</t>
  </si>
  <si>
    <t>NIVEA DEO SPRAY DEEP SPORT MALE 150 ML93381 80241</t>
  </si>
  <si>
    <t>NIVEA SPRAY DRY IMPACT MEN 150ML 70092</t>
  </si>
  <si>
    <t>BIODERMA SENSIBIO H2O Liquid /1ML, 500ML/Container</t>
  </si>
  <si>
    <t>BIODERMA SEBIUM HYDRA Cream /1APPLY, 40ML/Tube</t>
  </si>
  <si>
    <t>JOHNSON BABY POWDER 200GM 31277</t>
  </si>
  <si>
    <t>JOHNSON BABY OIL REGULAR 200ML 31252</t>
  </si>
  <si>
    <t>JOHNSON BABY SHAMPO 750ML  31826</t>
  </si>
  <si>
    <t>WADI ALNAHIL ROSEMARY OIL</t>
  </si>
  <si>
    <t>WADI AL-NAHIL COCONUT HAIR/OIL 12</t>
  </si>
  <si>
    <t>WADI ALNAHIL Sesam OIL 125ML</t>
  </si>
  <si>
    <t>WADI ALNAHIL ALMONDS OIL</t>
  </si>
  <si>
    <t>WADI ALNAHIL ALMONDS OIL (SWEET</t>
  </si>
  <si>
    <t>WADI ALNAHIL CASTOR OIL 125ML       </t>
  </si>
  <si>
    <t>WADI ALNAHIL GLYCERIN OIL</t>
  </si>
  <si>
    <t>WADI ALNAHIL MOROCCAN NATURAL</t>
  </si>
  <si>
    <t>WADI ALNAHIL OLIVE OIL</t>
  </si>
  <si>
    <t>WADI ALNAHIL CHAMOMILE sachet</t>
  </si>
  <si>
    <t>WADI ALNAHIL GINGER sachet</t>
  </si>
  <si>
    <t>WADI ALNAHIL OLIVE BODY OIL 100ML</t>
  </si>
  <si>
    <t>WADI ALNAHIL GUM 28 GM fosos</t>
  </si>
  <si>
    <t>WADI ELNAHL GUM 28 GM amshat</t>
  </si>
  <si>
    <t>WADI ALNAHIL GUM 40 GM magrol</t>
  </si>
  <si>
    <t>WADI ALNAHIL GUM 40 GM   AMSHAT</t>
  </si>
  <si>
    <t>WADI ALNAHIL HIBISCUS SACHETS</t>
  </si>
  <si>
    <t>WADI ANISE SACHETS</t>
  </si>
  <si>
    <t>WADI ALNAHIL GUM 28 GM magrol</t>
  </si>
  <si>
    <t>BABY JOY NO(6) XXL BOX JUMBO1X60 29252</t>
  </si>
  <si>
    <t>29-7-2026</t>
  </si>
  <si>
    <t>BABY JOY-2 BOX 1X136 29212</t>
  </si>
  <si>
    <t>BABY JOY-1 BOX 1X136 29202</t>
  </si>
  <si>
    <t>BABY JOY NO-5 BOX 1X80</t>
  </si>
  <si>
    <t>BABY JOY NO-4+ BOX 1X88</t>
  </si>
  <si>
    <t>BABY JOY NO-4 BOX 1X96</t>
  </si>
  <si>
    <t>BABY JOY NO-3 BOX 1X104</t>
  </si>
  <si>
    <t>BABY JOY NO.6 3*46</t>
  </si>
  <si>
    <t>BABY JOY NO 5 3*66</t>
  </si>
  <si>
    <t>BABY JOY NO4 3*74</t>
  </si>
  <si>
    <t>BABY JOY NO3 3*84</t>
  </si>
  <si>
    <t>BABY JOY NO-7 COMPERSSED XXXL JUMBO 3x42</t>
  </si>
  <si>
    <t>BABY JOY 4+ 3X70</t>
  </si>
  <si>
    <t>30-7-2026</t>
  </si>
  <si>
    <t>BABY JOY CULOTTE MEDIUM  MEGA NO-3  3X60</t>
  </si>
  <si>
    <t>TEEMO MEGA NO-6 3X40</t>
  </si>
  <si>
    <t>TEEMO MEGA NO-5 3X48</t>
  </si>
  <si>
    <t>TEEMO MEGA NO-4 3X54</t>
  </si>
  <si>
    <t>TEEMO MEGA NO-3 3X58</t>
  </si>
  <si>
    <t>TEEMO MEGA NO-2 3X70</t>
  </si>
  <si>
    <t>TEEMO MEGA NO-1 3X76</t>
  </si>
  <si>
    <t> DOVE DETOX RITUAL SHAMPO 400ML</t>
  </si>
  <si>
    <t> DOVE GROWTH RITUAL SHAMPO 400ML</t>
  </si>
  <si>
    <t> DOVE SHAMPO COLOR  CARE 400ML 207621</t>
  </si>
  <si>
    <t> DOVE SHAMPO DAILY CARE 2IN 1 400ML 207620</t>
  </si>
  <si>
    <t> DOVE SHAMPO DAILY CARE 2IN 1 700ML 207628</t>
  </si>
  <si>
    <t> DOVE SHAMPO DAILY CARE 400ML 207617</t>
  </si>
  <si>
    <t> DOVE SHAMPO DAILY CARE 600ML</t>
  </si>
  <si>
    <t> DOVE SHAMPO HAIR FALL RESCUE 400ML 207623</t>
  </si>
  <si>
    <t> DOVE SHAMPO HAIR FALL RESCUE 600ML 207630</t>
  </si>
  <si>
    <t> DOVE SHAMPO INTENSIVE CARE REPAIR 600ML 207629</t>
  </si>
  <si>
    <t> DOVE SHAMPO INTENSIVE REPAIR 400ML 207622</t>
  </si>
  <si>
    <t> DOVE SHAMPO INTENSIVE REPAIR 400ML-204286</t>
  </si>
  <si>
    <t> DOVE SHAMPO MOISTURIZING  600ML 207626</t>
  </si>
  <si>
    <t> DOVE SHAMPO MOISTURIZING 400 ML 207618</t>
  </si>
  <si>
    <t> DOVE SHAMPO NOURSHING OIL CARE 600ML</t>
  </si>
  <si>
    <t> DOVE SHAMPO NUTRI-OIL  400ML 211622</t>
  </si>
  <si>
    <t> DOVE SHAMPO NUTRI-OIL CARE 600ML 211623</t>
  </si>
  <si>
    <t> DOVE SHAMPO SPLIT ENDS RESCUE 400ML 208536</t>
  </si>
  <si>
    <t> DOVE SHAMPO SPLIT ENDS RESCUE 600ML</t>
  </si>
  <si>
    <t> DOVE SHAMPOO THICK RIT LAVANDER 400 ML 211301</t>
  </si>
  <si>
    <t> SUNSILK HAIR FALL SOLUTION 400 ML SHAMPOO</t>
  </si>
  <si>
    <t> SUNSILK SHAM STUNNING BLACK SHINE 700ML-206258</t>
  </si>
  <si>
    <t> SUNSILK SHAMPO HAIR FALL SOLUTION 400 ML</t>
  </si>
  <si>
    <t> SUNSILK SHAMPO HAIR FALL SOLUTION 400ML 203900</t>
  </si>
  <si>
    <t> SUNSILK SHAMPO HAIR FALL SOLUTION 700ML 203913</t>
  </si>
  <si>
    <t> SUNSILK SHAMPO INSTANT RESTORE400ML 210726</t>
  </si>
  <si>
    <t> SUNSILK SHAMPO INSTANT RESTORE700 ML 210731</t>
  </si>
  <si>
    <t> SUNSILK SHAMPO NOURISHING SOFT&amp;SMOOTH 700ML 206167</t>
  </si>
  <si>
    <t> SUNSILK SHAMPO NOURSHING SOFT &amp; SMOTH  400ML 206166</t>
  </si>
  <si>
    <t> SUNSILK SHAMPO SHINE STRENGTH  400 ML 203897</t>
  </si>
  <si>
    <t> SUNSILK SHAMPO SHINE STRENGTH 700 ML 203910</t>
  </si>
  <si>
    <t> SUNSILK SHAMPO STUNNING BLACK SHIN 400 ML 206257</t>
  </si>
  <si>
    <t> SUNSILK SHAMPO STUNNING BLACK SHIN 700 ML</t>
  </si>
  <si>
    <t> SUNSILK SHAMPOO SHEA BUTTER NOURISHMENT 400 ML 211579</t>
  </si>
  <si>
    <t> SUNSILK STUNNING BLACK SHINE 400 SHAMPO</t>
  </si>
  <si>
    <t>AXE AER LEATHER &amp; COOKIES (ROCK) 150 ML</t>
  </si>
  <si>
    <t>AXE DEO AERO DARK TEMPT PLRS 150 ML 209527</t>
  </si>
  <si>
    <t>AXE DEO AERO ICE CHILL 150 ML</t>
  </si>
  <si>
    <t>AXE DEO EPIC FRESH SPRAY 150 ML</t>
  </si>
  <si>
    <t>AXE DEO SPRAY BLACK 150ML 208393</t>
  </si>
  <si>
    <t>AXE DEO SPRAY BLACK NIGHT 150ML 209175</t>
  </si>
  <si>
    <t>AXE DEO SPRAY GOLD TEMPT 150ML  207853</t>
  </si>
  <si>
    <t>AXE SPRAY APOLLO 150ML 209518</t>
  </si>
  <si>
    <t>LUX BODY WASH MAGICAL ORCHID (EUPHORIA) 500ML</t>
  </si>
  <si>
    <t>LUX BODY WASH ROMANTIC HIBISCUS 500ML</t>
  </si>
  <si>
    <t>LUX BODY WASH ROMANTIC HIBISCUS 700ML</t>
  </si>
  <si>
    <t>LUX BODY WASH SOFT TOUCH 500 ML 208103</t>
  </si>
  <si>
    <t>LUX BODY WASH SOFT TOUCH 700 ML 208096</t>
  </si>
  <si>
    <t>LUX BODY WASH VELVET TOUCH 700ML 208095</t>
  </si>
  <si>
    <t>LUX HAND WASH FIG EXTRACT VETIVER 250 ML</t>
  </si>
  <si>
    <t>LUX HAND WASH MAGICAL BEAUTY 250ML 205017</t>
  </si>
  <si>
    <t>LUX HAND WASH MAGICAL BEAUTY 500ML 205022</t>
  </si>
  <si>
    <t>LUX HAND WASH SOFT TOUCH 250ML 206696</t>
  </si>
  <si>
    <t>LUX HAND WASH SOFT TOUCH 500ML 206699</t>
  </si>
  <si>
    <t>LUX HAND WASH VELVET JASMINE (LABO) 500ML</t>
  </si>
  <si>
    <t>LUX HAND WASH VELVET TOUCH 250ML 206695</t>
  </si>
  <si>
    <t>VASELINE COCOA GLOW LOTION 400ML</t>
  </si>
  <si>
    <t>VASELINE HEALTHY EVEN TONE LOTION 200 ML205179</t>
  </si>
  <si>
    <t>VASELINE HEALTHY EVEN TONE LOTION 400 ML205180</t>
  </si>
  <si>
    <t>VASELINE LOT TOTAL MOIST COCOA GLOW 725ML208442</t>
  </si>
  <si>
    <t>VASELINE LOTION ALOVERA  400ML208443</t>
  </si>
  <si>
    <t>VASELINE LOTION ESSNTLHEALING INTENSIVE 400ML 208448</t>
  </si>
  <si>
    <t>VASELINE LOTION ESSNTLHEALING INTENSIVE 725ML 208446</t>
  </si>
  <si>
    <t>VASELINE LOTION EVEN TONE VIS 725ML</t>
  </si>
  <si>
    <t>VASELINE LOTION ICE COOL HYDRATION 400 ML</t>
  </si>
  <si>
    <t>VASELINE LOTION ICE COOL HYDRATION 725 ML</t>
  </si>
  <si>
    <t>VASELINE LOTION PERFECT10 VISION 400 ML</t>
  </si>
  <si>
    <t>VASELINE LOTION SPF24 VISION 400 ML</t>
  </si>
  <si>
    <t>VASELINE TOTAL MOISTURE COCOA GLOW LOTION 400ML208445</t>
  </si>
  <si>
    <t xml:space="preserve">السعر قبل العرض  </t>
  </si>
  <si>
    <t>السعر قبل العرض بالضريبة</t>
  </si>
  <si>
    <t>نسبة الخصم</t>
  </si>
  <si>
    <t>السعر بعد العرض بالضريبة</t>
  </si>
  <si>
    <t xml:space="preserve">نهاية المدة </t>
  </si>
  <si>
    <t>موجود في شيت1؟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</si>
</sst>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165EE7-21F2-40F3-9096-6A56695EC84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f0c88fb-4c99-4a57-a1c6-c27a72e7038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0A60-E6CA-434A-95D6-9A9F23D80E92}">
  <dimension ref="A1:G697"/>
  <sheetViews>
    <sheetView tabSelected="1" workbookViewId="0">
      <selection activeCell="E11" sqref="E10:E11"/>
    </sheetView>
  </sheetViews>
  <sheetFormatPr defaultRowHeight="15" x14ac:dyDescent="0.2"/>
  <cols>
    <col min="1" max="1" width="11.97265625" style="1" bestFit="1" customWidth="1"/>
    <col min="2" max="2" width="67.796875" bestFit="1" customWidth="1"/>
    <col min="3" max="3" width="24.6171875" style="2" bestFit="1" customWidth="1"/>
    <col min="4" max="4" width="12.23828125" style="2" bestFit="1" customWidth="1"/>
    <col min="5" max="5" width="24.48046875" style="2" bestFit="1" customWidth="1"/>
    <col min="6" max="6" width="10.4921875" style="2" bestFit="1" customWidth="1"/>
    <col min="7" max="7" width="10.89453125" style="2" bestFit="1" customWidth="1"/>
  </cols>
  <sheetData>
    <row r="1" spans="1:7" ht="31.9" customHeight="1" x14ac:dyDescent="0.2">
      <c r="A1" s="3" t="s">
        <v>0</v>
      </c>
      <c r="B1" s="3" t="s">
        <v>72</v>
      </c>
      <c r="C1" s="3" t="s">
        <v>1466</v>
      </c>
      <c r="D1" s="3" t="s">
        <v>1467</v>
      </c>
      <c r="E1" s="3" t="s">
        <v>1468</v>
      </c>
      <c r="F1" s="3" t="s">
        <v>75</v>
      </c>
      <c r="G1" s="3" t="s">
        <v>1469</v>
      </c>
    </row>
    <row r="2" spans="1:7" x14ac:dyDescent="0.2">
      <c r="A2" s="1">
        <v>20615010273</v>
      </c>
      <c r="B2" t="str" cm="1">
        <f t="array" ref="B2">IFERROR(_xlfn.XLOOKUP(A2,Sheet2!$A$2:$A$1453,Sheet2!$B$2:$B$1453),_xlfn.XLOOKUP(A2,TEXT(Sheet2!$A$2:$A$1453,"0"),Sheet2!$B$2:$B$1453,""))</f>
        <v>BABY JOY NO(6) XXL BOX JUMBO1X60 29252</v>
      </c>
      <c r="C2" s="2">
        <v>112.7</v>
      </c>
      <c r="D2" s="2" cm="1">
        <f t="array" ref="D2">_xlfn.LET(_xlpm.v,IFERROR(_xlfn.XLOOKUP(A2,Sheet2!$A$2:$A$1453,Sheet2!$D$2:$D$1453),_xlfn.XLOOKUP(A2,TEXT(Sheet2!$A$2:$A$1453,"0"),Sheet2!$D$2:$D$1453,"")),IF(_xlpm.v="","",IF(_xlpm.v&lt;1,_xlpm.v*100,_xlpm.v)))</f>
        <v>20</v>
      </c>
      <c r="E2" s="2">
        <f>IF(D2="","",C2*(1-D2/100))</f>
        <v>90.160000000000011</v>
      </c>
      <c r="F2" s="2" t="str" cm="1">
        <f t="array" ref="F2">IFERROR(_xlfn.XLOOKUP(A2,Sheet2!$A$2:$A$1453,Sheet2!$F$2:$F$1453),_xlfn.XLOOKUP(A2,TEXT(Sheet2!$A$2:$A$1453,"0"),Sheet2!$F$2:$F$1453,""))</f>
        <v>26-7-2026</v>
      </c>
      <c r="G2" s="2" t="str" cm="1">
        <f t="array" ref="G2">IFERROR(_xlfn.XLOOKUP(A2,Sheet2!$A$2:$A$1453,Sheet2!$G$2:$G$1453),_xlfn.XLOOKUP(A2,TEXT(Sheet2!$A$2:$A$1453,"0"),Sheet2!$G$2:$G$1453,""))</f>
        <v>29-7-2026</v>
      </c>
    </row>
    <row r="3" spans="1:7" x14ac:dyDescent="0.2">
      <c r="A3" s="1">
        <v>20615010012</v>
      </c>
      <c r="B3" t="str" cm="1">
        <f t="array" ref="B3">IFERROR(_xlfn.XLOOKUP(A3,Sheet2!$A$2:$A$1453,Sheet2!$B$2:$B$1453),_xlfn.XLOOKUP(A3,TEXT(Sheet2!$A$2:$A$1453,"0"),Sheet2!$B$2:$B$1453,""))</f>
        <v>BABY JOY NO-3 BOX 1X104</v>
      </c>
      <c r="C3" s="2">
        <v>112.7</v>
      </c>
      <c r="D3" s="2" cm="1">
        <f t="array" ref="D3">_xlfn.LET(_xlpm.v,IFERROR(_xlfn.XLOOKUP(A3,Sheet2!$A$2:$A$1453,Sheet2!$D$2:$D$1453),_xlfn.XLOOKUP(A3,TEXT(Sheet2!$A$2:$A$1453,"0"),Sheet2!$D$2:$D$1453,"")),IF(_xlpm.v="","",IF(_xlpm.v&lt;1,_xlpm.v*100,_xlpm.v)))</f>
        <v>20</v>
      </c>
      <c r="E3" s="2">
        <f t="shared" ref="E3:E66" si="0">IF(D3="","",C3*(1-D3/100))</f>
        <v>90.160000000000011</v>
      </c>
      <c r="F3" s="2" t="str" cm="1">
        <f t="array" ref="F3">IFERROR(_xlfn.XLOOKUP(A3,Sheet2!$A$2:$A$1453,Sheet2!$F$2:$F$1453),_xlfn.XLOOKUP(A3,TEXT(Sheet2!$A$2:$A$1453,"0"),Sheet2!$F$2:$F$1453,""))</f>
        <v>26-7-2026</v>
      </c>
      <c r="G3" s="2" t="str" cm="1">
        <f t="array" ref="G3">IFERROR(_xlfn.XLOOKUP(A3,Sheet2!$A$2:$A$1453,Sheet2!$G$2:$G$1453),_xlfn.XLOOKUP(A3,TEXT(Sheet2!$A$2:$A$1453,"0"),Sheet2!$G$2:$G$1453,""))</f>
        <v>29-7-2026</v>
      </c>
    </row>
    <row r="4" spans="1:7" x14ac:dyDescent="0.2">
      <c r="A4" s="1">
        <v>20615010013</v>
      </c>
      <c r="B4" t="str" cm="1">
        <f t="array" ref="B4">IFERROR(_xlfn.XLOOKUP(A4,Sheet2!$A$2:$A$1453,Sheet2!$B$2:$B$1453),_xlfn.XLOOKUP(A4,TEXT(Sheet2!$A$2:$A$1453,"0"),Sheet2!$B$2:$B$1453,""))</f>
        <v>BABY JOY NO-4 BOX 1X96</v>
      </c>
      <c r="C4" s="2">
        <v>112.7</v>
      </c>
      <c r="D4" s="2" cm="1">
        <f t="array" ref="D4">_xlfn.LET(_xlpm.v,IFERROR(_xlfn.XLOOKUP(A4,Sheet2!$A$2:$A$1453,Sheet2!$D$2:$D$1453),_xlfn.XLOOKUP(A4,TEXT(Sheet2!$A$2:$A$1453,"0"),Sheet2!$D$2:$D$1453,"")),IF(_xlpm.v="","",IF(_xlpm.v&lt;1,_xlpm.v*100,_xlpm.v)))</f>
        <v>20</v>
      </c>
      <c r="E4" s="2">
        <f t="shared" si="0"/>
        <v>90.160000000000011</v>
      </c>
      <c r="F4" s="2" t="str" cm="1">
        <f t="array" ref="F4">IFERROR(_xlfn.XLOOKUP(A4,Sheet2!$A$2:$A$1453,Sheet2!$F$2:$F$1453),_xlfn.XLOOKUP(A4,TEXT(Sheet2!$A$2:$A$1453,"0"),Sheet2!$F$2:$F$1453,""))</f>
        <v>26-7-2026</v>
      </c>
      <c r="G4" s="2" t="str" cm="1">
        <f t="array" ref="G4">IFERROR(_xlfn.XLOOKUP(A4,Sheet2!$A$2:$A$1453,Sheet2!$G$2:$G$1453),_xlfn.XLOOKUP(A4,TEXT(Sheet2!$A$2:$A$1453,"0"),Sheet2!$G$2:$G$1453,""))</f>
        <v>29-7-2026</v>
      </c>
    </row>
    <row r="5" spans="1:7" x14ac:dyDescent="0.2">
      <c r="A5" s="1">
        <v>20615010014</v>
      </c>
      <c r="B5" t="str" cm="1">
        <f t="array" ref="B5">IFERROR(_xlfn.XLOOKUP(A5,Sheet2!$A$2:$A$1453,Sheet2!$B$2:$B$1453),_xlfn.XLOOKUP(A5,TEXT(Sheet2!$A$2:$A$1453,"0"),Sheet2!$B$2:$B$1453,""))</f>
        <v>BABY JOY NO-4+ BOX 1X88</v>
      </c>
      <c r="C5" s="2">
        <v>112.7</v>
      </c>
      <c r="D5" s="2" cm="1">
        <f t="array" ref="D5">_xlfn.LET(_xlpm.v,IFERROR(_xlfn.XLOOKUP(A5,Sheet2!$A$2:$A$1453,Sheet2!$D$2:$D$1453),_xlfn.XLOOKUP(A5,TEXT(Sheet2!$A$2:$A$1453,"0"),Sheet2!$D$2:$D$1453,"")),IF(_xlpm.v="","",IF(_xlpm.v&lt;1,_xlpm.v*100,_xlpm.v)))</f>
        <v>20</v>
      </c>
      <c r="E5" s="2">
        <f t="shared" si="0"/>
        <v>90.160000000000011</v>
      </c>
      <c r="F5" s="2" t="str" cm="1">
        <f t="array" ref="F5">IFERROR(_xlfn.XLOOKUP(A5,Sheet2!$A$2:$A$1453,Sheet2!$F$2:$F$1453),_xlfn.XLOOKUP(A5,TEXT(Sheet2!$A$2:$A$1453,"0"),Sheet2!$F$2:$F$1453,""))</f>
        <v>26-7-2026</v>
      </c>
      <c r="G5" s="2" t="str" cm="1">
        <f t="array" ref="G5">IFERROR(_xlfn.XLOOKUP(A5,Sheet2!$A$2:$A$1453,Sheet2!$G$2:$G$1453),_xlfn.XLOOKUP(A5,TEXT(Sheet2!$A$2:$A$1453,"0"),Sheet2!$G$2:$G$1453,""))</f>
        <v>29-7-2026</v>
      </c>
    </row>
    <row r="6" spans="1:7" x14ac:dyDescent="0.2">
      <c r="A6" s="1">
        <v>20615010015</v>
      </c>
      <c r="B6" t="str" cm="1">
        <f t="array" ref="B6">IFERROR(_xlfn.XLOOKUP(A6,Sheet2!$A$2:$A$1453,Sheet2!$B$2:$B$1453),_xlfn.XLOOKUP(A6,TEXT(Sheet2!$A$2:$A$1453,"0"),Sheet2!$B$2:$B$1453,""))</f>
        <v>BABY JOY NO-5 BOX 1X80</v>
      </c>
      <c r="C6" s="2">
        <v>112.7</v>
      </c>
      <c r="D6" s="2" cm="1">
        <f t="array" ref="D6">_xlfn.LET(_xlpm.v,IFERROR(_xlfn.XLOOKUP(A6,Sheet2!$A$2:$A$1453,Sheet2!$D$2:$D$1453),_xlfn.XLOOKUP(A6,TEXT(Sheet2!$A$2:$A$1453,"0"),Sheet2!$D$2:$D$1453,"")),IF(_xlpm.v="","",IF(_xlpm.v&lt;1,_xlpm.v*100,_xlpm.v)))</f>
        <v>20</v>
      </c>
      <c r="E6" s="2">
        <f t="shared" si="0"/>
        <v>90.160000000000011</v>
      </c>
      <c r="F6" s="2" t="str" cm="1">
        <f t="array" ref="F6">IFERROR(_xlfn.XLOOKUP(A6,Sheet2!$A$2:$A$1453,Sheet2!$F$2:$F$1453),_xlfn.XLOOKUP(A6,TEXT(Sheet2!$A$2:$A$1453,"0"),Sheet2!$F$2:$F$1453,""))</f>
        <v>26-7-2026</v>
      </c>
      <c r="G6" s="2" t="str" cm="1">
        <f t="array" ref="G6">IFERROR(_xlfn.XLOOKUP(A6,Sheet2!$A$2:$A$1453,Sheet2!$G$2:$G$1453),_xlfn.XLOOKUP(A6,TEXT(Sheet2!$A$2:$A$1453,"0"),Sheet2!$G$2:$G$1453,""))</f>
        <v>29-7-2026</v>
      </c>
    </row>
    <row r="7" spans="1:7" x14ac:dyDescent="0.2">
      <c r="A7" s="1">
        <v>20615010035</v>
      </c>
      <c r="B7" t="str" cm="1">
        <f t="array" ref="B7">IFERROR(_xlfn.XLOOKUP(A7,Sheet2!$A$2:$A$1453,Sheet2!$B$2:$B$1453),_xlfn.XLOOKUP(A7,TEXT(Sheet2!$A$2:$A$1453,"0"),Sheet2!$B$2:$B$1453,""))</f>
        <v>BABY JOY-1 BOX 1X136 29202</v>
      </c>
      <c r="C7" s="2">
        <v>112.7</v>
      </c>
      <c r="D7" s="2" cm="1">
        <f t="array" ref="D7">_xlfn.LET(_xlpm.v,IFERROR(_xlfn.XLOOKUP(A7,Sheet2!$A$2:$A$1453,Sheet2!$D$2:$D$1453),_xlfn.XLOOKUP(A7,TEXT(Sheet2!$A$2:$A$1453,"0"),Sheet2!$D$2:$D$1453,"")),IF(_xlpm.v="","",IF(_xlpm.v&lt;1,_xlpm.v*100,_xlpm.v)))</f>
        <v>20</v>
      </c>
      <c r="E7" s="2">
        <f t="shared" si="0"/>
        <v>90.160000000000011</v>
      </c>
      <c r="F7" s="2" t="str" cm="1">
        <f t="array" ref="F7">IFERROR(_xlfn.XLOOKUP(A7,Sheet2!$A$2:$A$1453,Sheet2!$F$2:$F$1453),_xlfn.XLOOKUP(A7,TEXT(Sheet2!$A$2:$A$1453,"0"),Sheet2!$F$2:$F$1453,""))</f>
        <v>26-7-2026</v>
      </c>
      <c r="G7" s="2" t="str" cm="1">
        <f t="array" ref="G7">IFERROR(_xlfn.XLOOKUP(A7,Sheet2!$A$2:$A$1453,Sheet2!$G$2:$G$1453),_xlfn.XLOOKUP(A7,TEXT(Sheet2!$A$2:$A$1453,"0"),Sheet2!$G$2:$G$1453,""))</f>
        <v>29-7-2026</v>
      </c>
    </row>
    <row r="8" spans="1:7" x14ac:dyDescent="0.2">
      <c r="A8" s="1">
        <v>20615010036</v>
      </c>
      <c r="B8" t="str" cm="1">
        <f t="array" ref="B8">IFERROR(_xlfn.XLOOKUP(A8,Sheet2!$A$2:$A$1453,Sheet2!$B$2:$B$1453),_xlfn.XLOOKUP(A8,TEXT(Sheet2!$A$2:$A$1453,"0"),Sheet2!$B$2:$B$1453,""))</f>
        <v>BABY JOY-2 BOX 1X136 29212</v>
      </c>
      <c r="C8" s="2">
        <v>112.7</v>
      </c>
      <c r="D8" s="2" cm="1">
        <f t="array" ref="D8">_xlfn.LET(_xlpm.v,IFERROR(_xlfn.XLOOKUP(A8,Sheet2!$A$2:$A$1453,Sheet2!$D$2:$D$1453),_xlfn.XLOOKUP(A8,TEXT(Sheet2!$A$2:$A$1453,"0"),Sheet2!$D$2:$D$1453,"")),IF(_xlpm.v="","",IF(_xlpm.v&lt;1,_xlpm.v*100,_xlpm.v)))</f>
        <v>20</v>
      </c>
      <c r="E8" s="2">
        <f t="shared" si="0"/>
        <v>90.160000000000011</v>
      </c>
      <c r="F8" s="2" t="str" cm="1">
        <f t="array" ref="F8">IFERROR(_xlfn.XLOOKUP(A8,Sheet2!$A$2:$A$1453,Sheet2!$F$2:$F$1453),_xlfn.XLOOKUP(A8,TEXT(Sheet2!$A$2:$A$1453,"0"),Sheet2!$F$2:$F$1453,""))</f>
        <v>26-7-2026</v>
      </c>
      <c r="G8" s="2" t="str" cm="1">
        <f t="array" ref="G8">IFERROR(_xlfn.XLOOKUP(A8,Sheet2!$A$2:$A$1453,Sheet2!$G$2:$G$1453),_xlfn.XLOOKUP(A8,TEXT(Sheet2!$A$2:$A$1453,"0"),Sheet2!$G$2:$G$1453,""))</f>
        <v>29-7-2026</v>
      </c>
    </row>
    <row r="9" spans="1:7" x14ac:dyDescent="0.2">
      <c r="A9" s="1">
        <v>20309501041</v>
      </c>
      <c r="B9" t="str" cm="1">
        <f t="array" ref="B9">IFERROR(_xlfn.XLOOKUP(A9,Sheet2!$A$2:$A$1453,Sheet2!$B$2:$B$1453),_xlfn.XLOOKUP(A9,TEXT(Sheet2!$A$2:$A$1453,"0"),Sheet2!$B$2:$B$1453,""))</f>
        <v>KOLE MAXI 306/1 DARK ASH BLOND 8</v>
      </c>
      <c r="C9" s="2">
        <v>17.95</v>
      </c>
      <c r="D9" s="2" cm="1">
        <f t="array" ref="D9">_xlfn.LET(_xlpm.v,IFERROR(_xlfn.XLOOKUP(A9,Sheet2!$A$2:$A$1453,Sheet2!$D$2:$D$1453),_xlfn.XLOOKUP(A9,TEXT(Sheet2!$A$2:$A$1453,"0"),Sheet2!$D$2:$D$1453,"")),IF(_xlpm.v="","",IF(_xlpm.v&lt;1,_xlpm.v*100,_xlpm.v)))</f>
        <v>10</v>
      </c>
      <c r="E9" s="2">
        <f t="shared" si="0"/>
        <v>16.155000000000001</v>
      </c>
      <c r="F9" s="2" t="str" cm="1">
        <f t="array" ref="F9">IFERROR(_xlfn.XLOOKUP(A9,Sheet2!$A$2:$A$1453,Sheet2!$F$2:$F$1453),_xlfn.XLOOKUP(A9,TEXT(Sheet2!$A$2:$A$1453,"0"),Sheet2!$F$2:$F$1453,""))</f>
        <v>26-7-2026</v>
      </c>
      <c r="G9" s="2" t="str" cm="1">
        <f t="array" ref="G9">IFERROR(_xlfn.XLOOKUP(A9,Sheet2!$A$2:$A$1453,Sheet2!$G$2:$G$1453),_xlfn.XLOOKUP(A9,TEXT(Sheet2!$A$2:$A$1453,"0"),Sheet2!$G$2:$G$1453,""))</f>
        <v>6-8-2026</v>
      </c>
    </row>
    <row r="10" spans="1:7" x14ac:dyDescent="0.2">
      <c r="A10" s="1">
        <v>20309010734</v>
      </c>
      <c r="B10" t="str" cm="1">
        <f t="array" ref="B10">IFERROR(_xlfn.XLOOKUP(A10,Sheet2!$A$2:$A$1453,Sheet2!$B$2:$B$1453),_xlfn.XLOOKUP(A10,TEXT(Sheet2!$A$2:$A$1453,"0"),Sheet2!$B$2:$B$1453,""))</f>
        <v>KOLE MAXI 308/1 LIGHT ASH BLONDE</v>
      </c>
      <c r="C10" s="2">
        <v>17.95</v>
      </c>
      <c r="D10" s="2" cm="1">
        <f t="array" ref="D10">_xlfn.LET(_xlpm.v,IFERROR(_xlfn.XLOOKUP(A10,Sheet2!$A$2:$A$1453,Sheet2!$D$2:$D$1453),_xlfn.XLOOKUP(A10,TEXT(Sheet2!$A$2:$A$1453,"0"),Sheet2!$D$2:$D$1453,"")),IF(_xlpm.v="","",IF(_xlpm.v&lt;1,_xlpm.v*100,_xlpm.v)))</f>
        <v>10</v>
      </c>
      <c r="E10" s="2">
        <f t="shared" si="0"/>
        <v>16.155000000000001</v>
      </c>
      <c r="F10" s="2" t="str" cm="1">
        <f t="array" ref="F10">IFERROR(_xlfn.XLOOKUP(A10,Sheet2!$A$2:$A$1453,Sheet2!$F$2:$F$1453),_xlfn.XLOOKUP(A10,TEXT(Sheet2!$A$2:$A$1453,"0"),Sheet2!$F$2:$F$1453,""))</f>
        <v>26-7-2026</v>
      </c>
      <c r="G10" s="2" t="str" cm="1">
        <f t="array" ref="G10">IFERROR(_xlfn.XLOOKUP(A10,Sheet2!$A$2:$A$1453,Sheet2!$G$2:$G$1453),_xlfn.XLOOKUP(A10,TEXT(Sheet2!$A$2:$A$1453,"0"),Sheet2!$G$2:$G$1453,""))</f>
        <v>6-8-2026</v>
      </c>
    </row>
    <row r="11" spans="1:7" x14ac:dyDescent="0.2">
      <c r="A11" s="1" t="s">
        <v>1</v>
      </c>
      <c r="B11" t="str" cm="1">
        <f t="array" ref="B11">IFERROR(_xlfn.XLOOKUP(A11,Sheet2!$A$2:$A$1453,Sheet2!$B$2:$B$1453),_xlfn.XLOOKUP(A11,TEXT(Sheet2!$A$2:$A$1453,"0"),Sheet2!$B$2:$B$1453,""))</f>
        <v>QVBARSOAP/1APPLY,100GM/Conta</v>
      </c>
      <c r="C11" s="2">
        <v>44.85</v>
      </c>
      <c r="D11" s="2" cm="1">
        <f t="array" ref="D11">_xlfn.LET(_xlpm.v,IFERROR(_xlfn.XLOOKUP(A11,Sheet2!$A$2:$A$1453,Sheet2!$D$2:$D$1453),_xlfn.XLOOKUP(A11,TEXT(Sheet2!$A$2:$A$1453,"0"),Sheet2!$D$2:$D$1453,"")),IF(_xlpm.v="","",IF(_xlpm.v&lt;1,_xlpm.v*100,_xlpm.v)))</f>
        <v>20</v>
      </c>
      <c r="E11" s="2">
        <f t="shared" si="0"/>
        <v>35.880000000000003</v>
      </c>
      <c r="F11" s="2" t="str" cm="1">
        <f t="array" ref="F11">IFERROR(_xlfn.XLOOKUP(A11,Sheet2!$A$2:$A$1453,Sheet2!$F$2:$F$1453),_xlfn.XLOOKUP(A11,TEXT(Sheet2!$A$2:$A$1453,"0"),Sheet2!$F$2:$F$1453,""))</f>
        <v>26-7-2026</v>
      </c>
      <c r="G11" s="2" t="str" cm="1">
        <f t="array" ref="G11">IFERROR(_xlfn.XLOOKUP(A11,Sheet2!$A$2:$A$1453,Sheet2!$G$2:$G$1453),_xlfn.XLOOKUP(A11,TEXT(Sheet2!$A$2:$A$1453,"0"),Sheet2!$G$2:$G$1453,""))</f>
        <v>6-8-2026</v>
      </c>
    </row>
    <row r="12" spans="1:7" x14ac:dyDescent="0.2">
      <c r="A12" s="1">
        <v>20312051410</v>
      </c>
      <c r="B12" t="str" cm="1">
        <f t="array" ref="B12">IFERROR(_xlfn.XLOOKUP(A12,Sheet2!$A$2:$A$1453,Sheet2!$B$2:$B$1453),_xlfn.XLOOKUP(A12,TEXT(Sheet2!$A$2:$A$1453,"0"),Sheet2!$B$2:$B$1453,""))</f>
        <v>WHITE GLO CHARCOAL DEEP S</v>
      </c>
      <c r="C12" s="2">
        <v>33.14</v>
      </c>
      <c r="D12" s="2" cm="1">
        <f t="array" ref="D12">_xlfn.LET(_xlpm.v,IFERROR(_xlfn.XLOOKUP(A12,Sheet2!$A$2:$A$1453,Sheet2!$D$2:$D$1453),_xlfn.XLOOKUP(A12,TEXT(Sheet2!$A$2:$A$1453,"0"),Sheet2!$D$2:$D$1453,"")),IF(_xlpm.v="","",IF(_xlpm.v&lt;1,_xlpm.v*100,_xlpm.v)))</f>
        <v>30</v>
      </c>
      <c r="E12" s="2">
        <f t="shared" si="0"/>
        <v>23.198</v>
      </c>
      <c r="F12" s="2" t="str" cm="1">
        <f t="array" ref="F12">IFERROR(_xlfn.XLOOKUP(A12,Sheet2!$A$2:$A$1453,Sheet2!$F$2:$F$1453),_xlfn.XLOOKUP(A12,TEXT(Sheet2!$A$2:$A$1453,"0"),Sheet2!$F$2:$F$1453,""))</f>
        <v>26-7-2026</v>
      </c>
      <c r="G12" s="2" t="str" cm="1">
        <f t="array" ref="G12">IFERROR(_xlfn.XLOOKUP(A12,Sheet2!$A$2:$A$1453,Sheet2!$G$2:$G$1453),_xlfn.XLOOKUP(A12,TEXT(Sheet2!$A$2:$A$1453,"0"),Sheet2!$G$2:$G$1453,""))</f>
        <v>6-8-2026</v>
      </c>
    </row>
    <row r="13" spans="1:7" x14ac:dyDescent="0.2">
      <c r="A13" s="1">
        <v>20315040836</v>
      </c>
      <c r="B13" t="str" cm="1">
        <f t="array" ref="B13">IFERROR(_xlfn.XLOOKUP(A13,Sheet2!$A$2:$A$1453,Sheet2!$B$2:$B$1453),_xlfn.XLOOKUP(A13,TEXT(Sheet2!$A$2:$A$1453,"0"),Sheet2!$B$2:$B$1453,""))</f>
        <v>AVENT NATURAL GLASS BOTTLE 240ML</v>
      </c>
      <c r="C13" s="2">
        <v>90.01</v>
      </c>
      <c r="D13" s="2" cm="1">
        <f t="array" ref="D13">_xlfn.LET(_xlpm.v,IFERROR(_xlfn.XLOOKUP(A13,Sheet2!$A$2:$A$1453,Sheet2!$D$2:$D$1453),_xlfn.XLOOKUP(A13,TEXT(Sheet2!$A$2:$A$1453,"0"),Sheet2!$D$2:$D$1453,"")),IF(_xlpm.v="","",IF(_xlpm.v&lt;1,_xlpm.v*100,_xlpm.v)))</f>
        <v>15</v>
      </c>
      <c r="E13" s="2">
        <f t="shared" si="0"/>
        <v>76.508499999999998</v>
      </c>
      <c r="F13" s="2" t="str" cm="1">
        <f t="array" ref="F13">IFERROR(_xlfn.XLOOKUP(A13,Sheet2!$A$2:$A$1453,Sheet2!$F$2:$F$1453),_xlfn.XLOOKUP(A13,TEXT(Sheet2!$A$2:$A$1453,"0"),Sheet2!$F$2:$F$1453,""))</f>
        <v>26-7-2026</v>
      </c>
      <c r="G13" s="2" t="str" cm="1">
        <f t="array" ref="G13">IFERROR(_xlfn.XLOOKUP(A13,Sheet2!$A$2:$A$1453,Sheet2!$G$2:$G$1453),_xlfn.XLOOKUP(A13,TEXT(Sheet2!$A$2:$A$1453,"0"),Sheet2!$G$2:$G$1453,""))</f>
        <v>6-8-2026</v>
      </c>
    </row>
    <row r="14" spans="1:7" x14ac:dyDescent="0.2">
      <c r="A14" s="1">
        <v>20309502776</v>
      </c>
      <c r="B14" t="str" cm="1">
        <f t="array" ref="B14">IFERROR(_xlfn.XLOOKUP(A14,Sheet2!$A$2:$A$1453,Sheet2!$B$2:$B$1453),_xlfn.XLOOKUP(A14,TEXT(Sheet2!$A$2:$A$1453,"0"),Sheet2!$B$2:$B$1453,""))</f>
        <v>DORCO SHAI 4:FRA 200-4P,FOR WOMEN (3+1) IN POLY BAG- 580630</v>
      </c>
      <c r="C14" s="2">
        <v>28.18</v>
      </c>
      <c r="D14" s="2" cm="1">
        <f t="array" ref="D14">_xlfn.LET(_xlpm.v,IFERROR(_xlfn.XLOOKUP(A14,Sheet2!$A$2:$A$1453,Sheet2!$D$2:$D$1453),_xlfn.XLOOKUP(A14,TEXT(Sheet2!$A$2:$A$1453,"0"),Sheet2!$D$2:$D$1453,"")),IF(_xlpm.v="","",IF(_xlpm.v&lt;1,_xlpm.v*100,_xlpm.v)))</f>
        <v>25</v>
      </c>
      <c r="E14" s="2">
        <f t="shared" si="0"/>
        <v>21.134999999999998</v>
      </c>
      <c r="F14" s="2" t="str" cm="1">
        <f t="array" ref="F14">IFERROR(_xlfn.XLOOKUP(A14,Sheet2!$A$2:$A$1453,Sheet2!$F$2:$F$1453),_xlfn.XLOOKUP(A14,TEXT(Sheet2!$A$2:$A$1453,"0"),Sheet2!$F$2:$F$1453,""))</f>
        <v>26-7-2026</v>
      </c>
      <c r="G14" s="2" t="str" cm="1">
        <f t="array" ref="G14">IFERROR(_xlfn.XLOOKUP(A14,Sheet2!$A$2:$A$1453,Sheet2!$G$2:$G$1453),_xlfn.XLOOKUP(A14,TEXT(Sheet2!$A$2:$A$1453,"0"),Sheet2!$G$2:$G$1453,""))</f>
        <v>6-8-2026</v>
      </c>
    </row>
    <row r="15" spans="1:7" x14ac:dyDescent="0.2">
      <c r="A15" s="1">
        <v>20309504115</v>
      </c>
      <c r="B15" t="str" cm="1">
        <f t="array" ref="B15">IFERROR(_xlfn.XLOOKUP(A15,Sheet2!$A$2:$A$1453,Sheet2!$B$2:$B$1453),_xlfn.XLOOKUP(A15,TEXT(Sheet2!$A$2:$A$1453,"0"),Sheet2!$B$2:$B$1453,""))</f>
        <v>BIC FLEX 5 HYBRID B4 801048</v>
      </c>
      <c r="C15" s="2">
        <v>48.66</v>
      </c>
      <c r="D15" s="2" cm="1">
        <f t="array" ref="D15">_xlfn.LET(_xlpm.v,IFERROR(_xlfn.XLOOKUP(A15,Sheet2!$A$2:$A$1453,Sheet2!$D$2:$D$1453),_xlfn.XLOOKUP(A15,TEXT(Sheet2!$A$2:$A$1453,"0"),Sheet2!$D$2:$D$1453,"")),IF(_xlpm.v="","",IF(_xlpm.v&lt;1,_xlpm.v*100,_xlpm.v)))</f>
        <v>15</v>
      </c>
      <c r="E15" s="2">
        <f t="shared" si="0"/>
        <v>41.360999999999997</v>
      </c>
      <c r="F15" s="2" t="str" cm="1">
        <f t="array" ref="F15">IFERROR(_xlfn.XLOOKUP(A15,Sheet2!$A$2:$A$1453,Sheet2!$F$2:$F$1453),_xlfn.XLOOKUP(A15,TEXT(Sheet2!$A$2:$A$1453,"0"),Sheet2!$F$2:$F$1453,""))</f>
        <v>26-7-2026</v>
      </c>
      <c r="G15" s="2" t="str" cm="1">
        <f t="array" ref="G15">IFERROR(_xlfn.XLOOKUP(A15,Sheet2!$A$2:$A$1453,Sheet2!$G$2:$G$1453),_xlfn.XLOOKUP(A15,TEXT(Sheet2!$A$2:$A$1453,"0"),Sheet2!$G$2:$G$1453,""))</f>
        <v>6-8-2026</v>
      </c>
    </row>
    <row r="16" spans="1:7" x14ac:dyDescent="0.2">
      <c r="A16" s="1">
        <v>20309504114</v>
      </c>
      <c r="B16" t="str" cm="1">
        <f t="array" ref="B16">IFERROR(_xlfn.XLOOKUP(A16,Sheet2!$A$2:$A$1453,Sheet2!$B$2:$B$1453),_xlfn.XLOOKUP(A16,TEXT(Sheet2!$A$2:$A$1453,"0"),Sheet2!$B$2:$B$1453,""))</f>
        <v>BIC FLEX 3 HYBRID B4 801047</v>
      </c>
      <c r="C16" s="2">
        <v>24.32</v>
      </c>
      <c r="D16" s="2" cm="1">
        <f t="array" ref="D16">_xlfn.LET(_xlpm.v,IFERROR(_xlfn.XLOOKUP(A16,Sheet2!$A$2:$A$1453,Sheet2!$D$2:$D$1453),_xlfn.XLOOKUP(A16,TEXT(Sheet2!$A$2:$A$1453,"0"),Sheet2!$D$2:$D$1453,"")),IF(_xlpm.v="","",IF(_xlpm.v&lt;1,_xlpm.v*100,_xlpm.v)))</f>
        <v>15</v>
      </c>
      <c r="E16" s="2">
        <f t="shared" si="0"/>
        <v>20.672000000000001</v>
      </c>
      <c r="F16" s="2" t="str" cm="1">
        <f t="array" ref="F16">IFERROR(_xlfn.XLOOKUP(A16,Sheet2!$A$2:$A$1453,Sheet2!$F$2:$F$1453),_xlfn.XLOOKUP(A16,TEXT(Sheet2!$A$2:$A$1453,"0"),Sheet2!$F$2:$F$1453,""))</f>
        <v>26-7-2026</v>
      </c>
      <c r="G16" s="2" t="str" cm="1">
        <f t="array" ref="G16">IFERROR(_xlfn.XLOOKUP(A16,Sheet2!$A$2:$A$1453,Sheet2!$G$2:$G$1453),_xlfn.XLOOKUP(A16,TEXT(Sheet2!$A$2:$A$1453,"0"),Sheet2!$G$2:$G$1453,""))</f>
        <v>6-8-2026</v>
      </c>
    </row>
    <row r="17" spans="1:7" x14ac:dyDescent="0.2">
      <c r="A17" s="1">
        <v>20309504113</v>
      </c>
      <c r="B17" t="str" cm="1">
        <f t="array" ref="B17">IFERROR(_xlfn.XLOOKUP(A17,Sheet2!$A$2:$A$1453,Sheet2!$B$2:$B$1453),_xlfn.XLOOKUP(A17,TEXT(Sheet2!$A$2:$A$1453,"0"),Sheet2!$B$2:$B$1453,""))</f>
        <v>BIC SOLEIL ESCAPE 5B BLAD 2</v>
      </c>
      <c r="C17" s="2">
        <v>22.56</v>
      </c>
      <c r="D17" s="2" cm="1">
        <f t="array" ref="D17">_xlfn.LET(_xlpm.v,IFERROR(_xlfn.XLOOKUP(A17,Sheet2!$A$2:$A$1453,Sheet2!$D$2:$D$1453),_xlfn.XLOOKUP(A17,TEXT(Sheet2!$A$2:$A$1453,"0"),Sheet2!$D$2:$D$1453,"")),IF(_xlpm.v="","",IF(_xlpm.v&lt;1,_xlpm.v*100,_xlpm.v)))</f>
        <v>15</v>
      </c>
      <c r="E17" s="2">
        <f t="shared" si="0"/>
        <v>19.175999999999998</v>
      </c>
      <c r="F17" s="2" t="str" cm="1">
        <f t="array" ref="F17">IFERROR(_xlfn.XLOOKUP(A17,Sheet2!$A$2:$A$1453,Sheet2!$F$2:$F$1453),_xlfn.XLOOKUP(A17,TEXT(Sheet2!$A$2:$A$1453,"0"),Sheet2!$F$2:$F$1453,""))</f>
        <v>26-7-2026</v>
      </c>
      <c r="G17" s="2" t="str" cm="1">
        <f t="array" ref="G17">IFERROR(_xlfn.XLOOKUP(A17,Sheet2!$A$2:$A$1453,Sheet2!$G$2:$G$1453),_xlfn.XLOOKUP(A17,TEXT(Sheet2!$A$2:$A$1453,"0"),Sheet2!$G$2:$G$1453,""))</f>
        <v>6-8-2026</v>
      </c>
    </row>
    <row r="18" spans="1:7" x14ac:dyDescent="0.2">
      <c r="A18" s="1">
        <v>20309504112</v>
      </c>
      <c r="B18" t="str" cm="1">
        <f t="array" ref="B18">IFERROR(_xlfn.XLOOKUP(A18,Sheet2!$A$2:$A$1453,Sheet2!$B$2:$B$1453),_xlfn.XLOOKUP(A18,TEXT(Sheet2!$A$2:$A$1453,"0"),Sheet2!$B$2:$B$1453,""))</f>
        <v>BIC SOLEIL CLICK 3 SENSITIVE</v>
      </c>
      <c r="C18" s="2">
        <v>27.43</v>
      </c>
      <c r="D18" s="2" cm="1">
        <f t="array" ref="D18">_xlfn.LET(_xlpm.v,IFERROR(_xlfn.XLOOKUP(A18,Sheet2!$A$2:$A$1453,Sheet2!$D$2:$D$1453),_xlfn.XLOOKUP(A18,TEXT(Sheet2!$A$2:$A$1453,"0"),Sheet2!$D$2:$D$1453,"")),IF(_xlpm.v="","",IF(_xlpm.v&lt;1,_xlpm.v*100,_xlpm.v)))</f>
        <v>15</v>
      </c>
      <c r="E18" s="2">
        <f t="shared" si="0"/>
        <v>23.3155</v>
      </c>
      <c r="F18" s="2" t="str" cm="1">
        <f t="array" ref="F18">IFERROR(_xlfn.XLOOKUP(A18,Sheet2!$A$2:$A$1453,Sheet2!$F$2:$F$1453),_xlfn.XLOOKUP(A18,TEXT(Sheet2!$A$2:$A$1453,"0"),Sheet2!$F$2:$F$1453,""))</f>
        <v>26-7-2026</v>
      </c>
      <c r="G18" s="2" t="str" cm="1">
        <f t="array" ref="G18">IFERROR(_xlfn.XLOOKUP(A18,Sheet2!$A$2:$A$1453,Sheet2!$G$2:$G$1453),_xlfn.XLOOKUP(A18,TEXT(Sheet2!$A$2:$A$1453,"0"),Sheet2!$G$2:$G$1453,""))</f>
        <v>6-8-2026</v>
      </c>
    </row>
    <row r="19" spans="1:7" x14ac:dyDescent="0.2">
      <c r="A19" s="1">
        <v>20309504111</v>
      </c>
      <c r="B19" t="str" cm="1">
        <f t="array" ref="B19">IFERROR(_xlfn.XLOOKUP(A19,Sheet2!$A$2:$A$1453,Sheet2!$B$2:$B$1453),_xlfn.XLOOKUP(A19,TEXT(Sheet2!$A$2:$A$1453,"0"),Sheet2!$B$2:$B$1453,""))</f>
        <v>BIC SOLEIL CLICK 3 B4 10 80104</v>
      </c>
      <c r="C19" s="2">
        <v>24.77</v>
      </c>
      <c r="D19" s="2" cm="1">
        <f t="array" ref="D19">_xlfn.LET(_xlpm.v,IFERROR(_xlfn.XLOOKUP(A19,Sheet2!$A$2:$A$1453,Sheet2!$D$2:$D$1453),_xlfn.XLOOKUP(A19,TEXT(Sheet2!$A$2:$A$1453,"0"),Sheet2!$D$2:$D$1453,"")),IF(_xlpm.v="","",IF(_xlpm.v&lt;1,_xlpm.v*100,_xlpm.v)))</f>
        <v>15</v>
      </c>
      <c r="E19" s="2">
        <f t="shared" si="0"/>
        <v>21.054499999999997</v>
      </c>
      <c r="F19" s="2" t="str" cm="1">
        <f t="array" ref="F19">IFERROR(_xlfn.XLOOKUP(A19,Sheet2!$A$2:$A$1453,Sheet2!$F$2:$F$1453),_xlfn.XLOOKUP(A19,TEXT(Sheet2!$A$2:$A$1453,"0"),Sheet2!$F$2:$F$1453,""))</f>
        <v>26-7-2026</v>
      </c>
      <c r="G19" s="2" t="str" cm="1">
        <f t="array" ref="G19">IFERROR(_xlfn.XLOOKUP(A19,Sheet2!$A$2:$A$1453,Sheet2!$G$2:$G$1453),_xlfn.XLOOKUP(A19,TEXT(Sheet2!$A$2:$A$1453,"0"),Sheet2!$G$2:$G$1453,""))</f>
        <v>6-8-2026</v>
      </c>
    </row>
    <row r="20" spans="1:7" x14ac:dyDescent="0.2">
      <c r="A20" s="1">
        <v>20309504110</v>
      </c>
      <c r="B20" t="str" cm="1">
        <f t="array" ref="B20">IFERROR(_xlfn.XLOOKUP(A20,Sheet2!$A$2:$A$1453,Sheet2!$B$2:$B$1453),_xlfn.XLOOKUP(A20,TEXT(Sheet2!$A$2:$A$1453,"0"),Sheet2!$B$2:$B$1453,""))</f>
        <v>BIC 3 MISS SOLEIL SENSITIVE</v>
      </c>
      <c r="C20" s="2">
        <v>24.77</v>
      </c>
      <c r="D20" s="2" cm="1">
        <f t="array" ref="D20">_xlfn.LET(_xlpm.v,IFERROR(_xlfn.XLOOKUP(A20,Sheet2!$A$2:$A$1453,Sheet2!$D$2:$D$1453),_xlfn.XLOOKUP(A20,TEXT(Sheet2!$A$2:$A$1453,"0"),Sheet2!$D$2:$D$1453,"")),IF(_xlpm.v="","",IF(_xlpm.v&lt;1,_xlpm.v*100,_xlpm.v)))</f>
        <v>15</v>
      </c>
      <c r="E20" s="2">
        <f t="shared" si="0"/>
        <v>21.054499999999997</v>
      </c>
      <c r="F20" s="2" t="str" cm="1">
        <f t="array" ref="F20">IFERROR(_xlfn.XLOOKUP(A20,Sheet2!$A$2:$A$1453,Sheet2!$F$2:$F$1453),_xlfn.XLOOKUP(A20,TEXT(Sheet2!$A$2:$A$1453,"0"),Sheet2!$F$2:$F$1453,""))</f>
        <v>26-7-2026</v>
      </c>
      <c r="G20" s="2" t="str" cm="1">
        <f t="array" ref="G20">IFERROR(_xlfn.XLOOKUP(A20,Sheet2!$A$2:$A$1453,Sheet2!$G$2:$G$1453),_xlfn.XLOOKUP(A20,TEXT(Sheet2!$A$2:$A$1453,"0"),Sheet2!$G$2:$G$1453,""))</f>
        <v>6-8-2026</v>
      </c>
    </row>
    <row r="21" spans="1:7" x14ac:dyDescent="0.2">
      <c r="A21" s="1">
        <v>20309504109</v>
      </c>
      <c r="B21" t="str" cm="1">
        <f t="array" ref="B21">IFERROR(_xlfn.XLOOKUP(A21,Sheet2!$A$2:$A$1453,Sheet2!$B$2:$B$1453),_xlfn.XLOOKUP(A21,TEXT(Sheet2!$A$2:$A$1453,"0"),Sheet2!$B$2:$B$1453,""))</f>
        <v>BIC 3 ACTION P12 8+4 801040</v>
      </c>
      <c r="C21" s="2">
        <v>26.09</v>
      </c>
      <c r="D21" s="2" cm="1">
        <f t="array" ref="D21">_xlfn.LET(_xlpm.v,IFERROR(_xlfn.XLOOKUP(A21,Sheet2!$A$2:$A$1453,Sheet2!$D$2:$D$1453),_xlfn.XLOOKUP(A21,TEXT(Sheet2!$A$2:$A$1453,"0"),Sheet2!$D$2:$D$1453,"")),IF(_xlpm.v="","",IF(_xlpm.v&lt;1,_xlpm.v*100,_xlpm.v)))</f>
        <v>15</v>
      </c>
      <c r="E21" s="2">
        <f t="shared" si="0"/>
        <v>22.176500000000001</v>
      </c>
      <c r="F21" s="2" t="str" cm="1">
        <f t="array" ref="F21">IFERROR(_xlfn.XLOOKUP(A21,Sheet2!$A$2:$A$1453,Sheet2!$F$2:$F$1453),_xlfn.XLOOKUP(A21,TEXT(Sheet2!$A$2:$A$1453,"0"),Sheet2!$F$2:$F$1453,""))</f>
        <v>26-7-2026</v>
      </c>
      <c r="G21" s="2" t="str" cm="1">
        <f t="array" ref="G21">IFERROR(_xlfn.XLOOKUP(A21,Sheet2!$A$2:$A$1453,Sheet2!$G$2:$G$1453),_xlfn.XLOOKUP(A21,TEXT(Sheet2!$A$2:$A$1453,"0"),Sheet2!$G$2:$G$1453,""))</f>
        <v>6-8-2026</v>
      </c>
    </row>
    <row r="22" spans="1:7" x14ac:dyDescent="0.2">
      <c r="A22" s="1">
        <v>20309504108</v>
      </c>
      <c r="B22" t="str" cm="1">
        <f t="array" ref="B22">IFERROR(_xlfn.XLOOKUP(A22,Sheet2!$A$2:$A$1453,Sheet2!$B$2:$B$1453),_xlfn.XLOOKUP(A22,TEXT(Sheet2!$A$2:$A$1453,"0"),Sheet2!$B$2:$B$1453,""))</f>
        <v>BIC 4 SOLEIL BELLA 3+1 801035</v>
      </c>
      <c r="C22" s="2">
        <v>27.43</v>
      </c>
      <c r="D22" s="2" cm="1">
        <f t="array" ref="D22">_xlfn.LET(_xlpm.v,IFERROR(_xlfn.XLOOKUP(A22,Sheet2!$A$2:$A$1453,Sheet2!$D$2:$D$1453),_xlfn.XLOOKUP(A22,TEXT(Sheet2!$A$2:$A$1453,"0"),Sheet2!$D$2:$D$1453,"")),IF(_xlpm.v="","",IF(_xlpm.v&lt;1,_xlpm.v*100,_xlpm.v)))</f>
        <v>15</v>
      </c>
      <c r="E22" s="2">
        <f t="shared" si="0"/>
        <v>23.3155</v>
      </c>
      <c r="F22" s="2" t="str" cm="1">
        <f t="array" ref="F22">IFERROR(_xlfn.XLOOKUP(A22,Sheet2!$A$2:$A$1453,Sheet2!$F$2:$F$1453),_xlfn.XLOOKUP(A22,TEXT(Sheet2!$A$2:$A$1453,"0"),Sheet2!$F$2:$F$1453,""))</f>
        <v>26-7-2026</v>
      </c>
      <c r="G22" s="2" t="str" cm="1">
        <f t="array" ref="G22">IFERROR(_xlfn.XLOOKUP(A22,Sheet2!$A$2:$A$1453,Sheet2!$G$2:$G$1453),_xlfn.XLOOKUP(A22,TEXT(Sheet2!$A$2:$A$1453,"0"),Sheet2!$G$2:$G$1453,""))</f>
        <v>6-8-2026</v>
      </c>
    </row>
    <row r="23" spans="1:7" x14ac:dyDescent="0.2">
      <c r="A23" s="1">
        <v>20309504107</v>
      </c>
      <c r="B23" t="str" cm="1">
        <f t="array" ref="B23">IFERROR(_xlfn.XLOOKUP(A23,Sheet2!$A$2:$A$1453,Sheet2!$B$2:$B$1453),_xlfn.XLOOKUP(A23,TEXT(Sheet2!$A$2:$A$1453,"0"),Sheet2!$B$2:$B$1453,""))</f>
        <v>BIC 3 SOLEIL SCENT 4+2 801034</v>
      </c>
      <c r="C23" s="2">
        <v>27.43</v>
      </c>
      <c r="D23" s="2" cm="1">
        <f t="array" ref="D23">_xlfn.LET(_xlpm.v,IFERROR(_xlfn.XLOOKUP(A23,Sheet2!$A$2:$A$1453,Sheet2!$D$2:$D$1453),_xlfn.XLOOKUP(A23,TEXT(Sheet2!$A$2:$A$1453,"0"),Sheet2!$D$2:$D$1453,"")),IF(_xlpm.v="","",IF(_xlpm.v&lt;1,_xlpm.v*100,_xlpm.v)))</f>
        <v>15</v>
      </c>
      <c r="E23" s="2">
        <f t="shared" si="0"/>
        <v>23.3155</v>
      </c>
      <c r="F23" s="2" t="str" cm="1">
        <f t="array" ref="F23">IFERROR(_xlfn.XLOOKUP(A23,Sheet2!$A$2:$A$1453,Sheet2!$F$2:$F$1453),_xlfn.XLOOKUP(A23,TEXT(Sheet2!$A$2:$A$1453,"0"),Sheet2!$F$2:$F$1453,""))</f>
        <v>26-7-2026</v>
      </c>
      <c r="G23" s="2" t="str" cm="1">
        <f t="array" ref="G23">IFERROR(_xlfn.XLOOKUP(A23,Sheet2!$A$2:$A$1453,Sheet2!$G$2:$G$1453),_xlfn.XLOOKUP(A23,TEXT(Sheet2!$A$2:$A$1453,"0"),Sheet2!$G$2:$G$1453,""))</f>
        <v>6-8-2026</v>
      </c>
    </row>
    <row r="24" spans="1:7" x14ac:dyDescent="0.2">
      <c r="A24" s="1">
        <v>20309504106</v>
      </c>
      <c r="B24" t="str" cm="1">
        <f t="array" ref="B24">IFERROR(_xlfn.XLOOKUP(A24,Sheet2!$A$2:$A$1453,Sheet2!$B$2:$B$1453),_xlfn.XLOOKUP(A24,TEXT(Sheet2!$A$2:$A$1453,"0"),Sheet2!$B$2:$B$1453,""))</f>
        <v>BIC PURE 3 4+2 TRAY 20 801032</v>
      </c>
      <c r="C24" s="2">
        <v>13.71</v>
      </c>
      <c r="D24" s="2" cm="1">
        <f t="array" ref="D24">_xlfn.LET(_xlpm.v,IFERROR(_xlfn.XLOOKUP(A24,Sheet2!$A$2:$A$1453,Sheet2!$D$2:$D$1453),_xlfn.XLOOKUP(A24,TEXT(Sheet2!$A$2:$A$1453,"0"),Sheet2!$D$2:$D$1453,"")),IF(_xlpm.v="","",IF(_xlpm.v&lt;1,_xlpm.v*100,_xlpm.v)))</f>
        <v>15</v>
      </c>
      <c r="E24" s="2">
        <f t="shared" si="0"/>
        <v>11.653500000000001</v>
      </c>
      <c r="F24" s="2" t="str" cm="1">
        <f t="array" ref="F24">IFERROR(_xlfn.XLOOKUP(A24,Sheet2!$A$2:$A$1453,Sheet2!$F$2:$F$1453),_xlfn.XLOOKUP(A24,TEXT(Sheet2!$A$2:$A$1453,"0"),Sheet2!$F$2:$F$1453,""))</f>
        <v>26-7-2026</v>
      </c>
      <c r="G24" s="2" t="str" cm="1">
        <f t="array" ref="G24">IFERROR(_xlfn.XLOOKUP(A24,Sheet2!$A$2:$A$1453,Sheet2!$G$2:$G$1453),_xlfn.XLOOKUP(A24,TEXT(Sheet2!$A$2:$A$1453,"0"),Sheet2!$G$2:$G$1453,""))</f>
        <v>6-8-2026</v>
      </c>
    </row>
    <row r="25" spans="1:7" x14ac:dyDescent="0.2">
      <c r="A25" s="1">
        <v>20309504105</v>
      </c>
      <c r="B25" t="str" cm="1">
        <f t="array" ref="B25">IFERROR(_xlfn.XLOOKUP(A25,Sheet2!$A$2:$A$1453,Sheet2!$B$2:$B$1453),_xlfn.XLOOKUP(A25,TEXT(Sheet2!$A$2:$A$1453,"0"),Sheet2!$B$2:$B$1453,""))</f>
        <v>BIC TWIN LADY 10+5 801031</v>
      </c>
      <c r="C25" s="2">
        <v>20.79</v>
      </c>
      <c r="D25" s="2" cm="1">
        <f t="array" ref="D25">_xlfn.LET(_xlpm.v,IFERROR(_xlfn.XLOOKUP(A25,Sheet2!$A$2:$A$1453,Sheet2!$D$2:$D$1453),_xlfn.XLOOKUP(A25,TEXT(Sheet2!$A$2:$A$1453,"0"),Sheet2!$D$2:$D$1453,"")),IF(_xlpm.v="","",IF(_xlpm.v&lt;1,_xlpm.v*100,_xlpm.v)))</f>
        <v>15</v>
      </c>
      <c r="E25" s="2">
        <f t="shared" si="0"/>
        <v>17.671499999999998</v>
      </c>
      <c r="F25" s="2" t="str" cm="1">
        <f t="array" ref="F25">IFERROR(_xlfn.XLOOKUP(A25,Sheet2!$A$2:$A$1453,Sheet2!$F$2:$F$1453),_xlfn.XLOOKUP(A25,TEXT(Sheet2!$A$2:$A$1453,"0"),Sheet2!$F$2:$F$1453,""))</f>
        <v>26-7-2026</v>
      </c>
      <c r="G25" s="2" t="str" cm="1">
        <f t="array" ref="G25">IFERROR(_xlfn.XLOOKUP(A25,Sheet2!$A$2:$A$1453,Sheet2!$G$2:$G$1453),_xlfn.XLOOKUP(A25,TEXT(Sheet2!$A$2:$A$1453,"0"),Sheet2!$G$2:$G$1453,""))</f>
        <v>6-8-2026</v>
      </c>
    </row>
    <row r="26" spans="1:7" x14ac:dyDescent="0.2">
      <c r="A26" s="1">
        <v>20309504104</v>
      </c>
      <c r="B26" t="str" cm="1">
        <f t="array" ref="B26">IFERROR(_xlfn.XLOOKUP(A26,Sheet2!$A$2:$A$1453,Sheet2!$B$2:$B$1453),_xlfn.XLOOKUP(A26,TEXT(Sheet2!$A$2:$A$1453,"0"),Sheet2!$B$2:$B$1453,""))</f>
        <v>BIC FLEX 5 FLEXIBLE BLADES 2</v>
      </c>
      <c r="C26" s="2">
        <v>25.21</v>
      </c>
      <c r="D26" s="2" cm="1">
        <f t="array" ref="D26">_xlfn.LET(_xlpm.v,IFERROR(_xlfn.XLOOKUP(A26,Sheet2!$A$2:$A$1453,Sheet2!$D$2:$D$1453),_xlfn.XLOOKUP(A26,TEXT(Sheet2!$A$2:$A$1453,"0"),Sheet2!$D$2:$D$1453,"")),IF(_xlpm.v="","",IF(_xlpm.v&lt;1,_xlpm.v*100,_xlpm.v)))</f>
        <v>15</v>
      </c>
      <c r="E26" s="2">
        <f t="shared" si="0"/>
        <v>21.4285</v>
      </c>
      <c r="F26" s="2" t="str" cm="1">
        <f t="array" ref="F26">IFERROR(_xlfn.XLOOKUP(A26,Sheet2!$A$2:$A$1453,Sheet2!$F$2:$F$1453),_xlfn.XLOOKUP(A26,TEXT(Sheet2!$A$2:$A$1453,"0"),Sheet2!$F$2:$F$1453,""))</f>
        <v>26-7-2026</v>
      </c>
      <c r="G26" s="2" t="str" cm="1">
        <f t="array" ref="G26">IFERROR(_xlfn.XLOOKUP(A26,Sheet2!$A$2:$A$1453,Sheet2!$G$2:$G$1453),_xlfn.XLOOKUP(A26,TEXT(Sheet2!$A$2:$A$1453,"0"),Sheet2!$G$2:$G$1453,""))</f>
        <v>6-8-2026</v>
      </c>
    </row>
    <row r="27" spans="1:7" x14ac:dyDescent="0.2">
      <c r="A27" s="1">
        <v>20309504103</v>
      </c>
      <c r="B27" t="str" cm="1">
        <f t="array" ref="B27">IFERROR(_xlfn.XLOOKUP(A27,Sheet2!$A$2:$A$1453,Sheet2!$B$2:$B$1453),_xlfn.XLOOKUP(A27,TEXT(Sheet2!$A$2:$A$1453,"0"),Sheet2!$B$2:$B$1453,""))</f>
        <v>BIC 3 SENSITIVE 8+4 801020</v>
      </c>
      <c r="C27" s="2">
        <v>26.09</v>
      </c>
      <c r="D27" s="2" cm="1">
        <f t="array" ref="D27">_xlfn.LET(_xlpm.v,IFERROR(_xlfn.XLOOKUP(A27,Sheet2!$A$2:$A$1453,Sheet2!$D$2:$D$1453),_xlfn.XLOOKUP(A27,TEXT(Sheet2!$A$2:$A$1453,"0"),Sheet2!$D$2:$D$1453,"")),IF(_xlpm.v="","",IF(_xlpm.v&lt;1,_xlpm.v*100,_xlpm.v)))</f>
        <v>15</v>
      </c>
      <c r="E27" s="2">
        <f t="shared" si="0"/>
        <v>22.176500000000001</v>
      </c>
      <c r="F27" s="2" t="str" cm="1">
        <f t="array" ref="F27">IFERROR(_xlfn.XLOOKUP(A27,Sheet2!$A$2:$A$1453,Sheet2!$F$2:$F$1453),_xlfn.XLOOKUP(A27,TEXT(Sheet2!$A$2:$A$1453,"0"),Sheet2!$F$2:$F$1453,""))</f>
        <v>26-7-2026</v>
      </c>
      <c r="G27" s="2" t="str" cm="1">
        <f t="array" ref="G27">IFERROR(_xlfn.XLOOKUP(A27,Sheet2!$A$2:$A$1453,Sheet2!$G$2:$G$1453),_xlfn.XLOOKUP(A27,TEXT(Sheet2!$A$2:$A$1453,"0"),Sheet2!$G$2:$G$1453,""))</f>
        <v>6-8-2026</v>
      </c>
    </row>
    <row r="28" spans="1:7" x14ac:dyDescent="0.2">
      <c r="A28" s="1">
        <v>20309504102</v>
      </c>
      <c r="B28" t="str" cm="1">
        <f t="array" ref="B28">IFERROR(_xlfn.XLOOKUP(A28,Sheet2!$A$2:$A$1453,Sheet2!$B$2:$B$1453),_xlfn.XLOOKUP(A28,TEXT(Sheet2!$A$2:$A$1453,"0"),Sheet2!$B$2:$B$1453,""))</f>
        <v>BIC 3 SENSITIVE TRAY 4+2 8010</v>
      </c>
      <c r="C28" s="2">
        <v>13.71</v>
      </c>
      <c r="D28" s="2" cm="1">
        <f t="array" ref="D28">_xlfn.LET(_xlpm.v,IFERROR(_xlfn.XLOOKUP(A28,Sheet2!$A$2:$A$1453,Sheet2!$D$2:$D$1453),_xlfn.XLOOKUP(A28,TEXT(Sheet2!$A$2:$A$1453,"0"),Sheet2!$D$2:$D$1453,"")),IF(_xlpm.v="","",IF(_xlpm.v&lt;1,_xlpm.v*100,_xlpm.v)))</f>
        <v>15</v>
      </c>
      <c r="E28" s="2">
        <f t="shared" si="0"/>
        <v>11.653500000000001</v>
      </c>
      <c r="F28" s="2" t="str" cm="1">
        <f t="array" ref="F28">IFERROR(_xlfn.XLOOKUP(A28,Sheet2!$A$2:$A$1453,Sheet2!$F$2:$F$1453),_xlfn.XLOOKUP(A28,TEXT(Sheet2!$A$2:$A$1453,"0"),Sheet2!$F$2:$F$1453,""))</f>
        <v>26-7-2026</v>
      </c>
      <c r="G28" s="2" t="str" cm="1">
        <f t="array" ref="G28">IFERROR(_xlfn.XLOOKUP(A28,Sheet2!$A$2:$A$1453,Sheet2!$G$2:$G$1453),_xlfn.XLOOKUP(A28,TEXT(Sheet2!$A$2:$A$1453,"0"),Sheet2!$G$2:$G$1453,""))</f>
        <v>6-8-2026</v>
      </c>
    </row>
    <row r="29" spans="1:7" x14ac:dyDescent="0.2">
      <c r="A29" s="1">
        <v>20309504101</v>
      </c>
      <c r="B29" t="str" cm="1">
        <f t="array" ref="B29">IFERROR(_xlfn.XLOOKUP(A29,Sheet2!$A$2:$A$1453,Sheet2!$B$2:$B$1453),_xlfn.XLOOKUP(A29,TEXT(Sheet2!$A$2:$A$1453,"0"),Sheet2!$B$2:$B$1453,""))</f>
        <v>BIC 2 SENSITIVE 10+5 801011</v>
      </c>
      <c r="C29" s="2">
        <v>20.79</v>
      </c>
      <c r="D29" s="2" cm="1">
        <f t="array" ref="D29">_xlfn.LET(_xlpm.v,IFERROR(_xlfn.XLOOKUP(A29,Sheet2!$A$2:$A$1453,Sheet2!$D$2:$D$1453),_xlfn.XLOOKUP(A29,TEXT(Sheet2!$A$2:$A$1453,"0"),Sheet2!$D$2:$D$1453,"")),IF(_xlpm.v="","",IF(_xlpm.v&lt;1,_xlpm.v*100,_xlpm.v)))</f>
        <v>15</v>
      </c>
      <c r="E29" s="2">
        <f t="shared" si="0"/>
        <v>17.671499999999998</v>
      </c>
      <c r="F29" s="2" t="str" cm="1">
        <f t="array" ref="F29">IFERROR(_xlfn.XLOOKUP(A29,Sheet2!$A$2:$A$1453,Sheet2!$F$2:$F$1453),_xlfn.XLOOKUP(A29,TEXT(Sheet2!$A$2:$A$1453,"0"),Sheet2!$F$2:$F$1453,""))</f>
        <v>26-7-2026</v>
      </c>
      <c r="G29" s="2" t="str" cm="1">
        <f t="array" ref="G29">IFERROR(_xlfn.XLOOKUP(A29,Sheet2!$A$2:$A$1453,Sheet2!$G$2:$G$1453),_xlfn.XLOOKUP(A29,TEXT(Sheet2!$A$2:$A$1453,"0"),Sheet2!$G$2:$G$1453,""))</f>
        <v>6-8-2026</v>
      </c>
    </row>
    <row r="30" spans="1:7" x14ac:dyDescent="0.2">
      <c r="A30" s="1">
        <v>20309504100</v>
      </c>
      <c r="B30" t="str" cm="1">
        <f t="array" ref="B30">IFERROR(_xlfn.XLOOKUP(A30,Sheet2!$A$2:$A$1453,Sheet2!$B$2:$B$1453),_xlfn.XLOOKUP(A30,TEXT(Sheet2!$A$2:$A$1453,"0"),Sheet2!$B$2:$B$1453,""))</f>
        <v>BIC BODY 3"S 801005</v>
      </c>
      <c r="C30" s="2">
        <v>4.8600000000000003</v>
      </c>
      <c r="D30" s="2" cm="1">
        <f t="array" ref="D30">_xlfn.LET(_xlpm.v,IFERROR(_xlfn.XLOOKUP(A30,Sheet2!$A$2:$A$1453,Sheet2!$D$2:$D$1453),_xlfn.XLOOKUP(A30,TEXT(Sheet2!$A$2:$A$1453,"0"),Sheet2!$D$2:$D$1453,"")),IF(_xlpm.v="","",IF(_xlpm.v&lt;1,_xlpm.v*100,_xlpm.v)))</f>
        <v>15</v>
      </c>
      <c r="E30" s="2">
        <f t="shared" si="0"/>
        <v>4.1310000000000002</v>
      </c>
      <c r="F30" s="2" t="str" cm="1">
        <f t="array" ref="F30">IFERROR(_xlfn.XLOOKUP(A30,Sheet2!$A$2:$A$1453,Sheet2!$F$2:$F$1453),_xlfn.XLOOKUP(A30,TEXT(Sheet2!$A$2:$A$1453,"0"),Sheet2!$F$2:$F$1453,""))</f>
        <v>26-7-2026</v>
      </c>
      <c r="G30" s="2" t="str" cm="1">
        <f t="array" ref="G30">IFERROR(_xlfn.XLOOKUP(A30,Sheet2!$A$2:$A$1453,Sheet2!$G$2:$G$1453),_xlfn.XLOOKUP(A30,TEXT(Sheet2!$A$2:$A$1453,"0"),Sheet2!$G$2:$G$1453,""))</f>
        <v>6-8-2026</v>
      </c>
    </row>
    <row r="31" spans="1:7" x14ac:dyDescent="0.2">
      <c r="A31" s="1">
        <v>30420013290</v>
      </c>
      <c r="B31" t="str" cm="1">
        <f t="array" ref="B31">IFERROR(_xlfn.XLOOKUP(A31,Sheet2!$A$2:$A$1453,Sheet2!$B$2:$B$1453),_xlfn.XLOOKUP(A31,TEXT(Sheet2!$A$2:$A$1453,"0"),Sheet2!$B$2:$B$1453,""))</f>
        <v>FRESH MORE MOUTH SPRAY MINT 20 ML</v>
      </c>
      <c r="C31" s="2">
        <v>14</v>
      </c>
      <c r="D31" s="2" cm="1">
        <f t="array" ref="D31">_xlfn.LET(_xlpm.v,IFERROR(_xlfn.XLOOKUP(A31,Sheet2!$A$2:$A$1453,Sheet2!$D$2:$D$1453),_xlfn.XLOOKUP(A31,TEXT(Sheet2!$A$2:$A$1453,"0"),Sheet2!$D$2:$D$1453,"")),IF(_xlpm.v="","",IF(_xlpm.v&lt;1,_xlpm.v*100,_xlpm.v)))</f>
        <v>25</v>
      </c>
      <c r="E31" s="2">
        <f t="shared" si="0"/>
        <v>10.5</v>
      </c>
      <c r="F31" s="2" t="str" cm="1">
        <f t="array" ref="F31">IFERROR(_xlfn.XLOOKUP(A31,Sheet2!$A$2:$A$1453,Sheet2!$F$2:$F$1453),_xlfn.XLOOKUP(A31,TEXT(Sheet2!$A$2:$A$1453,"0"),Sheet2!$F$2:$F$1453,""))</f>
        <v>26-7-2026</v>
      </c>
      <c r="G31" s="2" t="str" cm="1">
        <f t="array" ref="G31">IFERROR(_xlfn.XLOOKUP(A31,Sheet2!$A$2:$A$1453,Sheet2!$G$2:$G$1453),_xlfn.XLOOKUP(A31,TEXT(Sheet2!$A$2:$A$1453,"0"),Sheet2!$G$2:$G$1453,""))</f>
        <v>6-8-2026</v>
      </c>
    </row>
    <row r="32" spans="1:7" x14ac:dyDescent="0.2">
      <c r="A32" s="1">
        <v>30420013289</v>
      </c>
      <c r="B32" t="str" cm="1">
        <f t="array" ref="B32">IFERROR(_xlfn.XLOOKUP(A32,Sheet2!$A$2:$A$1453,Sheet2!$B$2:$B$1453),_xlfn.XLOOKUP(A32,TEXT(Sheet2!$A$2:$A$1453,"0"),Sheet2!$B$2:$B$1453,""))</f>
        <v>FRESH MORE MOUTH SPRAY LEMON 20 ML</v>
      </c>
      <c r="C32" s="2">
        <v>14</v>
      </c>
      <c r="D32" s="2" cm="1">
        <f t="array" ref="D32">_xlfn.LET(_xlpm.v,IFERROR(_xlfn.XLOOKUP(A32,Sheet2!$A$2:$A$1453,Sheet2!$D$2:$D$1453),_xlfn.XLOOKUP(A32,TEXT(Sheet2!$A$2:$A$1453,"0"),Sheet2!$D$2:$D$1453,"")),IF(_xlpm.v="","",IF(_xlpm.v&lt;1,_xlpm.v*100,_xlpm.v)))</f>
        <v>25</v>
      </c>
      <c r="E32" s="2">
        <f t="shared" si="0"/>
        <v>10.5</v>
      </c>
      <c r="F32" s="2" t="str" cm="1">
        <f t="array" ref="F32">IFERROR(_xlfn.XLOOKUP(A32,Sheet2!$A$2:$A$1453,Sheet2!$F$2:$F$1453),_xlfn.XLOOKUP(A32,TEXT(Sheet2!$A$2:$A$1453,"0"),Sheet2!$F$2:$F$1453,""))</f>
        <v>26-7-2026</v>
      </c>
      <c r="G32" s="2" t="str" cm="1">
        <f t="array" ref="G32">IFERROR(_xlfn.XLOOKUP(A32,Sheet2!$A$2:$A$1453,Sheet2!$G$2:$G$1453),_xlfn.XLOOKUP(A32,TEXT(Sheet2!$A$2:$A$1453,"0"),Sheet2!$G$2:$G$1453,""))</f>
        <v>6-8-2026</v>
      </c>
    </row>
    <row r="33" spans="1:7" x14ac:dyDescent="0.2">
      <c r="A33" s="1">
        <v>30420013288</v>
      </c>
      <c r="B33" t="str" cm="1">
        <f t="array" ref="B33">IFERROR(_xlfn.XLOOKUP(A33,Sheet2!$A$2:$A$1453,Sheet2!$B$2:$B$1453),_xlfn.XLOOKUP(A33,TEXT(Sheet2!$A$2:$A$1453,"0"),Sheet2!$B$2:$B$1453,""))</f>
        <v>FRESH MORE MOUTH SPRAY STRAWBERRY </v>
      </c>
      <c r="C33" s="2">
        <v>14</v>
      </c>
      <c r="D33" s="2" cm="1">
        <f t="array" ref="D33">_xlfn.LET(_xlpm.v,IFERROR(_xlfn.XLOOKUP(A33,Sheet2!$A$2:$A$1453,Sheet2!$D$2:$D$1453),_xlfn.XLOOKUP(A33,TEXT(Sheet2!$A$2:$A$1453,"0"),Sheet2!$D$2:$D$1453,"")),IF(_xlpm.v="","",IF(_xlpm.v&lt;1,_xlpm.v*100,_xlpm.v)))</f>
        <v>25</v>
      </c>
      <c r="E33" s="2">
        <f t="shared" si="0"/>
        <v>10.5</v>
      </c>
      <c r="F33" s="2" t="str" cm="1">
        <f t="array" ref="F33">IFERROR(_xlfn.XLOOKUP(A33,Sheet2!$A$2:$A$1453,Sheet2!$F$2:$F$1453),_xlfn.XLOOKUP(A33,TEXT(Sheet2!$A$2:$A$1453,"0"),Sheet2!$F$2:$F$1453,""))</f>
        <v>26-7-2026</v>
      </c>
      <c r="G33" s="2" t="str" cm="1">
        <f t="array" ref="G33">IFERROR(_xlfn.XLOOKUP(A33,Sheet2!$A$2:$A$1453,Sheet2!$G$2:$G$1453),_xlfn.XLOOKUP(A33,TEXT(Sheet2!$A$2:$A$1453,"0"),Sheet2!$G$2:$G$1453,""))</f>
        <v>6-8-2026</v>
      </c>
    </row>
    <row r="34" spans="1:7" x14ac:dyDescent="0.2">
      <c r="A34" s="1">
        <v>30420012886</v>
      </c>
      <c r="B34" t="str" cm="1">
        <f t="array" ref="B34">IFERROR(_xlfn.XLOOKUP(A34,Sheet2!$A$2:$A$1453,Sheet2!$B$2:$B$1453),_xlfn.XLOOKUP(A34,TEXT(Sheet2!$A$2:$A$1453,"0"),Sheet2!$B$2:$B$1453,""))</f>
        <v>LENS ME COLORED LENSES SNOWY 13865</v>
      </c>
      <c r="C34" s="2">
        <v>182</v>
      </c>
      <c r="D34" s="2" cm="1">
        <f t="array" ref="D34">_xlfn.LET(_xlpm.v,IFERROR(_xlfn.XLOOKUP(A34,Sheet2!$A$2:$A$1453,Sheet2!$D$2:$D$1453),_xlfn.XLOOKUP(A34,TEXT(Sheet2!$A$2:$A$1453,"0"),Sheet2!$D$2:$D$1453,"")),IF(_xlpm.v="","",IF(_xlpm.v&lt;1,_xlpm.v*100,_xlpm.v)))</f>
        <v>25</v>
      </c>
      <c r="E34" s="2">
        <f t="shared" si="0"/>
        <v>136.5</v>
      </c>
      <c r="F34" s="2" t="str" cm="1">
        <f t="array" ref="F34">IFERROR(_xlfn.XLOOKUP(A34,Sheet2!$A$2:$A$1453,Sheet2!$F$2:$F$1453),_xlfn.XLOOKUP(A34,TEXT(Sheet2!$A$2:$A$1453,"0"),Sheet2!$F$2:$F$1453,""))</f>
        <v>26-7-2026</v>
      </c>
      <c r="G34" s="2" t="str" cm="1">
        <f t="array" ref="G34">IFERROR(_xlfn.XLOOKUP(A34,Sheet2!$A$2:$A$1453,Sheet2!$G$2:$G$1453),_xlfn.XLOOKUP(A34,TEXT(Sheet2!$A$2:$A$1453,"0"),Sheet2!$G$2:$G$1453,""))</f>
        <v>6-8-2026</v>
      </c>
    </row>
    <row r="35" spans="1:7" x14ac:dyDescent="0.2">
      <c r="A35" s="1">
        <v>30420012881</v>
      </c>
      <c r="B35" t="str" cm="1">
        <f t="array" ref="B35">IFERROR(_xlfn.XLOOKUP(A35,Sheet2!$A$2:$A$1453,Sheet2!$B$2:$B$1453),_xlfn.XLOOKUP(A35,TEXT(Sheet2!$A$2:$A$1453,"0"),Sheet2!$B$2:$B$1453,""))</f>
        <v>LENS ME COLORED LENSES CAFFE 13896</v>
      </c>
      <c r="C35" s="2">
        <v>182</v>
      </c>
      <c r="D35" s="2" cm="1">
        <f t="array" ref="D35">_xlfn.LET(_xlpm.v,IFERROR(_xlfn.XLOOKUP(A35,Sheet2!$A$2:$A$1453,Sheet2!$D$2:$D$1453),_xlfn.XLOOKUP(A35,TEXT(Sheet2!$A$2:$A$1453,"0"),Sheet2!$D$2:$D$1453,"")),IF(_xlpm.v="","",IF(_xlpm.v&lt;1,_xlpm.v*100,_xlpm.v)))</f>
        <v>25</v>
      </c>
      <c r="E35" s="2">
        <f t="shared" si="0"/>
        <v>136.5</v>
      </c>
      <c r="F35" s="2" t="str" cm="1">
        <f t="array" ref="F35">IFERROR(_xlfn.XLOOKUP(A35,Sheet2!$A$2:$A$1453,Sheet2!$F$2:$F$1453),_xlfn.XLOOKUP(A35,TEXT(Sheet2!$A$2:$A$1453,"0"),Sheet2!$F$2:$F$1453,""))</f>
        <v>26-7-2026</v>
      </c>
      <c r="G35" s="2" t="str" cm="1">
        <f t="array" ref="G35">IFERROR(_xlfn.XLOOKUP(A35,Sheet2!$A$2:$A$1453,Sheet2!$G$2:$G$1453),_xlfn.XLOOKUP(A35,TEXT(Sheet2!$A$2:$A$1453,"0"),Sheet2!$G$2:$G$1453,""))</f>
        <v>6-8-2026</v>
      </c>
    </row>
    <row r="36" spans="1:7" x14ac:dyDescent="0.2">
      <c r="A36" s="1">
        <v>20309502720</v>
      </c>
      <c r="B36" t="str" cm="1">
        <f t="array" ref="B36">IFERROR(_xlfn.XLOOKUP(A36,Sheet2!$A$2:$A$1453,Sheet2!$B$2:$B$1453),_xlfn.XLOOKUP(A36,TEXT(Sheet2!$A$2:$A$1453,"0"),Sheet2!$B$2:$B$1453,""))</f>
        <v>DORCO SHAI 3 CREAMY MINI</v>
      </c>
      <c r="C36" s="2">
        <v>35.880000000000003</v>
      </c>
      <c r="D36" s="2" cm="1">
        <f t="array" ref="D36">_xlfn.LET(_xlpm.v,IFERROR(_xlfn.XLOOKUP(A36,Sheet2!$A$2:$A$1453,Sheet2!$D$2:$D$1453),_xlfn.XLOOKUP(A36,TEXT(Sheet2!$A$2:$A$1453,"0"),Sheet2!$D$2:$D$1453,"")),IF(_xlpm.v="","",IF(_xlpm.v&lt;1,_xlpm.v*100,_xlpm.v)))</f>
        <v>25</v>
      </c>
      <c r="E36" s="2">
        <f t="shared" si="0"/>
        <v>26.910000000000004</v>
      </c>
      <c r="F36" s="2" t="str" cm="1">
        <f t="array" ref="F36">IFERROR(_xlfn.XLOOKUP(A36,Sheet2!$A$2:$A$1453,Sheet2!$F$2:$F$1453),_xlfn.XLOOKUP(A36,TEXT(Sheet2!$A$2:$A$1453,"0"),Sheet2!$F$2:$F$1453,""))</f>
        <v>26-7-2026</v>
      </c>
      <c r="G36" s="2" t="str" cm="1">
        <f t="array" ref="G36">IFERROR(_xlfn.XLOOKUP(A36,Sheet2!$A$2:$A$1453,Sheet2!$G$2:$G$1453),_xlfn.XLOOKUP(A36,TEXT(Sheet2!$A$2:$A$1453,"0"),Sheet2!$G$2:$G$1453,""))</f>
        <v>6-8-2026</v>
      </c>
    </row>
    <row r="37" spans="1:7" x14ac:dyDescent="0.2">
      <c r="A37" s="1">
        <v>20309011893</v>
      </c>
      <c r="B37" t="str" cm="1">
        <f t="array" ref="B37">IFERROR(_xlfn.XLOOKUP(A37,Sheet2!$A$2:$A$1453,Sheet2!$B$2:$B$1453),_xlfn.XLOOKUP(A37,TEXT(Sheet2!$A$2:$A$1453,"0"),Sheet2!$B$2:$B$1453,""))</f>
        <v>IL SALON PROTIN SHAMPO FOR  DAMEGED HAIR 500 ML</v>
      </c>
      <c r="C37" s="2">
        <v>75</v>
      </c>
      <c r="D37" s="2" cm="1">
        <f t="array" ref="D37">_xlfn.LET(_xlpm.v,IFERROR(_xlfn.XLOOKUP(A37,Sheet2!$A$2:$A$1453,Sheet2!$D$2:$D$1453),_xlfn.XLOOKUP(A37,TEXT(Sheet2!$A$2:$A$1453,"0"),Sheet2!$D$2:$D$1453,"")),IF(_xlpm.v="","",IF(_xlpm.v&lt;1,_xlpm.v*100,_xlpm.v)))</f>
        <v>33</v>
      </c>
      <c r="E37" s="2">
        <f t="shared" si="0"/>
        <v>50.249999999999993</v>
      </c>
      <c r="F37" s="2" t="str" cm="1">
        <f t="array" ref="F37">IFERROR(_xlfn.XLOOKUP(A37,Sheet2!$A$2:$A$1453,Sheet2!$F$2:$F$1453),_xlfn.XLOOKUP(A37,TEXT(Sheet2!$A$2:$A$1453,"0"),Sheet2!$F$2:$F$1453,""))</f>
        <v>26-7-2026</v>
      </c>
      <c r="G37" s="2" t="str" cm="1">
        <f t="array" ref="G37">IFERROR(_xlfn.XLOOKUP(A37,Sheet2!$A$2:$A$1453,Sheet2!$G$2:$G$1453),_xlfn.XLOOKUP(A37,TEXT(Sheet2!$A$2:$A$1453,"0"),Sheet2!$G$2:$G$1453,""))</f>
        <v>6-8-2026</v>
      </c>
    </row>
    <row r="38" spans="1:7" x14ac:dyDescent="0.2">
      <c r="A38" s="1">
        <v>20309011887</v>
      </c>
      <c r="B38" t="str" cm="1">
        <f t="array" ref="B38">IFERROR(_xlfn.XLOOKUP(A38,Sheet2!$A$2:$A$1453,Sheet2!$B$2:$B$1453),_xlfn.XLOOKUP(A38,TEXT(Sheet2!$A$2:$A$1453,"0"),Sheet2!$B$2:$B$1453,""))</f>
        <v>IL SALON PROTIN CONDITIONER NORMAL DRY HAIR 500 ML</v>
      </c>
      <c r="C38" s="2">
        <v>75</v>
      </c>
      <c r="D38" s="2" cm="1">
        <f t="array" ref="D38">_xlfn.LET(_xlpm.v,IFERROR(_xlfn.XLOOKUP(A38,Sheet2!$A$2:$A$1453,Sheet2!$D$2:$D$1453),_xlfn.XLOOKUP(A38,TEXT(Sheet2!$A$2:$A$1453,"0"),Sheet2!$D$2:$D$1453,"")),IF(_xlpm.v="","",IF(_xlpm.v&lt;1,_xlpm.v*100,_xlpm.v)))</f>
        <v>33</v>
      </c>
      <c r="E38" s="2">
        <f t="shared" si="0"/>
        <v>50.249999999999993</v>
      </c>
      <c r="F38" s="2" t="str" cm="1">
        <f t="array" ref="F38">IFERROR(_xlfn.XLOOKUP(A38,Sheet2!$A$2:$A$1453,Sheet2!$F$2:$F$1453),_xlfn.XLOOKUP(A38,TEXT(Sheet2!$A$2:$A$1453,"0"),Sheet2!$F$2:$F$1453,""))</f>
        <v>26-7-2026</v>
      </c>
      <c r="G38" s="2" t="str" cm="1">
        <f t="array" ref="G38">IFERROR(_xlfn.XLOOKUP(A38,Sheet2!$A$2:$A$1453,Sheet2!$G$2:$G$1453),_xlfn.XLOOKUP(A38,TEXT(Sheet2!$A$2:$A$1453,"0"),Sheet2!$G$2:$G$1453,""))</f>
        <v>6-8-2026</v>
      </c>
    </row>
    <row r="39" spans="1:7" x14ac:dyDescent="0.2">
      <c r="A39" s="1">
        <v>20309011883</v>
      </c>
      <c r="B39" t="str" cm="1">
        <f t="array" ref="B39">IFERROR(_xlfn.XLOOKUP(A39,Sheet2!$A$2:$A$1453,Sheet2!$B$2:$B$1453),_xlfn.XLOOKUP(A39,TEXT(Sheet2!$A$2:$A$1453,"0"),Sheet2!$B$2:$B$1453,""))</f>
        <v>KERATIN MAINTENANCE CONDITIONER 250 ML</v>
      </c>
      <c r="C39" s="2">
        <v>75</v>
      </c>
      <c r="D39" s="2" cm="1">
        <f t="array" ref="D39">_xlfn.LET(_xlpm.v,IFERROR(_xlfn.XLOOKUP(A39,Sheet2!$A$2:$A$1453,Sheet2!$D$2:$D$1453),_xlfn.XLOOKUP(A39,TEXT(Sheet2!$A$2:$A$1453,"0"),Sheet2!$D$2:$D$1453,"")),IF(_xlpm.v="","",IF(_xlpm.v&lt;1,_xlpm.v*100,_xlpm.v)))</f>
        <v>33</v>
      </c>
      <c r="E39" s="2">
        <f t="shared" si="0"/>
        <v>50.249999999999993</v>
      </c>
      <c r="F39" s="2" t="str" cm="1">
        <f t="array" ref="F39">IFERROR(_xlfn.XLOOKUP(A39,Sheet2!$A$2:$A$1453,Sheet2!$F$2:$F$1453),_xlfn.XLOOKUP(A39,TEXT(Sheet2!$A$2:$A$1453,"0"),Sheet2!$F$2:$F$1453,""))</f>
        <v>26-7-2026</v>
      </c>
      <c r="G39" s="2" t="str" cm="1">
        <f t="array" ref="G39">IFERROR(_xlfn.XLOOKUP(A39,Sheet2!$A$2:$A$1453,Sheet2!$G$2:$G$1453),_xlfn.XLOOKUP(A39,TEXT(Sheet2!$A$2:$A$1453,"0"),Sheet2!$G$2:$G$1453,""))</f>
        <v>6-8-2026</v>
      </c>
    </row>
    <row r="40" spans="1:7" x14ac:dyDescent="0.2">
      <c r="A40" s="1">
        <v>20309011882</v>
      </c>
      <c r="B40" t="str" cm="1">
        <f t="array" ref="B40">IFERROR(_xlfn.XLOOKUP(A40,Sheet2!$A$2:$A$1453,Sheet2!$B$2:$B$1453),_xlfn.XLOOKUP(A40,TEXT(Sheet2!$A$2:$A$1453,"0"),Sheet2!$B$2:$B$1453,""))</f>
        <v>KERATIN MAINTENANCE SHAMPO 250 ML</v>
      </c>
      <c r="C40" s="2">
        <v>75</v>
      </c>
      <c r="D40" s="2" cm="1">
        <f t="array" ref="D40">_xlfn.LET(_xlpm.v,IFERROR(_xlfn.XLOOKUP(A40,Sheet2!$A$2:$A$1453,Sheet2!$D$2:$D$1453),_xlfn.XLOOKUP(A40,TEXT(Sheet2!$A$2:$A$1453,"0"),Sheet2!$D$2:$D$1453,"")),IF(_xlpm.v="","",IF(_xlpm.v&lt;1,_xlpm.v*100,_xlpm.v)))</f>
        <v>33</v>
      </c>
      <c r="E40" s="2">
        <f t="shared" si="0"/>
        <v>50.249999999999993</v>
      </c>
      <c r="F40" s="2" t="str" cm="1">
        <f t="array" ref="F40">IFERROR(_xlfn.XLOOKUP(A40,Sheet2!$A$2:$A$1453,Sheet2!$F$2:$F$1453),_xlfn.XLOOKUP(A40,TEXT(Sheet2!$A$2:$A$1453,"0"),Sheet2!$F$2:$F$1453,""))</f>
        <v>26-7-2026</v>
      </c>
      <c r="G40" s="2" t="str" cm="1">
        <f t="array" ref="G40">IFERROR(_xlfn.XLOOKUP(A40,Sheet2!$A$2:$A$1453,Sheet2!$G$2:$G$1453),_xlfn.XLOOKUP(A40,TEXT(Sheet2!$A$2:$A$1453,"0"),Sheet2!$G$2:$G$1453,""))</f>
        <v>6-8-2026</v>
      </c>
    </row>
    <row r="41" spans="1:7" x14ac:dyDescent="0.2">
      <c r="A41" s="1">
        <v>30415010034</v>
      </c>
      <c r="B41" t="str" cm="1">
        <f t="array" ref="B41">IFERROR(_xlfn.XLOOKUP(A41,Sheet2!$A$2:$A$1453,Sheet2!$B$2:$B$1453),_xlfn.XLOOKUP(A41,TEXT(Sheet2!$A$2:$A$1453,"0"),Sheet2!$B$2:$B$1453,""))</f>
        <v>MOVE ON SPRAY 200ML</v>
      </c>
      <c r="C41" s="2">
        <v>65</v>
      </c>
      <c r="D41" s="2" cm="1">
        <f t="array" ref="D41">_xlfn.LET(_xlpm.v,IFERROR(_xlfn.XLOOKUP(A41,Sheet2!$A$2:$A$1453,Sheet2!$D$2:$D$1453),_xlfn.XLOOKUP(A41,TEXT(Sheet2!$A$2:$A$1453,"0"),Sheet2!$D$2:$D$1453,"")),IF(_xlpm.v="","",IF(_xlpm.v&lt;1,_xlpm.v*100,_xlpm.v)))</f>
        <v>25</v>
      </c>
      <c r="E41" s="2">
        <f t="shared" si="0"/>
        <v>48.75</v>
      </c>
      <c r="F41" s="2" t="str" cm="1">
        <f t="array" ref="F41">IFERROR(_xlfn.XLOOKUP(A41,Sheet2!$A$2:$A$1453,Sheet2!$F$2:$F$1453),_xlfn.XLOOKUP(A41,TEXT(Sheet2!$A$2:$A$1453,"0"),Sheet2!$F$2:$F$1453,""))</f>
        <v>26-7-2026</v>
      </c>
      <c r="G41" s="2" t="str" cm="1">
        <f t="array" ref="G41">IFERROR(_xlfn.XLOOKUP(A41,Sheet2!$A$2:$A$1453,Sheet2!$G$2:$G$1453),_xlfn.XLOOKUP(A41,TEXT(Sheet2!$A$2:$A$1453,"0"),Sheet2!$G$2:$G$1453,""))</f>
        <v>6-8-2026</v>
      </c>
    </row>
    <row r="42" spans="1:7" x14ac:dyDescent="0.2">
      <c r="A42" s="1">
        <v>20309503932</v>
      </c>
      <c r="B42" t="str" cm="1">
        <f t="array" ref="B42">IFERROR(_xlfn.XLOOKUP(A42,Sheet2!$A$2:$A$1453,Sheet2!$B$2:$B$1453),_xlfn.XLOOKUP(A42,TEXT(Sheet2!$A$2:$A$1453,"0"),Sheet2!$B$2:$B$1453,""))</f>
        <v>FABLAB FOOT FUNGUS GEL 454 GM -164</v>
      </c>
      <c r="C42" s="2">
        <v>21.42</v>
      </c>
      <c r="D42" s="2" cm="1">
        <f t="array" ref="D42">_xlfn.LET(_xlpm.v,IFERROR(_xlfn.XLOOKUP(A42,Sheet2!$A$2:$A$1453,Sheet2!$D$2:$D$1453),_xlfn.XLOOKUP(A42,TEXT(Sheet2!$A$2:$A$1453,"0"),Sheet2!$D$2:$D$1453,"")),IF(_xlpm.v="","",IF(_xlpm.v&lt;1,_xlpm.v*100,_xlpm.v)))</f>
        <v>20</v>
      </c>
      <c r="E42" s="2">
        <f t="shared" si="0"/>
        <v>17.136000000000003</v>
      </c>
      <c r="F42" s="2" t="str" cm="1">
        <f t="array" ref="F42">IFERROR(_xlfn.XLOOKUP(A42,Sheet2!$A$2:$A$1453,Sheet2!$F$2:$F$1453),_xlfn.XLOOKUP(A42,TEXT(Sheet2!$A$2:$A$1453,"0"),Sheet2!$F$2:$F$1453,""))</f>
        <v>26-7-2026</v>
      </c>
      <c r="G42" s="2" t="str" cm="1">
        <f t="array" ref="G42">IFERROR(_xlfn.XLOOKUP(A42,Sheet2!$A$2:$A$1453,Sheet2!$G$2:$G$1453),_xlfn.XLOOKUP(A42,TEXT(Sheet2!$A$2:$A$1453,"0"),Sheet2!$G$2:$G$1453,""))</f>
        <v>6-8-2026</v>
      </c>
    </row>
    <row r="43" spans="1:7" x14ac:dyDescent="0.2">
      <c r="A43" s="1">
        <v>20309504156</v>
      </c>
      <c r="B43" t="str" cm="1">
        <f t="array" ref="B43">IFERROR(_xlfn.XLOOKUP(A43,Sheet2!$A$2:$A$1453,Sheet2!$B$2:$B$1453),_xlfn.XLOOKUP(A43,TEXT(Sheet2!$A$2:$A$1453,"0"),Sheet2!$B$2:$B$1453,""))</f>
        <v>FRESH TOUNG GEL STRAWBERRY FOR KIDS85 G 92785</v>
      </c>
      <c r="C43" s="2">
        <v>20.75</v>
      </c>
      <c r="D43" s="2" cm="1">
        <f t="array" ref="D43">_xlfn.LET(_xlpm.v,IFERROR(_xlfn.XLOOKUP(A43,Sheet2!$A$2:$A$1453,Sheet2!$D$2:$D$1453),_xlfn.XLOOKUP(A43,TEXT(Sheet2!$A$2:$A$1453,"0"),Sheet2!$D$2:$D$1453,"")),IF(_xlpm.v="","",IF(_xlpm.v&lt;1,_xlpm.v*100,_xlpm.v)))</f>
        <v>10</v>
      </c>
      <c r="E43" s="2">
        <f t="shared" si="0"/>
        <v>18.675000000000001</v>
      </c>
      <c r="F43" s="2" t="str" cm="1">
        <f t="array" ref="F43">IFERROR(_xlfn.XLOOKUP(A43,Sheet2!$A$2:$A$1453,Sheet2!$F$2:$F$1453),_xlfn.XLOOKUP(A43,TEXT(Sheet2!$A$2:$A$1453,"0"),Sheet2!$F$2:$F$1453,""))</f>
        <v>26-7-2026</v>
      </c>
      <c r="G43" s="2" t="str" cm="1">
        <f t="array" ref="G43">IFERROR(_xlfn.XLOOKUP(A43,Sheet2!$A$2:$A$1453,Sheet2!$G$2:$G$1453),_xlfn.XLOOKUP(A43,TEXT(Sheet2!$A$2:$A$1453,"0"),Sheet2!$G$2:$G$1453,""))</f>
        <v>6-8-2026</v>
      </c>
    </row>
    <row r="44" spans="1:7" x14ac:dyDescent="0.2">
      <c r="A44" s="1">
        <v>20309504155</v>
      </c>
      <c r="B44" t="str" cm="1">
        <f t="array" ref="B44">IFERROR(_xlfn.XLOOKUP(A44,Sheet2!$A$2:$A$1453,Sheet2!$B$2:$B$1453),_xlfn.XLOOKUP(A44,TEXT(Sheet2!$A$2:$A$1453,"0"),Sheet2!$B$2:$B$1453,""))</f>
        <v>FRESH TOUNG GEL STRAWBERRY 85 G 92778</v>
      </c>
      <c r="C44" s="2">
        <v>24.59</v>
      </c>
      <c r="D44" s="2" cm="1">
        <f t="array" ref="D44">_xlfn.LET(_xlpm.v,IFERROR(_xlfn.XLOOKUP(A44,Sheet2!$A$2:$A$1453,Sheet2!$D$2:$D$1453),_xlfn.XLOOKUP(A44,TEXT(Sheet2!$A$2:$A$1453,"0"),Sheet2!$D$2:$D$1453,"")),IF(_xlpm.v="","",IF(_xlpm.v&lt;1,_xlpm.v*100,_xlpm.v)))</f>
        <v>10</v>
      </c>
      <c r="E44" s="2">
        <f t="shared" si="0"/>
        <v>22.131</v>
      </c>
      <c r="F44" s="2" t="str" cm="1">
        <f t="array" ref="F44">IFERROR(_xlfn.XLOOKUP(A44,Sheet2!$A$2:$A$1453,Sheet2!$F$2:$F$1453),_xlfn.XLOOKUP(A44,TEXT(Sheet2!$A$2:$A$1453,"0"),Sheet2!$F$2:$F$1453,""))</f>
        <v>26-7-2026</v>
      </c>
      <c r="G44" s="2" t="str" cm="1">
        <f t="array" ref="G44">IFERROR(_xlfn.XLOOKUP(A44,Sheet2!$A$2:$A$1453,Sheet2!$G$2:$G$1453),_xlfn.XLOOKUP(A44,TEXT(Sheet2!$A$2:$A$1453,"0"),Sheet2!$G$2:$G$1453,""))</f>
        <v>6-8-2026</v>
      </c>
    </row>
    <row r="45" spans="1:7" x14ac:dyDescent="0.2">
      <c r="A45" s="1">
        <v>20309504154</v>
      </c>
      <c r="B45" t="str" cm="1">
        <f t="array" ref="B45">IFERROR(_xlfn.XLOOKUP(A45,Sheet2!$A$2:$A$1453,Sheet2!$B$2:$B$1453),_xlfn.XLOOKUP(A45,TEXT(Sheet2!$A$2:$A$1453,"0"),Sheet2!$B$2:$B$1453,""))</f>
        <v>FRESH TOUNG GEL EXTRA MINT 85 G 92761</v>
      </c>
      <c r="C45" s="2">
        <v>24.59</v>
      </c>
      <c r="D45" s="2" cm="1">
        <f t="array" ref="D45">_xlfn.LET(_xlpm.v,IFERROR(_xlfn.XLOOKUP(A45,Sheet2!$A$2:$A$1453,Sheet2!$D$2:$D$1453),_xlfn.XLOOKUP(A45,TEXT(Sheet2!$A$2:$A$1453,"0"),Sheet2!$D$2:$D$1453,"")),IF(_xlpm.v="","",IF(_xlpm.v&lt;1,_xlpm.v*100,_xlpm.v)))</f>
        <v>10</v>
      </c>
      <c r="E45" s="2">
        <f t="shared" si="0"/>
        <v>22.131</v>
      </c>
      <c r="F45" s="2" t="str" cm="1">
        <f t="array" ref="F45">IFERROR(_xlfn.XLOOKUP(A45,Sheet2!$A$2:$A$1453,Sheet2!$F$2:$F$1453),_xlfn.XLOOKUP(A45,TEXT(Sheet2!$A$2:$A$1453,"0"),Sheet2!$F$2:$F$1453,""))</f>
        <v>26-7-2026</v>
      </c>
      <c r="G45" s="2" t="str" cm="1">
        <f t="array" ref="G45">IFERROR(_xlfn.XLOOKUP(A45,Sheet2!$A$2:$A$1453,Sheet2!$G$2:$G$1453),_xlfn.XLOOKUP(A45,TEXT(Sheet2!$A$2:$A$1453,"0"),Sheet2!$G$2:$G$1453,""))</f>
        <v>6-8-2026</v>
      </c>
    </row>
    <row r="46" spans="1:7" x14ac:dyDescent="0.2">
      <c r="A46" s="1">
        <v>20309504153</v>
      </c>
      <c r="B46" t="str" cm="1">
        <f t="array" ref="B46">IFERROR(_xlfn.XLOOKUP(A46,Sheet2!$A$2:$A$1453,Sheet2!$B$2:$B$1453),_xlfn.XLOOKUP(A46,TEXT(Sheet2!$A$2:$A$1453,"0"),Sheet2!$B$2:$B$1453,""))</f>
        <v>FRESH TOUNG GEL MINT 85 G 92303</v>
      </c>
      <c r="C46" s="2">
        <v>24.59</v>
      </c>
      <c r="D46" s="2" cm="1">
        <f t="array" ref="D46">_xlfn.LET(_xlpm.v,IFERROR(_xlfn.XLOOKUP(A46,Sheet2!$A$2:$A$1453,Sheet2!$D$2:$D$1453),_xlfn.XLOOKUP(A46,TEXT(Sheet2!$A$2:$A$1453,"0"),Sheet2!$D$2:$D$1453,"")),IF(_xlpm.v="","",IF(_xlpm.v&lt;1,_xlpm.v*100,_xlpm.v)))</f>
        <v>10</v>
      </c>
      <c r="E46" s="2">
        <f t="shared" si="0"/>
        <v>22.131</v>
      </c>
      <c r="F46" s="2" t="str" cm="1">
        <f t="array" ref="F46">IFERROR(_xlfn.XLOOKUP(A46,Sheet2!$A$2:$A$1453,Sheet2!$F$2:$F$1453),_xlfn.XLOOKUP(A46,TEXT(Sheet2!$A$2:$A$1453,"0"),Sheet2!$F$2:$F$1453,""))</f>
        <v>26-7-2026</v>
      </c>
      <c r="G46" s="2" t="str" cm="1">
        <f t="array" ref="G46">IFERROR(_xlfn.XLOOKUP(A46,Sheet2!$A$2:$A$1453,Sheet2!$G$2:$G$1453),_xlfn.XLOOKUP(A46,TEXT(Sheet2!$A$2:$A$1453,"0"),Sheet2!$G$2:$G$1453,""))</f>
        <v>6-8-2026</v>
      </c>
    </row>
    <row r="47" spans="1:7" x14ac:dyDescent="0.2">
      <c r="A47" s="1">
        <v>20309504152</v>
      </c>
      <c r="B47" t="str" cm="1">
        <f t="array" ref="B47">IFERROR(_xlfn.XLOOKUP(A47,Sheet2!$A$2:$A$1453,Sheet2!$B$2:$B$1453),_xlfn.XLOOKUP(A47,TEXT(Sheet2!$A$2:$A$1453,"0"),Sheet2!$B$2:$B$1453,""))</f>
        <v>FRESH TOUNG BRUSH SMALL FOR KIDS 92808</v>
      </c>
      <c r="C47" s="2">
        <v>16.7</v>
      </c>
      <c r="D47" s="2" cm="1">
        <f t="array" ref="D47">_xlfn.LET(_xlpm.v,IFERROR(_xlfn.XLOOKUP(A47,Sheet2!$A$2:$A$1453,Sheet2!$D$2:$D$1453),_xlfn.XLOOKUP(A47,TEXT(Sheet2!$A$2:$A$1453,"0"),Sheet2!$D$2:$D$1453,"")),IF(_xlpm.v="","",IF(_xlpm.v&lt;1,_xlpm.v*100,_xlpm.v)))</f>
        <v>10</v>
      </c>
      <c r="E47" s="2">
        <f t="shared" si="0"/>
        <v>15.03</v>
      </c>
      <c r="F47" s="2" t="str" cm="1">
        <f t="array" ref="F47">IFERROR(_xlfn.XLOOKUP(A47,Sheet2!$A$2:$A$1453,Sheet2!$F$2:$F$1453),_xlfn.XLOOKUP(A47,TEXT(Sheet2!$A$2:$A$1453,"0"),Sheet2!$F$2:$F$1453,""))</f>
        <v>26-7-2026</v>
      </c>
      <c r="G47" s="2" t="str" cm="1">
        <f t="array" ref="G47">IFERROR(_xlfn.XLOOKUP(A47,Sheet2!$A$2:$A$1453,Sheet2!$G$2:$G$1453),_xlfn.XLOOKUP(A47,TEXT(Sheet2!$A$2:$A$1453,"0"),Sheet2!$G$2:$G$1453,""))</f>
        <v>6-8-2026</v>
      </c>
    </row>
    <row r="48" spans="1:7" x14ac:dyDescent="0.2">
      <c r="A48" s="1">
        <v>20309504151</v>
      </c>
      <c r="B48" t="str" cm="1">
        <f t="array" ref="B48">IFERROR(_xlfn.XLOOKUP(A48,Sheet2!$A$2:$A$1453,Sheet2!$B$2:$B$1453),_xlfn.XLOOKUP(A48,TEXT(Sheet2!$A$2:$A$1453,"0"),Sheet2!$B$2:$B$1453,""))</f>
        <v>FRESH TOUNG BRUSH ADULT 92792</v>
      </c>
      <c r="C48" s="2">
        <v>18.7</v>
      </c>
      <c r="D48" s="2" cm="1">
        <f t="array" ref="D48">_xlfn.LET(_xlpm.v,IFERROR(_xlfn.XLOOKUP(A48,Sheet2!$A$2:$A$1453,Sheet2!$D$2:$D$1453),_xlfn.XLOOKUP(A48,TEXT(Sheet2!$A$2:$A$1453,"0"),Sheet2!$D$2:$D$1453,"")),IF(_xlpm.v="","",IF(_xlpm.v&lt;1,_xlpm.v*100,_xlpm.v)))</f>
        <v>10</v>
      </c>
      <c r="E48" s="2">
        <f t="shared" si="0"/>
        <v>16.829999999999998</v>
      </c>
      <c r="F48" s="2" t="str" cm="1">
        <f t="array" ref="F48">IFERROR(_xlfn.XLOOKUP(A48,Sheet2!$A$2:$A$1453,Sheet2!$F$2:$F$1453),_xlfn.XLOOKUP(A48,TEXT(Sheet2!$A$2:$A$1453,"0"),Sheet2!$F$2:$F$1453,""))</f>
        <v>26-7-2026</v>
      </c>
      <c r="G48" s="2" t="str" cm="1">
        <f t="array" ref="G48">IFERROR(_xlfn.XLOOKUP(A48,Sheet2!$A$2:$A$1453,Sheet2!$G$2:$G$1453),_xlfn.XLOOKUP(A48,TEXT(Sheet2!$A$2:$A$1453,"0"),Sheet2!$G$2:$G$1453,""))</f>
        <v>6-8-2026</v>
      </c>
    </row>
    <row r="49" spans="1:7" x14ac:dyDescent="0.2">
      <c r="A49" s="1" t="s">
        <v>10</v>
      </c>
      <c r="B49" t="str" cm="1">
        <f t="array" ref="B49">IFERROR(_xlfn.XLOOKUP(A49,Sheet2!$A$2:$A$1453,Sheet2!$B$2:$B$1453),_xlfn.XLOOKUP(A49,TEXT(Sheet2!$A$2:$A$1453,"0"),Sheet2!$B$2:$B$1453,""))</f>
        <v>NQ ARGITONE ml Syrup, 100 ML/BOTTLE</v>
      </c>
      <c r="C49" s="2">
        <v>150</v>
      </c>
      <c r="D49" s="2" cm="1">
        <f t="array" ref="D49">_xlfn.LET(_xlpm.v,IFERROR(_xlfn.XLOOKUP(A49,Sheet2!$A$2:$A$1453,Sheet2!$D$2:$D$1453),_xlfn.XLOOKUP(A49,TEXT(Sheet2!$A$2:$A$1453,"0"),Sheet2!$D$2:$D$1453,"")),IF(_xlpm.v="","",IF(_xlpm.v&lt;1,_xlpm.v*100,_xlpm.v)))</f>
        <v>33</v>
      </c>
      <c r="E49" s="2">
        <f t="shared" si="0"/>
        <v>100.49999999999999</v>
      </c>
      <c r="F49" s="2" t="str" cm="1">
        <f t="array" ref="F49">IFERROR(_xlfn.XLOOKUP(A49,Sheet2!$A$2:$A$1453,Sheet2!$F$2:$F$1453),_xlfn.XLOOKUP(A49,TEXT(Sheet2!$A$2:$A$1453,"0"),Sheet2!$F$2:$F$1453,""))</f>
        <v>26-7-2026</v>
      </c>
      <c r="G49" s="2" t="str" cm="1">
        <f t="array" ref="G49">IFERROR(_xlfn.XLOOKUP(A49,Sheet2!$A$2:$A$1453,Sheet2!$G$2:$G$1453),_xlfn.XLOOKUP(A49,TEXT(Sheet2!$A$2:$A$1453,"0"),Sheet2!$G$2:$G$1453,""))</f>
        <v>6-8-2026</v>
      </c>
    </row>
    <row r="50" spans="1:7" x14ac:dyDescent="0.2">
      <c r="A50" s="1">
        <v>30420010756</v>
      </c>
      <c r="B50" t="str" cm="1">
        <f t="array" ref="B50">IFERROR(_xlfn.XLOOKUP(A50,Sheet2!$A$2:$A$1453,Sheet2!$B$2:$B$1453),_xlfn.XLOOKUP(A50,TEXT(Sheet2!$A$2:$A$1453,"0"),Sheet2!$B$2:$B$1453,""))</f>
        <v>SOFFISOF ADULT DIAPER XXL 111318</v>
      </c>
      <c r="C50" s="2">
        <v>75</v>
      </c>
      <c r="D50" s="2" cm="1">
        <f t="array" ref="D50">_xlfn.LET(_xlpm.v,IFERROR(_xlfn.XLOOKUP(A50,Sheet2!$A$2:$A$1453,Sheet2!$D$2:$D$1453),_xlfn.XLOOKUP(A50,TEXT(Sheet2!$A$2:$A$1453,"0"),Sheet2!$D$2:$D$1453,"")),IF(_xlpm.v="","",IF(_xlpm.v&lt;1,_xlpm.v*100,_xlpm.v)))</f>
        <v>10</v>
      </c>
      <c r="E50" s="2">
        <f t="shared" si="0"/>
        <v>67.5</v>
      </c>
      <c r="F50" s="2" t="str" cm="1">
        <f t="array" ref="F50">IFERROR(_xlfn.XLOOKUP(A50,Sheet2!$A$2:$A$1453,Sheet2!$F$2:$F$1453),_xlfn.XLOOKUP(A50,TEXT(Sheet2!$A$2:$A$1453,"0"),Sheet2!$F$2:$F$1453,""))</f>
        <v>26-7-2026</v>
      </c>
      <c r="G50" s="2" t="str" cm="1">
        <f t="array" ref="G50">IFERROR(_xlfn.XLOOKUP(A50,Sheet2!$A$2:$A$1453,Sheet2!$G$2:$G$1453),_xlfn.XLOOKUP(A50,TEXT(Sheet2!$A$2:$A$1453,"0"),Sheet2!$G$2:$G$1453,""))</f>
        <v>6-8-2026</v>
      </c>
    </row>
    <row r="51" spans="1:7" x14ac:dyDescent="0.2">
      <c r="A51" s="1" t="s">
        <v>11</v>
      </c>
      <c r="B51" t="str" cm="1">
        <f t="array" ref="B51">IFERROR(_xlfn.XLOOKUP(A51,Sheet2!$A$2:$A$1453,Sheet2!$B$2:$B$1453),_xlfn.XLOOKUP(A51,TEXT(Sheet2!$A$2:$A$1453,"0"),Sheet2!$B$2:$B$1453,""))</f>
        <v>BIOFAR PHYTO DIGESTION Effervescent Tablet, 6 TABLET/CONTAINER</v>
      </c>
      <c r="C51" s="2">
        <v>40.25</v>
      </c>
      <c r="D51" s="2" cm="1">
        <f t="array" ref="D51">_xlfn.LET(_xlpm.v,IFERROR(_xlfn.XLOOKUP(A51,Sheet2!$A$2:$A$1453,Sheet2!$D$2:$D$1453),_xlfn.XLOOKUP(A51,TEXT(Sheet2!$A$2:$A$1453,"0"),Sheet2!$D$2:$D$1453,"")),IF(_xlpm.v="","",IF(_xlpm.v&lt;1,_xlpm.v*100,_xlpm.v)))</f>
        <v>40</v>
      </c>
      <c r="E51" s="2">
        <f t="shared" si="0"/>
        <v>24.15</v>
      </c>
      <c r="F51" s="2" t="str" cm="1">
        <f t="array" ref="F51">IFERROR(_xlfn.XLOOKUP(A51,Sheet2!$A$2:$A$1453,Sheet2!$F$2:$F$1453),_xlfn.XLOOKUP(A51,TEXT(Sheet2!$A$2:$A$1453,"0"),Sheet2!$F$2:$F$1453,""))</f>
        <v>26-7-2026</v>
      </c>
      <c r="G51" s="2" t="str" cm="1">
        <f t="array" ref="G51">IFERROR(_xlfn.XLOOKUP(A51,Sheet2!$A$2:$A$1453,Sheet2!$G$2:$G$1453),_xlfn.XLOOKUP(A51,TEXT(Sheet2!$A$2:$A$1453,"0"),Sheet2!$G$2:$G$1453,""))</f>
        <v>6-8-2026</v>
      </c>
    </row>
    <row r="52" spans="1:7" x14ac:dyDescent="0.2">
      <c r="A52" s="1" t="s">
        <v>12</v>
      </c>
      <c r="B52" t="str" cm="1">
        <f t="array" ref="B52">IFERROR(_xlfn.XLOOKUP(A52,Sheet2!$A$2:$A$1453,Sheet2!$B$2:$B$1453),_xlfn.XLOOKUP(A52,TEXT(Sheet2!$A$2:$A$1453,"0"),Sheet2!$B$2:$B$1453,""))</f>
        <v>BIOFAR VITAMIN B complex Effervescent Tablet, 20 TABLET/CONTAINER</v>
      </c>
      <c r="C52" s="2">
        <v>35.65</v>
      </c>
      <c r="D52" s="2" cm="1">
        <f t="array" ref="D52">_xlfn.LET(_xlpm.v,IFERROR(_xlfn.XLOOKUP(A52,Sheet2!$A$2:$A$1453,Sheet2!$D$2:$D$1453),_xlfn.XLOOKUP(A52,TEXT(Sheet2!$A$2:$A$1453,"0"),Sheet2!$D$2:$D$1453,"")),IF(_xlpm.v="","",IF(_xlpm.v&lt;1,_xlpm.v*100,_xlpm.v)))</f>
        <v>40</v>
      </c>
      <c r="E52" s="2">
        <f t="shared" si="0"/>
        <v>21.389999999999997</v>
      </c>
      <c r="F52" s="2" t="str" cm="1">
        <f t="array" ref="F52">IFERROR(_xlfn.XLOOKUP(A52,Sheet2!$A$2:$A$1453,Sheet2!$F$2:$F$1453),_xlfn.XLOOKUP(A52,TEXT(Sheet2!$A$2:$A$1453,"0"),Sheet2!$F$2:$F$1453,""))</f>
        <v>26-7-2026</v>
      </c>
      <c r="G52" s="2" t="str" cm="1">
        <f t="array" ref="G52">IFERROR(_xlfn.XLOOKUP(A52,Sheet2!$A$2:$A$1453,Sheet2!$G$2:$G$1453),_xlfn.XLOOKUP(A52,TEXT(Sheet2!$A$2:$A$1453,"0"),Sheet2!$G$2:$G$1453,""))</f>
        <v>6-8-2026</v>
      </c>
    </row>
    <row r="53" spans="1:7" x14ac:dyDescent="0.2">
      <c r="A53" s="1" t="s">
        <v>13</v>
      </c>
      <c r="B53" t="str" cm="1">
        <f t="array" ref="B53">IFERROR(_xlfn.XLOOKUP(A53,Sheet2!$A$2:$A$1453,Sheet2!$B$2:$B$1453),_xlfn.XLOOKUP(A53,TEXT(Sheet2!$A$2:$A$1453,"0"),Sheet2!$B$2:$B$1453,""))</f>
        <v>BIOFAR KIDS MULTIVITAMIN Effervescent Tablet, 20 TABLET/CONTAINER</v>
      </c>
      <c r="C53" s="2">
        <v>40.25</v>
      </c>
      <c r="D53" s="2" cm="1">
        <f t="array" ref="D53">_xlfn.LET(_xlpm.v,IFERROR(_xlfn.XLOOKUP(A53,Sheet2!$A$2:$A$1453,Sheet2!$D$2:$D$1453),_xlfn.XLOOKUP(A53,TEXT(Sheet2!$A$2:$A$1453,"0"),Sheet2!$D$2:$D$1453,"")),IF(_xlpm.v="","",IF(_xlpm.v&lt;1,_xlpm.v*100,_xlpm.v)))</f>
        <v>40</v>
      </c>
      <c r="E53" s="2">
        <f t="shared" si="0"/>
        <v>24.15</v>
      </c>
      <c r="F53" s="2" t="str" cm="1">
        <f t="array" ref="F53">IFERROR(_xlfn.XLOOKUP(A53,Sheet2!$A$2:$A$1453,Sheet2!$F$2:$F$1453),_xlfn.XLOOKUP(A53,TEXT(Sheet2!$A$2:$A$1453,"0"),Sheet2!$F$2:$F$1453,""))</f>
        <v>26-7-2026</v>
      </c>
      <c r="G53" s="2" t="str" cm="1">
        <f t="array" ref="G53">IFERROR(_xlfn.XLOOKUP(A53,Sheet2!$A$2:$A$1453,Sheet2!$G$2:$G$1453),_xlfn.XLOOKUP(A53,TEXT(Sheet2!$A$2:$A$1453,"0"),Sheet2!$G$2:$G$1453,""))</f>
        <v>6-8-2026</v>
      </c>
    </row>
    <row r="54" spans="1:7" x14ac:dyDescent="0.2">
      <c r="A54" s="1" t="s">
        <v>14</v>
      </c>
      <c r="B54" t="str" cm="1">
        <f t="array" ref="B54">IFERROR(_xlfn.XLOOKUP(A54,Sheet2!$A$2:$A$1453,Sheet2!$B$2:$B$1453),_xlfn.XLOOKUP(A54,TEXT(Sheet2!$A$2:$A$1453,"0"),Sheet2!$B$2:$B$1453,""))</f>
        <v>BIOFAR IRON FOLIC ACID Effervescent Tablet, 20 TABLET/CONTAINER</v>
      </c>
      <c r="C54" s="2">
        <v>40.25</v>
      </c>
      <c r="D54" s="2" cm="1">
        <f t="array" ref="D54">_xlfn.LET(_xlpm.v,IFERROR(_xlfn.XLOOKUP(A54,Sheet2!$A$2:$A$1453,Sheet2!$D$2:$D$1453),_xlfn.XLOOKUP(A54,TEXT(Sheet2!$A$2:$A$1453,"0"),Sheet2!$D$2:$D$1453,"")),IF(_xlpm.v="","",IF(_xlpm.v&lt;1,_xlpm.v*100,_xlpm.v)))</f>
        <v>40</v>
      </c>
      <c r="E54" s="2">
        <f t="shared" si="0"/>
        <v>24.15</v>
      </c>
      <c r="F54" s="2" t="str" cm="1">
        <f t="array" ref="F54">IFERROR(_xlfn.XLOOKUP(A54,Sheet2!$A$2:$A$1453,Sheet2!$F$2:$F$1453),_xlfn.XLOOKUP(A54,TEXT(Sheet2!$A$2:$A$1453,"0"),Sheet2!$F$2:$F$1453,""))</f>
        <v>26-7-2026</v>
      </c>
      <c r="G54" s="2" t="str" cm="1">
        <f t="array" ref="G54">IFERROR(_xlfn.XLOOKUP(A54,Sheet2!$A$2:$A$1453,Sheet2!$G$2:$G$1453),_xlfn.XLOOKUP(A54,TEXT(Sheet2!$A$2:$A$1453,"0"),Sheet2!$G$2:$G$1453,""))</f>
        <v>6-8-2026</v>
      </c>
    </row>
    <row r="55" spans="1:7" x14ac:dyDescent="0.2">
      <c r="A55" s="1">
        <v>20309012316</v>
      </c>
      <c r="B55" t="str" cm="1">
        <f t="array" ref="B55">IFERROR(_xlfn.XLOOKUP(A55,Sheet2!$A$2:$A$1453,Sheet2!$B$2:$B$1453),_xlfn.XLOOKUP(A55,TEXT(Sheet2!$A$2:$A$1453,"0"),Sheet2!$B$2:$B$1453,""))</f>
        <v>PANTENE SHAMPO DAILY CARE 2X1 375</v>
      </c>
      <c r="C55" s="2">
        <v>14.84</v>
      </c>
      <c r="D55" s="2" cm="1">
        <f t="array" ref="D55">_xlfn.LET(_xlpm.v,IFERROR(_xlfn.XLOOKUP(A55,Sheet2!$A$2:$A$1453,Sheet2!$D$2:$D$1453),_xlfn.XLOOKUP(A55,TEXT(Sheet2!$A$2:$A$1453,"0"),Sheet2!$D$2:$D$1453,"")),IF(_xlpm.v="","",IF(_xlpm.v&lt;1,_xlpm.v*100,_xlpm.v)))</f>
        <v>15</v>
      </c>
      <c r="E55" s="2">
        <f t="shared" si="0"/>
        <v>12.613999999999999</v>
      </c>
      <c r="F55" s="2" t="str" cm="1">
        <f t="array" ref="F55">IFERROR(_xlfn.XLOOKUP(A55,Sheet2!$A$2:$A$1453,Sheet2!$F$2:$F$1453),_xlfn.XLOOKUP(A55,TEXT(Sheet2!$A$2:$A$1453,"0"),Sheet2!$F$2:$F$1453,""))</f>
        <v>26-7-2026</v>
      </c>
      <c r="G55" s="2" t="str" cm="1">
        <f t="array" ref="G55">IFERROR(_xlfn.XLOOKUP(A55,Sheet2!$A$2:$A$1453,Sheet2!$G$2:$G$1453),_xlfn.XLOOKUP(A55,TEXT(Sheet2!$A$2:$A$1453,"0"),Sheet2!$G$2:$G$1453,""))</f>
        <v>6-8-2026</v>
      </c>
    </row>
    <row r="56" spans="1:7" x14ac:dyDescent="0.2">
      <c r="A56" s="1">
        <v>20309012315</v>
      </c>
      <c r="B56" t="str" cm="1">
        <f t="array" ref="B56">IFERROR(_xlfn.XLOOKUP(A56,Sheet2!$A$2:$A$1453,Sheet2!$B$2:$B$1453),_xlfn.XLOOKUP(A56,TEXT(Sheet2!$A$2:$A$1453,"0"),Sheet2!$B$2:$B$1453,""))</f>
        <v>PANTENE SHAMPOO MOISTARE RENEW</v>
      </c>
      <c r="C56" s="2">
        <v>14.84</v>
      </c>
      <c r="D56" s="2" cm="1">
        <f t="array" ref="D56">_xlfn.LET(_xlpm.v,IFERROR(_xlfn.XLOOKUP(A56,Sheet2!$A$2:$A$1453,Sheet2!$D$2:$D$1453),_xlfn.XLOOKUP(A56,TEXT(Sheet2!$A$2:$A$1453,"0"),Sheet2!$D$2:$D$1453,"")),IF(_xlpm.v="","",IF(_xlpm.v&lt;1,_xlpm.v*100,_xlpm.v)))</f>
        <v>15</v>
      </c>
      <c r="E56" s="2">
        <f t="shared" si="0"/>
        <v>12.613999999999999</v>
      </c>
      <c r="F56" s="2" t="str" cm="1">
        <f t="array" ref="F56">IFERROR(_xlfn.XLOOKUP(A56,Sheet2!$A$2:$A$1453,Sheet2!$F$2:$F$1453),_xlfn.XLOOKUP(A56,TEXT(Sheet2!$A$2:$A$1453,"0"),Sheet2!$F$2:$F$1453,""))</f>
        <v>26-7-2026</v>
      </c>
      <c r="G56" s="2" t="str" cm="1">
        <f t="array" ref="G56">IFERROR(_xlfn.XLOOKUP(A56,Sheet2!$A$2:$A$1453,Sheet2!$G$2:$G$1453),_xlfn.XLOOKUP(A56,TEXT(Sheet2!$A$2:$A$1453,"0"),Sheet2!$G$2:$G$1453,""))</f>
        <v>6-8-2026</v>
      </c>
    </row>
    <row r="57" spans="1:7" x14ac:dyDescent="0.2">
      <c r="A57" s="1">
        <v>20309012314</v>
      </c>
      <c r="B57" t="str" cm="1">
        <f t="array" ref="B57">IFERROR(_xlfn.XLOOKUP(A57,Sheet2!$A$2:$A$1453,Sheet2!$B$2:$B$1453),_xlfn.XLOOKUP(A57,TEXT(Sheet2!$A$2:$A$1453,"0"),Sheet2!$B$2:$B$1453,""))</f>
        <v>PANTENE SHAMPOO SHEER VALUME 37</v>
      </c>
      <c r="C57" s="2">
        <v>14.84</v>
      </c>
      <c r="D57" s="2" cm="1">
        <f t="array" ref="D57">_xlfn.LET(_xlpm.v,IFERROR(_xlfn.XLOOKUP(A57,Sheet2!$A$2:$A$1453,Sheet2!$D$2:$D$1453),_xlfn.XLOOKUP(A57,TEXT(Sheet2!$A$2:$A$1453,"0"),Sheet2!$D$2:$D$1453,"")),IF(_xlpm.v="","",IF(_xlpm.v&lt;1,_xlpm.v*100,_xlpm.v)))</f>
        <v>15</v>
      </c>
      <c r="E57" s="2">
        <f t="shared" si="0"/>
        <v>12.613999999999999</v>
      </c>
      <c r="F57" s="2" t="str" cm="1">
        <f t="array" ref="F57">IFERROR(_xlfn.XLOOKUP(A57,Sheet2!$A$2:$A$1453,Sheet2!$F$2:$F$1453),_xlfn.XLOOKUP(A57,TEXT(Sheet2!$A$2:$A$1453,"0"),Sheet2!$F$2:$F$1453,""))</f>
        <v>26-7-2026</v>
      </c>
      <c r="G57" s="2" t="str" cm="1">
        <f t="array" ref="G57">IFERROR(_xlfn.XLOOKUP(A57,Sheet2!$A$2:$A$1453,Sheet2!$G$2:$G$1453),_xlfn.XLOOKUP(A57,TEXT(Sheet2!$A$2:$A$1453,"0"),Sheet2!$G$2:$G$1453,""))</f>
        <v>6-8-2026</v>
      </c>
    </row>
    <row r="58" spans="1:7" x14ac:dyDescent="0.2">
      <c r="A58" s="1">
        <v>20309012313</v>
      </c>
      <c r="B58" t="str" cm="1">
        <f t="array" ref="B58">IFERROR(_xlfn.XLOOKUP(A58,Sheet2!$A$2:$A$1453,Sheet2!$B$2:$B$1453),_xlfn.XLOOKUP(A58,TEXT(Sheet2!$A$2:$A$1453,"0"),Sheet2!$B$2:$B$1453,""))</f>
        <v>PANTENE SHAMPOO MILKY DAMAGE R</v>
      </c>
      <c r="C58" s="2">
        <v>14.84</v>
      </c>
      <c r="D58" s="2" cm="1">
        <f t="array" ref="D58">_xlfn.LET(_xlpm.v,IFERROR(_xlfn.XLOOKUP(A58,Sheet2!$A$2:$A$1453,Sheet2!$D$2:$D$1453),_xlfn.XLOOKUP(A58,TEXT(Sheet2!$A$2:$A$1453,"0"),Sheet2!$D$2:$D$1453,"")),IF(_xlpm.v="","",IF(_xlpm.v&lt;1,_xlpm.v*100,_xlpm.v)))</f>
        <v>15</v>
      </c>
      <c r="E58" s="2">
        <f t="shared" si="0"/>
        <v>12.613999999999999</v>
      </c>
      <c r="F58" s="2" t="str" cm="1">
        <f t="array" ref="F58">IFERROR(_xlfn.XLOOKUP(A58,Sheet2!$A$2:$A$1453,Sheet2!$F$2:$F$1453),_xlfn.XLOOKUP(A58,TEXT(Sheet2!$A$2:$A$1453,"0"),Sheet2!$F$2:$F$1453,""))</f>
        <v>26-7-2026</v>
      </c>
      <c r="G58" s="2" t="str" cm="1">
        <f t="array" ref="G58">IFERROR(_xlfn.XLOOKUP(A58,Sheet2!$A$2:$A$1453,Sheet2!$G$2:$G$1453),_xlfn.XLOOKUP(A58,TEXT(Sheet2!$A$2:$A$1453,"0"),Sheet2!$G$2:$G$1453,""))</f>
        <v>6-8-2026</v>
      </c>
    </row>
    <row r="59" spans="1:7" x14ac:dyDescent="0.2">
      <c r="A59" s="1">
        <v>20309012312</v>
      </c>
      <c r="B59" t="str" cm="1">
        <f t="array" ref="B59">IFERROR(_xlfn.XLOOKUP(A59,Sheet2!$A$2:$A$1453,Sheet2!$B$2:$B$1453),_xlfn.XLOOKUP(A59,TEXT(Sheet2!$A$2:$A$1453,"0"),Sheet2!$B$2:$B$1453,""))</f>
        <v>PANTENE SHAMPOO ANTI DANDRUFF </v>
      </c>
      <c r="C59" s="2">
        <v>14.84</v>
      </c>
      <c r="D59" s="2" cm="1">
        <f t="array" ref="D59">_xlfn.LET(_xlpm.v,IFERROR(_xlfn.XLOOKUP(A59,Sheet2!$A$2:$A$1453,Sheet2!$D$2:$D$1453),_xlfn.XLOOKUP(A59,TEXT(Sheet2!$A$2:$A$1453,"0"),Sheet2!$D$2:$D$1453,"")),IF(_xlpm.v="","",IF(_xlpm.v&lt;1,_xlpm.v*100,_xlpm.v)))</f>
        <v>15</v>
      </c>
      <c r="E59" s="2">
        <f t="shared" si="0"/>
        <v>12.613999999999999</v>
      </c>
      <c r="F59" s="2" t="str" cm="1">
        <f t="array" ref="F59">IFERROR(_xlfn.XLOOKUP(A59,Sheet2!$A$2:$A$1453,Sheet2!$F$2:$F$1453),_xlfn.XLOOKUP(A59,TEXT(Sheet2!$A$2:$A$1453,"0"),Sheet2!$F$2:$F$1453,""))</f>
        <v>26-7-2026</v>
      </c>
      <c r="G59" s="2" t="str" cm="1">
        <f t="array" ref="G59">IFERROR(_xlfn.XLOOKUP(A59,Sheet2!$A$2:$A$1453,Sheet2!$G$2:$G$1453),_xlfn.XLOOKUP(A59,TEXT(Sheet2!$A$2:$A$1453,"0"),Sheet2!$G$2:$G$1453,""))</f>
        <v>6-8-2026</v>
      </c>
    </row>
    <row r="60" spans="1:7" x14ac:dyDescent="0.2">
      <c r="A60" s="1">
        <v>20309012311</v>
      </c>
      <c r="B60" t="str" cm="1">
        <f t="array" ref="B60">IFERROR(_xlfn.XLOOKUP(A60,Sheet2!$A$2:$A$1453,Sheet2!$B$2:$B$1453),_xlfn.XLOOKUP(A60,TEXT(Sheet2!$A$2:$A$1453,"0"),Sheet2!$B$2:$B$1453,""))</f>
        <v>PANTENE SHAMPOO ANTI HAIR FALL 3</v>
      </c>
      <c r="C60" s="2">
        <v>14.84</v>
      </c>
      <c r="D60" s="2" cm="1">
        <f t="array" ref="D60">_xlfn.LET(_xlpm.v,IFERROR(_xlfn.XLOOKUP(A60,Sheet2!$A$2:$A$1453,Sheet2!$D$2:$D$1453),_xlfn.XLOOKUP(A60,TEXT(Sheet2!$A$2:$A$1453,"0"),Sheet2!$D$2:$D$1453,"")),IF(_xlpm.v="","",IF(_xlpm.v&lt;1,_xlpm.v*100,_xlpm.v)))</f>
        <v>15</v>
      </c>
      <c r="E60" s="2">
        <f t="shared" si="0"/>
        <v>12.613999999999999</v>
      </c>
      <c r="F60" s="2" t="str" cm="1">
        <f t="array" ref="F60">IFERROR(_xlfn.XLOOKUP(A60,Sheet2!$A$2:$A$1453,Sheet2!$F$2:$F$1453),_xlfn.XLOOKUP(A60,TEXT(Sheet2!$A$2:$A$1453,"0"),Sheet2!$F$2:$F$1453,""))</f>
        <v>26-7-2026</v>
      </c>
      <c r="G60" s="2" t="str" cm="1">
        <f t="array" ref="G60">IFERROR(_xlfn.XLOOKUP(A60,Sheet2!$A$2:$A$1453,Sheet2!$G$2:$G$1453),_xlfn.XLOOKUP(A60,TEXT(Sheet2!$A$2:$A$1453,"0"),Sheet2!$G$2:$G$1453,""))</f>
        <v>6-8-2026</v>
      </c>
    </row>
    <row r="61" spans="1:7" x14ac:dyDescent="0.2">
      <c r="A61" s="1">
        <v>20309012310</v>
      </c>
      <c r="B61" t="str" cm="1">
        <f t="array" ref="B61">IFERROR(_xlfn.XLOOKUP(A61,Sheet2!$A$2:$A$1453,Sheet2!$B$2:$B$1453),_xlfn.XLOOKUP(A61,TEXT(Sheet2!$A$2:$A$1453,"0"),Sheet2!$B$2:$B$1453,""))</f>
        <v>PANTENE SHAMPOO SMOOTH &amp; SILKY</v>
      </c>
      <c r="C61" s="2">
        <v>14.84</v>
      </c>
      <c r="D61" s="2" cm="1">
        <f t="array" ref="D61">_xlfn.LET(_xlpm.v,IFERROR(_xlfn.XLOOKUP(A61,Sheet2!$A$2:$A$1453,Sheet2!$D$2:$D$1453),_xlfn.XLOOKUP(A61,TEXT(Sheet2!$A$2:$A$1453,"0"),Sheet2!$D$2:$D$1453,"")),IF(_xlpm.v="","",IF(_xlpm.v&lt;1,_xlpm.v*100,_xlpm.v)))</f>
        <v>15</v>
      </c>
      <c r="E61" s="2">
        <f t="shared" si="0"/>
        <v>12.613999999999999</v>
      </c>
      <c r="F61" s="2" t="str" cm="1">
        <f t="array" ref="F61">IFERROR(_xlfn.XLOOKUP(A61,Sheet2!$A$2:$A$1453,Sheet2!$F$2:$F$1453),_xlfn.XLOOKUP(A61,TEXT(Sheet2!$A$2:$A$1453,"0"),Sheet2!$F$2:$F$1453,""))</f>
        <v>26-7-2026</v>
      </c>
      <c r="G61" s="2" t="str" cm="1">
        <f t="array" ref="G61">IFERROR(_xlfn.XLOOKUP(A61,Sheet2!$A$2:$A$1453,Sheet2!$G$2:$G$1453),_xlfn.XLOOKUP(A61,TEXT(Sheet2!$A$2:$A$1453,"0"),Sheet2!$G$2:$G$1453,""))</f>
        <v>6-8-2026</v>
      </c>
    </row>
    <row r="62" spans="1:7" x14ac:dyDescent="0.2">
      <c r="A62" s="1">
        <v>20309012233</v>
      </c>
      <c r="B62" t="str" cm="1">
        <f t="array" ref="B62">IFERROR(_xlfn.XLOOKUP(A62,Sheet2!$A$2:$A$1453,Sheet2!$B$2:$B$1453),_xlfn.XLOOKUP(A62,TEXT(Sheet2!$A$2:$A$1453,"0"),Sheet2!$B$2:$B$1453,""))</f>
        <v>PANTENE SHAMPO CURLYSTIC 400 ML</v>
      </c>
      <c r="C62" s="2">
        <v>31.79</v>
      </c>
      <c r="D62" s="2" cm="1">
        <f t="array" ref="D62">_xlfn.LET(_xlpm.v,IFERROR(_xlfn.XLOOKUP(A62,Sheet2!$A$2:$A$1453,Sheet2!$D$2:$D$1453),_xlfn.XLOOKUP(A62,TEXT(Sheet2!$A$2:$A$1453,"0"),Sheet2!$D$2:$D$1453,"")),IF(_xlpm.v="","",IF(_xlpm.v&lt;1,_xlpm.v*100,_xlpm.v)))</f>
        <v>15</v>
      </c>
      <c r="E62" s="2">
        <f t="shared" si="0"/>
        <v>27.0215</v>
      </c>
      <c r="F62" s="2" t="str" cm="1">
        <f t="array" ref="F62">IFERROR(_xlfn.XLOOKUP(A62,Sheet2!$A$2:$A$1453,Sheet2!$F$2:$F$1453),_xlfn.XLOOKUP(A62,TEXT(Sheet2!$A$2:$A$1453,"0"),Sheet2!$F$2:$F$1453,""))</f>
        <v>26-7-2026</v>
      </c>
      <c r="G62" s="2" t="str" cm="1">
        <f t="array" ref="G62">IFERROR(_xlfn.XLOOKUP(A62,Sheet2!$A$2:$A$1453,Sheet2!$G$2:$G$1453),_xlfn.XLOOKUP(A62,TEXT(Sheet2!$A$2:$A$1453,"0"),Sheet2!$G$2:$G$1453,""))</f>
        <v>6-8-2026</v>
      </c>
    </row>
    <row r="63" spans="1:7" x14ac:dyDescent="0.2">
      <c r="A63" s="1">
        <v>20309012212</v>
      </c>
      <c r="B63" t="str" cm="1">
        <f t="array" ref="B63">IFERROR(_xlfn.XLOOKUP(A63,Sheet2!$A$2:$A$1453,Sheet2!$B$2:$B$1453),_xlfn.XLOOKUP(A63,TEXT(Sheet2!$A$2:$A$1453,"0"),Sheet2!$B$2:$B$1453,""))</f>
        <v>HERBAL ESSNS SHAMPO PURE ALOE&amp;AVOCADO 400 ML</v>
      </c>
      <c r="C63" s="2">
        <v>27.6</v>
      </c>
      <c r="D63" s="2" cm="1">
        <f t="array" ref="D63">_xlfn.LET(_xlpm.v,IFERROR(_xlfn.XLOOKUP(A63,Sheet2!$A$2:$A$1453,Sheet2!$D$2:$D$1453),_xlfn.XLOOKUP(A63,TEXT(Sheet2!$A$2:$A$1453,"0"),Sheet2!$D$2:$D$1453,"")),IF(_xlpm.v="","",IF(_xlpm.v&lt;1,_xlpm.v*100,_xlpm.v)))</f>
        <v>15</v>
      </c>
      <c r="E63" s="2">
        <f t="shared" si="0"/>
        <v>23.46</v>
      </c>
      <c r="F63" s="2" t="str" cm="1">
        <f t="array" ref="F63">IFERROR(_xlfn.XLOOKUP(A63,Sheet2!$A$2:$A$1453,Sheet2!$F$2:$F$1453),_xlfn.XLOOKUP(A63,TEXT(Sheet2!$A$2:$A$1453,"0"),Sheet2!$F$2:$F$1453,""))</f>
        <v>26-7-2026</v>
      </c>
      <c r="G63" s="2" t="str" cm="1">
        <f t="array" ref="G63">IFERROR(_xlfn.XLOOKUP(A63,Sheet2!$A$2:$A$1453,Sheet2!$G$2:$G$1453),_xlfn.XLOOKUP(A63,TEXT(Sheet2!$A$2:$A$1453,"0"),Sheet2!$G$2:$G$1453,""))</f>
        <v>6-8-2026</v>
      </c>
    </row>
    <row r="64" spans="1:7" x14ac:dyDescent="0.2">
      <c r="A64" s="1">
        <v>20309011950</v>
      </c>
      <c r="B64" t="str" cm="1">
        <f t="array" ref="B64">IFERROR(_xlfn.XLOOKUP(A64,Sheet2!$A$2:$A$1453,Sheet2!$B$2:$B$1453),_xlfn.XLOOKUP(A64,TEXT(Sheet2!$A$2:$A$1453,"0"),Sheet2!$B$2:$B$1453,""))</f>
        <v>Pantene hair shampo daily care 1000ml 61775</v>
      </c>
      <c r="C64" s="2">
        <v>42.11</v>
      </c>
      <c r="D64" s="2" cm="1">
        <f t="array" ref="D64">_xlfn.LET(_xlpm.v,IFERROR(_xlfn.XLOOKUP(A64,Sheet2!$A$2:$A$1453,Sheet2!$D$2:$D$1453),_xlfn.XLOOKUP(A64,TEXT(Sheet2!$A$2:$A$1453,"0"),Sheet2!$D$2:$D$1453,"")),IF(_xlpm.v="","",IF(_xlpm.v&lt;1,_xlpm.v*100,_xlpm.v)))</f>
        <v>15</v>
      </c>
      <c r="E64" s="2">
        <f t="shared" si="0"/>
        <v>35.793500000000002</v>
      </c>
      <c r="F64" s="2" t="str" cm="1">
        <f t="array" ref="F64">IFERROR(_xlfn.XLOOKUP(A64,Sheet2!$A$2:$A$1453,Sheet2!$F$2:$F$1453),_xlfn.XLOOKUP(A64,TEXT(Sheet2!$A$2:$A$1453,"0"),Sheet2!$F$2:$F$1453,""))</f>
        <v>26-7-2026</v>
      </c>
      <c r="G64" s="2" t="str" cm="1">
        <f t="array" ref="G64">IFERROR(_xlfn.XLOOKUP(A64,Sheet2!$A$2:$A$1453,Sheet2!$G$2:$G$1453),_xlfn.XLOOKUP(A64,TEXT(Sheet2!$A$2:$A$1453,"0"),Sheet2!$G$2:$G$1453,""))</f>
        <v>6-8-2026</v>
      </c>
    </row>
    <row r="65" spans="1:7" x14ac:dyDescent="0.2">
      <c r="A65" s="1">
        <v>20309011949</v>
      </c>
      <c r="B65" t="str" cm="1">
        <f t="array" ref="B65">IFERROR(_xlfn.XLOOKUP(A65,Sheet2!$A$2:$A$1453,Sheet2!$B$2:$B$1453),_xlfn.XLOOKUP(A65,TEXT(Sheet2!$A$2:$A$1453,"0"),Sheet2!$B$2:$B$1453,""))</f>
        <v>Pantene hair shampo smooth&amp;silky 1000ml 43827</v>
      </c>
      <c r="C65" s="2">
        <v>42.11</v>
      </c>
      <c r="D65" s="2" cm="1">
        <f t="array" ref="D65">_xlfn.LET(_xlpm.v,IFERROR(_xlfn.XLOOKUP(A65,Sheet2!$A$2:$A$1453,Sheet2!$D$2:$D$1453),_xlfn.XLOOKUP(A65,TEXT(Sheet2!$A$2:$A$1453,"0"),Sheet2!$D$2:$D$1453,"")),IF(_xlpm.v="","",IF(_xlpm.v&lt;1,_xlpm.v*100,_xlpm.v)))</f>
        <v>15</v>
      </c>
      <c r="E65" s="2">
        <f t="shared" si="0"/>
        <v>35.793500000000002</v>
      </c>
      <c r="F65" s="2" t="str" cm="1">
        <f t="array" ref="F65">IFERROR(_xlfn.XLOOKUP(A65,Sheet2!$A$2:$A$1453,Sheet2!$F$2:$F$1453),_xlfn.XLOOKUP(A65,TEXT(Sheet2!$A$2:$A$1453,"0"),Sheet2!$F$2:$F$1453,""))</f>
        <v>26-7-2026</v>
      </c>
      <c r="G65" s="2" t="str" cm="1">
        <f t="array" ref="G65">IFERROR(_xlfn.XLOOKUP(A65,Sheet2!$A$2:$A$1453,Sheet2!$G$2:$G$1453),_xlfn.XLOOKUP(A65,TEXT(Sheet2!$A$2:$A$1453,"0"),Sheet2!$G$2:$G$1453,""))</f>
        <v>6-8-2026</v>
      </c>
    </row>
    <row r="66" spans="1:7" x14ac:dyDescent="0.2">
      <c r="A66" s="1">
        <v>20309011948</v>
      </c>
      <c r="B66" t="str" cm="1">
        <f t="array" ref="B66">IFERROR(_xlfn.XLOOKUP(A66,Sheet2!$A$2:$A$1453,Sheet2!$B$2:$B$1453),_xlfn.XLOOKUP(A66,TEXT(Sheet2!$A$2:$A$1453,"0"),Sheet2!$B$2:$B$1453,""))</f>
        <v>Pantene hair shampo anti hair fall 1000ml 44046</v>
      </c>
      <c r="C66" s="2">
        <v>50.74</v>
      </c>
      <c r="D66" s="2" cm="1">
        <f t="array" ref="D66">_xlfn.LET(_xlpm.v,IFERROR(_xlfn.XLOOKUP(A66,Sheet2!$A$2:$A$1453,Sheet2!$D$2:$D$1453),_xlfn.XLOOKUP(A66,TEXT(Sheet2!$A$2:$A$1453,"0"),Sheet2!$D$2:$D$1453,"")),IF(_xlpm.v="","",IF(_xlpm.v&lt;1,_xlpm.v*100,_xlpm.v)))</f>
        <v>15</v>
      </c>
      <c r="E66" s="2">
        <f t="shared" si="0"/>
        <v>43.128999999999998</v>
      </c>
      <c r="F66" s="2" t="str" cm="1">
        <f t="array" ref="F66">IFERROR(_xlfn.XLOOKUP(A66,Sheet2!$A$2:$A$1453,Sheet2!$F$2:$F$1453),_xlfn.XLOOKUP(A66,TEXT(Sheet2!$A$2:$A$1453,"0"),Sheet2!$F$2:$F$1453,""))</f>
        <v>26-7-2026</v>
      </c>
      <c r="G66" s="2" t="str" cm="1">
        <f t="array" ref="G66">IFERROR(_xlfn.XLOOKUP(A66,Sheet2!$A$2:$A$1453,Sheet2!$G$2:$G$1453),_xlfn.XLOOKUP(A66,TEXT(Sheet2!$A$2:$A$1453,"0"),Sheet2!$G$2:$G$1453,""))</f>
        <v>6-8-2026</v>
      </c>
    </row>
    <row r="67" spans="1:7" x14ac:dyDescent="0.2">
      <c r="A67" s="1">
        <v>20309011917</v>
      </c>
      <c r="B67" t="str" cm="1">
        <f t="array" ref="B67">IFERROR(_xlfn.XLOOKUP(A67,Sheet2!$A$2:$A$1453,Sheet2!$B$2:$B$1453),_xlfn.XLOOKUP(A67,TEXT(Sheet2!$A$2:$A$1453,"0"),Sheet2!$B$2:$B$1453,""))</f>
        <v>HERBAL ESSENCES SHAMPO POTENT ALOE+BAMBOO 400ML</v>
      </c>
      <c r="C67" s="2">
        <v>27.6</v>
      </c>
      <c r="D67" s="2" cm="1">
        <f t="array" ref="D67">_xlfn.LET(_xlpm.v,IFERROR(_xlfn.XLOOKUP(A67,Sheet2!$A$2:$A$1453,Sheet2!$D$2:$D$1453),_xlfn.XLOOKUP(A67,TEXT(Sheet2!$A$2:$A$1453,"0"),Sheet2!$D$2:$D$1453,"")),IF(_xlpm.v="","",IF(_xlpm.v&lt;1,_xlpm.v*100,_xlpm.v)))</f>
        <v>15</v>
      </c>
      <c r="E67" s="2">
        <f t="shared" ref="E67:E130" si="1">IF(D67="","",C67*(1-D67/100))</f>
        <v>23.46</v>
      </c>
      <c r="F67" s="2" t="str" cm="1">
        <f t="array" ref="F67">IFERROR(_xlfn.XLOOKUP(A67,Sheet2!$A$2:$A$1453,Sheet2!$F$2:$F$1453),_xlfn.XLOOKUP(A67,TEXT(Sheet2!$A$2:$A$1453,"0"),Sheet2!$F$2:$F$1453,""))</f>
        <v>26-7-2026</v>
      </c>
      <c r="G67" s="2" t="str" cm="1">
        <f t="array" ref="G67">IFERROR(_xlfn.XLOOKUP(A67,Sheet2!$A$2:$A$1453,Sheet2!$G$2:$G$1453),_xlfn.XLOOKUP(A67,TEXT(Sheet2!$A$2:$A$1453,"0"),Sheet2!$G$2:$G$1453,""))</f>
        <v>6-8-2026</v>
      </c>
    </row>
    <row r="68" spans="1:7" x14ac:dyDescent="0.2">
      <c r="A68" s="1">
        <v>20309011808</v>
      </c>
      <c r="B68" t="str" cm="1">
        <f t="array" ref="B68">IFERROR(_xlfn.XLOOKUP(A68,Sheet2!$A$2:$A$1453,Sheet2!$B$2:$B$1453),_xlfn.XLOOKUP(A68,TEXT(Sheet2!$A$2:$A$1453,"0"),Sheet2!$B$2:$B$1453,""))</f>
        <v>HERBAL ESSENCES SHAMPO HYDRATE COCONUT MILK 400ML</v>
      </c>
      <c r="C68" s="2">
        <v>21.75</v>
      </c>
      <c r="D68" s="2" cm="1">
        <f t="array" ref="D68">_xlfn.LET(_xlpm.v,IFERROR(_xlfn.XLOOKUP(A68,Sheet2!$A$2:$A$1453,Sheet2!$D$2:$D$1453),_xlfn.XLOOKUP(A68,TEXT(Sheet2!$A$2:$A$1453,"0"),Sheet2!$D$2:$D$1453,"")),IF(_xlpm.v="","",IF(_xlpm.v&lt;1,_xlpm.v*100,_xlpm.v)))</f>
        <v>15</v>
      </c>
      <c r="E68" s="2">
        <f t="shared" si="1"/>
        <v>18.487500000000001</v>
      </c>
      <c r="F68" s="2" t="str" cm="1">
        <f t="array" ref="F68">IFERROR(_xlfn.XLOOKUP(A68,Sheet2!$A$2:$A$1453,Sheet2!$F$2:$F$1453),_xlfn.XLOOKUP(A68,TEXT(Sheet2!$A$2:$A$1453,"0"),Sheet2!$F$2:$F$1453,""))</f>
        <v>26-7-2026</v>
      </c>
      <c r="G68" s="2" t="str" cm="1">
        <f t="array" ref="G68">IFERROR(_xlfn.XLOOKUP(A68,Sheet2!$A$2:$A$1453,Sheet2!$G$2:$G$1453),_xlfn.XLOOKUP(A68,TEXT(Sheet2!$A$2:$A$1453,"0"),Sheet2!$G$2:$G$1453,""))</f>
        <v>6-8-2026</v>
      </c>
    </row>
    <row r="69" spans="1:7" x14ac:dyDescent="0.2">
      <c r="A69" s="1">
        <v>20309011804</v>
      </c>
      <c r="B69" t="str" cm="1">
        <f t="array" ref="B69">IFERROR(_xlfn.XLOOKUP(A69,Sheet2!$A$2:$A$1453,Sheet2!$B$2:$B$1453),_xlfn.XLOOKUP(A69,TEXT(Sheet2!$A$2:$A$1453,"0"),Sheet2!$B$2:$B$1453,""))</f>
        <v>HERBAL ESSENCES SHAMPO GOLDEN MORINGA OIL 400ML</v>
      </c>
      <c r="C69" s="2">
        <v>21.75</v>
      </c>
      <c r="D69" s="2" cm="1">
        <f t="array" ref="D69">_xlfn.LET(_xlpm.v,IFERROR(_xlfn.XLOOKUP(A69,Sheet2!$A$2:$A$1453,Sheet2!$D$2:$D$1453),_xlfn.XLOOKUP(A69,TEXT(Sheet2!$A$2:$A$1453,"0"),Sheet2!$D$2:$D$1453,"")),IF(_xlpm.v="","",IF(_xlpm.v&lt;1,_xlpm.v*100,_xlpm.v)))</f>
        <v>15</v>
      </c>
      <c r="E69" s="2">
        <f t="shared" si="1"/>
        <v>18.487500000000001</v>
      </c>
      <c r="F69" s="2" t="str" cm="1">
        <f t="array" ref="F69">IFERROR(_xlfn.XLOOKUP(A69,Sheet2!$A$2:$A$1453,Sheet2!$F$2:$F$1453),_xlfn.XLOOKUP(A69,TEXT(Sheet2!$A$2:$A$1453,"0"),Sheet2!$F$2:$F$1453,""))</f>
        <v>26-7-2026</v>
      </c>
      <c r="G69" s="2" t="str" cm="1">
        <f t="array" ref="G69">IFERROR(_xlfn.XLOOKUP(A69,Sheet2!$A$2:$A$1453,Sheet2!$G$2:$G$1453),_xlfn.XLOOKUP(A69,TEXT(Sheet2!$A$2:$A$1453,"0"),Sheet2!$G$2:$G$1453,""))</f>
        <v>6-8-2026</v>
      </c>
    </row>
    <row r="70" spans="1:7" x14ac:dyDescent="0.2">
      <c r="A70" s="1">
        <v>20309011701</v>
      </c>
      <c r="B70" t="str" cm="1">
        <f t="array" ref="B70">IFERROR(_xlfn.XLOOKUP(A70,Sheet2!$A$2:$A$1453,Sheet2!$B$2:$B$1453),_xlfn.XLOOKUP(A70,TEXT(Sheet2!$A$2:$A$1453,"0"),Sheet2!$B$2:$B$1453,""))</f>
        <v>PANTENE SHAMPOO MILKY DAMAGE REPAIR 390ML</v>
      </c>
      <c r="C70" s="2">
        <v>15.65</v>
      </c>
      <c r="D70" s="2" cm="1">
        <f t="array" ref="D70">_xlfn.LET(_xlpm.v,IFERROR(_xlfn.XLOOKUP(A70,Sheet2!$A$2:$A$1453,Sheet2!$D$2:$D$1453),_xlfn.XLOOKUP(A70,TEXT(Sheet2!$A$2:$A$1453,"0"),Sheet2!$D$2:$D$1453,"")),IF(_xlpm.v="","",IF(_xlpm.v&lt;1,_xlpm.v*100,_xlpm.v)))</f>
        <v>15</v>
      </c>
      <c r="E70" s="2">
        <f t="shared" si="1"/>
        <v>13.3025</v>
      </c>
      <c r="F70" s="2" t="str" cm="1">
        <f t="array" ref="F70">IFERROR(_xlfn.XLOOKUP(A70,Sheet2!$A$2:$A$1453,Sheet2!$F$2:$F$1453),_xlfn.XLOOKUP(A70,TEXT(Sheet2!$A$2:$A$1453,"0"),Sheet2!$F$2:$F$1453,""))</f>
        <v>26-7-2026</v>
      </c>
      <c r="G70" s="2" t="str" cm="1">
        <f t="array" ref="G70">IFERROR(_xlfn.XLOOKUP(A70,Sheet2!$A$2:$A$1453,Sheet2!$G$2:$G$1453),_xlfn.XLOOKUP(A70,TEXT(Sheet2!$A$2:$A$1453,"0"),Sheet2!$G$2:$G$1453,""))</f>
        <v>6-8-2026</v>
      </c>
    </row>
    <row r="71" spans="1:7" x14ac:dyDescent="0.2">
      <c r="A71" s="1">
        <v>20309010648</v>
      </c>
      <c r="B71" t="str" cm="1">
        <f t="array" ref="B71">IFERROR(_xlfn.XLOOKUP(A71,Sheet2!$A$2:$A$1453,Sheet2!$B$2:$B$1453),_xlfn.XLOOKUP(A71,TEXT(Sheet2!$A$2:$A$1453,"0"),Sheet2!$B$2:$B$1453,""))</f>
        <v>HEAD&amp;SHOLDERS SHAMPO CITRUS FRESH LEMON  600ML</v>
      </c>
      <c r="C71" s="2">
        <v>30.79</v>
      </c>
      <c r="D71" s="2" cm="1">
        <f t="array" ref="D71">_xlfn.LET(_xlpm.v,IFERROR(_xlfn.XLOOKUP(A71,Sheet2!$A$2:$A$1453,Sheet2!$D$2:$D$1453),_xlfn.XLOOKUP(A71,TEXT(Sheet2!$A$2:$A$1453,"0"),Sheet2!$D$2:$D$1453,"")),IF(_xlpm.v="","",IF(_xlpm.v&lt;1,_xlpm.v*100,_xlpm.v)))</f>
        <v>15</v>
      </c>
      <c r="E71" s="2">
        <f t="shared" si="1"/>
        <v>26.171499999999998</v>
      </c>
      <c r="F71" s="2" t="str" cm="1">
        <f t="array" ref="F71">IFERROR(_xlfn.XLOOKUP(A71,Sheet2!$A$2:$A$1453,Sheet2!$F$2:$F$1453),_xlfn.XLOOKUP(A71,TEXT(Sheet2!$A$2:$A$1453,"0"),Sheet2!$F$2:$F$1453,""))</f>
        <v>26-7-2026</v>
      </c>
      <c r="G71" s="2" t="str" cm="1">
        <f t="array" ref="G71">IFERROR(_xlfn.XLOOKUP(A71,Sheet2!$A$2:$A$1453,Sheet2!$G$2:$G$1453),_xlfn.XLOOKUP(A71,TEXT(Sheet2!$A$2:$A$1453,"0"),Sheet2!$G$2:$G$1453,""))</f>
        <v>6-8-2026</v>
      </c>
    </row>
    <row r="72" spans="1:7" x14ac:dyDescent="0.2">
      <c r="A72" s="1">
        <v>20309010174</v>
      </c>
      <c r="B72" t="str" cm="1">
        <f t="array" ref="B72">IFERROR(_xlfn.XLOOKUP(A72,Sheet2!$A$2:$A$1453,Sheet2!$B$2:$B$1453),_xlfn.XLOOKUP(A72,TEXT(Sheet2!$A$2:$A$1453,"0"),Sheet2!$B$2:$B$1453,""))</f>
        <v>HERBALSHAMP BEAUTFUL ENDS 400ML</v>
      </c>
      <c r="C72" s="2">
        <v>18.2</v>
      </c>
      <c r="D72" s="2" cm="1">
        <f t="array" ref="D72">_xlfn.LET(_xlpm.v,IFERROR(_xlfn.XLOOKUP(A72,Sheet2!$A$2:$A$1453,Sheet2!$D$2:$D$1453),_xlfn.XLOOKUP(A72,TEXT(Sheet2!$A$2:$A$1453,"0"),Sheet2!$D$2:$D$1453,"")),IF(_xlpm.v="","",IF(_xlpm.v&lt;1,_xlpm.v*100,_xlpm.v)))</f>
        <v>15</v>
      </c>
      <c r="E72" s="2">
        <f t="shared" si="1"/>
        <v>15.469999999999999</v>
      </c>
      <c r="F72" s="2" t="str" cm="1">
        <f t="array" ref="F72">IFERROR(_xlfn.XLOOKUP(A72,Sheet2!$A$2:$A$1453,Sheet2!$F$2:$F$1453),_xlfn.XLOOKUP(A72,TEXT(Sheet2!$A$2:$A$1453,"0"),Sheet2!$F$2:$F$1453,""))</f>
        <v>26-7-2026</v>
      </c>
      <c r="G72" s="2" t="str" cm="1">
        <f t="array" ref="G72">IFERROR(_xlfn.XLOOKUP(A72,Sheet2!$A$2:$A$1453,Sheet2!$G$2:$G$1453),_xlfn.XLOOKUP(A72,TEXT(Sheet2!$A$2:$A$1453,"0"),Sheet2!$G$2:$G$1453,""))</f>
        <v>6-8-2026</v>
      </c>
    </row>
    <row r="73" spans="1:7" x14ac:dyDescent="0.2">
      <c r="A73" s="1">
        <v>20309010158</v>
      </c>
      <c r="B73" t="str" cm="1">
        <f t="array" ref="B73">IFERROR(_xlfn.XLOOKUP(A73,Sheet2!$A$2:$A$1453,Sheet2!$B$2:$B$1453),_xlfn.XLOOKUP(A73,TEXT(Sheet2!$A$2:$A$1453,"0"),Sheet2!$B$2:$B$1453,""))</f>
        <v>HEAD&amp;SHOLDER SHAMPO MOIST SCALP CARE 400ML</v>
      </c>
      <c r="C73" s="2">
        <v>19.23</v>
      </c>
      <c r="D73" s="2" cm="1">
        <f t="array" ref="D73">_xlfn.LET(_xlpm.v,IFERROR(_xlfn.XLOOKUP(A73,Sheet2!$A$2:$A$1453,Sheet2!$D$2:$D$1453),_xlfn.XLOOKUP(A73,TEXT(Sheet2!$A$2:$A$1453,"0"),Sheet2!$D$2:$D$1453,"")),IF(_xlpm.v="","",IF(_xlpm.v&lt;1,_xlpm.v*100,_xlpm.v)))</f>
        <v>15</v>
      </c>
      <c r="E73" s="2">
        <f t="shared" si="1"/>
        <v>16.345500000000001</v>
      </c>
      <c r="F73" s="2" t="str" cm="1">
        <f t="array" ref="F73">IFERROR(_xlfn.XLOOKUP(A73,Sheet2!$A$2:$A$1453,Sheet2!$F$2:$F$1453),_xlfn.XLOOKUP(A73,TEXT(Sheet2!$A$2:$A$1453,"0"),Sheet2!$F$2:$F$1453,""))</f>
        <v>26-7-2026</v>
      </c>
      <c r="G73" s="2" t="str" cm="1">
        <f t="array" ref="G73">IFERROR(_xlfn.XLOOKUP(A73,Sheet2!$A$2:$A$1453,Sheet2!$G$2:$G$1453),_xlfn.XLOOKUP(A73,TEXT(Sheet2!$A$2:$A$1453,"0"),Sheet2!$G$2:$G$1453,""))</f>
        <v>6-8-2026</v>
      </c>
    </row>
    <row r="74" spans="1:7" x14ac:dyDescent="0.2">
      <c r="A74" s="1">
        <v>20309010211</v>
      </c>
      <c r="B74" t="str" cm="1">
        <f t="array" ref="B74">IFERROR(_xlfn.XLOOKUP(A74,Sheet2!$A$2:$A$1453,Sheet2!$B$2:$B$1453),_xlfn.XLOOKUP(A74,TEXT(Sheet2!$A$2:$A$1453,"0"),Sheet2!$B$2:$B$1453,""))</f>
        <v>PANTENE SHAMPOO DAILY CARE 600 ML</v>
      </c>
      <c r="C74" s="2">
        <v>25.13</v>
      </c>
      <c r="D74" s="2" cm="1">
        <f t="array" ref="D74">_xlfn.LET(_xlpm.v,IFERROR(_xlfn.XLOOKUP(A74,Sheet2!$A$2:$A$1453,Sheet2!$D$2:$D$1453),_xlfn.XLOOKUP(A74,TEXT(Sheet2!$A$2:$A$1453,"0"),Sheet2!$D$2:$D$1453,"")),IF(_xlpm.v="","",IF(_xlpm.v&lt;1,_xlpm.v*100,_xlpm.v)))</f>
        <v>15</v>
      </c>
      <c r="E74" s="2">
        <f t="shared" si="1"/>
        <v>21.360499999999998</v>
      </c>
      <c r="F74" s="2" t="str" cm="1">
        <f t="array" ref="F74">IFERROR(_xlfn.XLOOKUP(A74,Sheet2!$A$2:$A$1453,Sheet2!$F$2:$F$1453),_xlfn.XLOOKUP(A74,TEXT(Sheet2!$A$2:$A$1453,"0"),Sheet2!$F$2:$F$1453,""))</f>
        <v>26-7-2026</v>
      </c>
      <c r="G74" s="2" t="str" cm="1">
        <f t="array" ref="G74">IFERROR(_xlfn.XLOOKUP(A74,Sheet2!$A$2:$A$1453,Sheet2!$G$2:$G$1453),_xlfn.XLOOKUP(A74,TEXT(Sheet2!$A$2:$A$1453,"0"),Sheet2!$G$2:$G$1453,""))</f>
        <v>6-8-2026</v>
      </c>
    </row>
    <row r="75" spans="1:7" x14ac:dyDescent="0.2">
      <c r="A75" s="1">
        <v>20309010047</v>
      </c>
      <c r="B75" t="str" cm="1">
        <f t="array" ref="B75">IFERROR(_xlfn.XLOOKUP(A75,Sheet2!$A$2:$A$1453,Sheet2!$B$2:$B$1453),_xlfn.XLOOKUP(A75,TEXT(Sheet2!$A$2:$A$1453,"0"),Sheet2!$B$2:$B$1453,""))</f>
        <v>HERBAL ESS SHAM HELLO HYDRATION 400ML-01106</v>
      </c>
      <c r="C75" s="2">
        <v>21.75</v>
      </c>
      <c r="D75" s="2" cm="1">
        <f t="array" ref="D75">_xlfn.LET(_xlpm.v,IFERROR(_xlfn.XLOOKUP(A75,Sheet2!$A$2:$A$1453,Sheet2!$D$2:$D$1453),_xlfn.XLOOKUP(A75,TEXT(Sheet2!$A$2:$A$1453,"0"),Sheet2!$D$2:$D$1453,"")),IF(_xlpm.v="","",IF(_xlpm.v&lt;1,_xlpm.v*100,_xlpm.v)))</f>
        <v>15</v>
      </c>
      <c r="E75" s="2">
        <f t="shared" si="1"/>
        <v>18.487500000000001</v>
      </c>
      <c r="F75" s="2" t="str" cm="1">
        <f t="array" ref="F75">IFERROR(_xlfn.XLOOKUP(A75,Sheet2!$A$2:$A$1453,Sheet2!$F$2:$F$1453),_xlfn.XLOOKUP(A75,TEXT(Sheet2!$A$2:$A$1453,"0"),Sheet2!$F$2:$F$1453,""))</f>
        <v>26-7-2026</v>
      </c>
      <c r="G75" s="2" t="str" cm="1">
        <f t="array" ref="G75">IFERROR(_xlfn.XLOOKUP(A75,Sheet2!$A$2:$A$1453,Sheet2!$G$2:$G$1453),_xlfn.XLOOKUP(A75,TEXT(Sheet2!$A$2:$A$1453,"0"),Sheet2!$G$2:$G$1453,""))</f>
        <v>6-8-2026</v>
      </c>
    </row>
    <row r="76" spans="1:7" x14ac:dyDescent="0.2">
      <c r="A76" s="1">
        <v>20615010401</v>
      </c>
      <c r="B76" t="str" cm="1">
        <f t="array" ref="B76">IFERROR(_xlfn.XLOOKUP(A76,Sheet2!$A$2:$A$1453,Sheet2!$B$2:$B$1453),_xlfn.XLOOKUP(A76,TEXT(Sheet2!$A$2:$A$1453,"0"),Sheet2!$B$2:$B$1453,""))</f>
        <v>PAMPERS PREMUM CARE PANTS BOX NO-6 1X54</v>
      </c>
      <c r="C76" s="2">
        <v>155.25</v>
      </c>
      <c r="D76" s="2" cm="1">
        <f t="array" ref="D76">_xlfn.LET(_xlpm.v,IFERROR(_xlfn.XLOOKUP(A76,Sheet2!$A$2:$A$1453,Sheet2!$D$2:$D$1453),_xlfn.XLOOKUP(A76,TEXT(Sheet2!$A$2:$A$1453,"0"),Sheet2!$D$2:$D$1453,"")),IF(_xlpm.v="","",IF(_xlpm.v&lt;1,_xlpm.v*100,_xlpm.v)))</f>
        <v>12.5</v>
      </c>
      <c r="E76" s="2">
        <f t="shared" si="1"/>
        <v>135.84375</v>
      </c>
      <c r="F76" s="2" t="str" cm="1">
        <f t="array" ref="F76">IFERROR(_xlfn.XLOOKUP(A76,Sheet2!$A$2:$A$1453,Sheet2!$F$2:$F$1453),_xlfn.XLOOKUP(A76,TEXT(Sheet2!$A$2:$A$1453,"0"),Sheet2!$F$2:$F$1453,""))</f>
        <v>26-7-2026</v>
      </c>
      <c r="G76" s="2" t="str" cm="1">
        <f t="array" ref="G76">IFERROR(_xlfn.XLOOKUP(A76,Sheet2!$A$2:$A$1453,Sheet2!$G$2:$G$1453),_xlfn.XLOOKUP(A76,TEXT(Sheet2!$A$2:$A$1453,"0"),Sheet2!$G$2:$G$1453,""))</f>
        <v>6-8-2026</v>
      </c>
    </row>
    <row r="77" spans="1:7" x14ac:dyDescent="0.2">
      <c r="A77" s="1">
        <v>20309010073</v>
      </c>
      <c r="B77" t="str" cm="1">
        <f t="array" ref="B77">IFERROR(_xlfn.XLOOKUP(A77,Sheet2!$A$2:$A$1453,Sheet2!$B$2:$B$1453),_xlfn.XLOOKUP(A77,TEXT(Sheet2!$A$2:$A$1453,"0"),Sheet2!$B$2:$B$1453,""))</f>
        <v>HERBALSHAMPO IGNITE MYCOLOR 400ML</v>
      </c>
      <c r="C77" s="2">
        <v>17.7</v>
      </c>
      <c r="D77" s="2" cm="1">
        <f t="array" ref="D77">_xlfn.LET(_xlpm.v,IFERROR(_xlfn.XLOOKUP(A77,Sheet2!$A$2:$A$1453,Sheet2!$D$2:$D$1453),_xlfn.XLOOKUP(A77,TEXT(Sheet2!$A$2:$A$1453,"0"),Sheet2!$D$2:$D$1453,"")),IF(_xlpm.v="","",IF(_xlpm.v&lt;1,_xlpm.v*100,_xlpm.v)))</f>
        <v>15</v>
      </c>
      <c r="E77" s="2">
        <f t="shared" si="1"/>
        <v>15.044999999999998</v>
      </c>
      <c r="F77" s="2" t="str" cm="1">
        <f t="array" ref="F77">IFERROR(_xlfn.XLOOKUP(A77,Sheet2!$A$2:$A$1453,Sheet2!$F$2:$F$1453),_xlfn.XLOOKUP(A77,TEXT(Sheet2!$A$2:$A$1453,"0"),Sheet2!$F$2:$F$1453,""))</f>
        <v>26-7-2026</v>
      </c>
      <c r="G77" s="2" t="str" cm="1">
        <f t="array" ref="G77">IFERROR(_xlfn.XLOOKUP(A77,Sheet2!$A$2:$A$1453,Sheet2!$G$2:$G$1453),_xlfn.XLOOKUP(A77,TEXT(Sheet2!$A$2:$A$1453,"0"),Sheet2!$G$2:$G$1453,""))</f>
        <v>6-8-2026</v>
      </c>
    </row>
    <row r="78" spans="1:7" x14ac:dyDescent="0.2">
      <c r="A78" s="1" t="s">
        <v>15</v>
      </c>
      <c r="B78" t="str" cm="1">
        <f t="array" ref="B78">IFERROR(_xlfn.XLOOKUP(A78,Sheet2!$A$2:$A$1453,Sheet2!$B$2:$B$1453),_xlfn.XLOOKUP(A78,TEXT(Sheet2!$A$2:$A$1453,"0"),Sheet2!$B$2:$B$1453,""))</f>
        <v>QVBABYMOISTURISINGCREAMap</v>
      </c>
      <c r="C78" s="2">
        <v>71.3</v>
      </c>
      <c r="D78" s="2" cm="1">
        <f t="array" ref="D78">_xlfn.LET(_xlpm.v,IFERROR(_xlfn.XLOOKUP(A78,Sheet2!$A$2:$A$1453,Sheet2!$D$2:$D$1453),_xlfn.XLOOKUP(A78,TEXT(Sheet2!$A$2:$A$1453,"0"),Sheet2!$D$2:$D$1453,"")),IF(_xlpm.v="","",IF(_xlpm.v&lt;1,_xlpm.v*100,_xlpm.v)))</f>
        <v>20</v>
      </c>
      <c r="E78" s="2">
        <f t="shared" si="1"/>
        <v>57.04</v>
      </c>
      <c r="F78" s="2" t="str" cm="1">
        <f t="array" ref="F78">IFERROR(_xlfn.XLOOKUP(A78,Sheet2!$A$2:$A$1453,Sheet2!$F$2:$F$1453),_xlfn.XLOOKUP(A78,TEXT(Sheet2!$A$2:$A$1453,"0"),Sheet2!$F$2:$F$1453,""))</f>
        <v>26-7-2026</v>
      </c>
      <c r="G78" s="2" t="str" cm="1">
        <f t="array" ref="G78">IFERROR(_xlfn.XLOOKUP(A78,Sheet2!$A$2:$A$1453,Sheet2!$G$2:$G$1453),_xlfn.XLOOKUP(A78,TEXT(Sheet2!$A$2:$A$1453,"0"),Sheet2!$G$2:$G$1453,""))</f>
        <v>6-8-2026</v>
      </c>
    </row>
    <row r="79" spans="1:7" x14ac:dyDescent="0.2">
      <c r="A79" s="1">
        <v>20309011810</v>
      </c>
      <c r="B79" t="str" cm="1">
        <f t="array" ref="B79">IFERROR(_xlfn.XLOOKUP(A79,Sheet2!$A$2:$A$1453,Sheet2!$B$2:$B$1453),_xlfn.XLOOKUP(A79,TEXT(Sheet2!$A$2:$A$1453,"0"),Sheet2!$B$2:$B$1453,""))</f>
        <v>HERBAL ESSENCES SHAMPO WHITE STRAWBERRY&amp;SWEET MINT 400ML</v>
      </c>
      <c r="C79" s="2">
        <v>21.75</v>
      </c>
      <c r="D79" s="2" cm="1">
        <f t="array" ref="D79">_xlfn.LET(_xlpm.v,IFERROR(_xlfn.XLOOKUP(A79,Sheet2!$A$2:$A$1453,Sheet2!$D$2:$D$1453),_xlfn.XLOOKUP(A79,TEXT(Sheet2!$A$2:$A$1453,"0"),Sheet2!$D$2:$D$1453,"")),IF(_xlpm.v="","",IF(_xlpm.v&lt;1,_xlpm.v*100,_xlpm.v)))</f>
        <v>15</v>
      </c>
      <c r="E79" s="2">
        <f t="shared" si="1"/>
        <v>18.487500000000001</v>
      </c>
      <c r="F79" s="2" t="str" cm="1">
        <f t="array" ref="F79">IFERROR(_xlfn.XLOOKUP(A79,Sheet2!$A$2:$A$1453,Sheet2!$F$2:$F$1453),_xlfn.XLOOKUP(A79,TEXT(Sheet2!$A$2:$A$1453,"0"),Sheet2!$F$2:$F$1453,""))</f>
        <v>26-7-2026</v>
      </c>
      <c r="G79" s="2" t="str" cm="1">
        <f t="array" ref="G79">IFERROR(_xlfn.XLOOKUP(A79,Sheet2!$A$2:$A$1453,Sheet2!$G$2:$G$1453),_xlfn.XLOOKUP(A79,TEXT(Sheet2!$A$2:$A$1453,"0"),Sheet2!$G$2:$G$1453,""))</f>
        <v>6-8-2026</v>
      </c>
    </row>
    <row r="80" spans="1:7" x14ac:dyDescent="0.2">
      <c r="A80" s="1">
        <v>20315040158</v>
      </c>
      <c r="B80" t="str" cm="1">
        <f t="array" ref="B80">IFERROR(_xlfn.XLOOKUP(A80,Sheet2!$A$2:$A$1453,Sheet2!$B$2:$B$1453),_xlfn.XLOOKUP(A80,TEXT(Sheet2!$A$2:$A$1453,"0"),Sheet2!$B$2:$B$1453,""))</f>
        <v>AVENT SCF634/27 CLASSIC PLUS TEATS </v>
      </c>
      <c r="C80" s="2">
        <v>44.02</v>
      </c>
      <c r="D80" s="2" cm="1">
        <f t="array" ref="D80">_xlfn.LET(_xlpm.v,IFERROR(_xlfn.XLOOKUP(A80,Sheet2!$A$2:$A$1453,Sheet2!$D$2:$D$1453),_xlfn.XLOOKUP(A80,TEXT(Sheet2!$A$2:$A$1453,"0"),Sheet2!$D$2:$D$1453,"")),IF(_xlpm.v="","",IF(_xlpm.v&lt;1,_xlpm.v*100,_xlpm.v)))</f>
        <v>15</v>
      </c>
      <c r="E80" s="2">
        <f t="shared" si="1"/>
        <v>37.417000000000002</v>
      </c>
      <c r="F80" s="2" t="str" cm="1">
        <f t="array" ref="F80">IFERROR(_xlfn.XLOOKUP(A80,Sheet2!$A$2:$A$1453,Sheet2!$F$2:$F$1453),_xlfn.XLOOKUP(A80,TEXT(Sheet2!$A$2:$A$1453,"0"),Sheet2!$F$2:$F$1453,""))</f>
        <v>26-7-2026</v>
      </c>
      <c r="G80" s="2" t="str" cm="1">
        <f t="array" ref="G80">IFERROR(_xlfn.XLOOKUP(A80,Sheet2!$A$2:$A$1453,Sheet2!$G$2:$G$1453),_xlfn.XLOOKUP(A80,TEXT(Sheet2!$A$2:$A$1453,"0"),Sheet2!$G$2:$G$1453,""))</f>
        <v>6-8-2026</v>
      </c>
    </row>
    <row r="81" spans="1:7" x14ac:dyDescent="0.2">
      <c r="A81" s="1" t="s">
        <v>16</v>
      </c>
      <c r="B81" t="str" cm="1">
        <f t="array" ref="B81">IFERROR(_xlfn.XLOOKUP(A81,Sheet2!$A$2:$A$1453,Sheet2!$B$2:$B$1453),_xlfn.XLOOKUP(A81,TEXT(Sheet2!$A$2:$A$1453,"0"),Sheet2!$B$2:$B$1453,""))</f>
        <v>UNIDOVE CLEANSING FOAM 150 ML/CO</v>
      </c>
      <c r="C81" s="2">
        <v>126.5</v>
      </c>
      <c r="D81" s="2" cm="1">
        <f t="array" ref="D81">_xlfn.LET(_xlpm.v,IFERROR(_xlfn.XLOOKUP(A81,Sheet2!$A$2:$A$1453,Sheet2!$D$2:$D$1453),_xlfn.XLOOKUP(A81,TEXT(Sheet2!$A$2:$A$1453,"0"),Sheet2!$D$2:$D$1453,"")),IF(_xlpm.v="","",IF(_xlpm.v&lt;1,_xlpm.v*100,_xlpm.v)))</f>
        <v>20</v>
      </c>
      <c r="E81" s="2">
        <f t="shared" si="1"/>
        <v>101.2</v>
      </c>
      <c r="F81" s="2" t="str" cm="1">
        <f t="array" ref="F81">IFERROR(_xlfn.XLOOKUP(A81,Sheet2!$A$2:$A$1453,Sheet2!$F$2:$F$1453),_xlfn.XLOOKUP(A81,TEXT(Sheet2!$A$2:$A$1453,"0"),Sheet2!$F$2:$F$1453,""))</f>
        <v>26-7-2026</v>
      </c>
      <c r="G81" s="2" t="str" cm="1">
        <f t="array" ref="G81">IFERROR(_xlfn.XLOOKUP(A81,Sheet2!$A$2:$A$1453,Sheet2!$G$2:$G$1453),_xlfn.XLOOKUP(A81,TEXT(Sheet2!$A$2:$A$1453,"0"),Sheet2!$G$2:$G$1453,""))</f>
        <v>6-8-2026</v>
      </c>
    </row>
    <row r="82" spans="1:7" x14ac:dyDescent="0.2">
      <c r="A82" s="1">
        <v>20315040829</v>
      </c>
      <c r="B82" t="str" cm="1">
        <f t="array" ref="B82">IFERROR(_xlfn.XLOOKUP(A82,Sheet2!$A$2:$A$1453,Sheet2!$B$2:$B$1453),_xlfn.XLOOKUP(A82,TEXT(Sheet2!$A$2:$A$1453,"0"),Sheet2!$B$2:$B$1453,""))</f>
        <v>AVENT NATURAL BOTTLE 125ML X1 900</v>
      </c>
      <c r="C82" s="2">
        <v>66.010000000000005</v>
      </c>
      <c r="D82" s="2" cm="1">
        <f t="array" ref="D82">_xlfn.LET(_xlpm.v,IFERROR(_xlfn.XLOOKUP(A82,Sheet2!$A$2:$A$1453,Sheet2!$D$2:$D$1453),_xlfn.XLOOKUP(A82,TEXT(Sheet2!$A$2:$A$1453,"0"),Sheet2!$D$2:$D$1453,"")),IF(_xlpm.v="","",IF(_xlpm.v&lt;1,_xlpm.v*100,_xlpm.v)))</f>
        <v>15</v>
      </c>
      <c r="E82" s="2">
        <f t="shared" si="1"/>
        <v>56.108499999999999</v>
      </c>
      <c r="F82" s="2" t="str" cm="1">
        <f t="array" ref="F82">IFERROR(_xlfn.XLOOKUP(A82,Sheet2!$A$2:$A$1453,Sheet2!$F$2:$F$1453),_xlfn.XLOOKUP(A82,TEXT(Sheet2!$A$2:$A$1453,"0"),Sheet2!$F$2:$F$1453,""))</f>
        <v>26-7-2026</v>
      </c>
      <c r="G82" s="2" t="str" cm="1">
        <f t="array" ref="G82">IFERROR(_xlfn.XLOOKUP(A82,Sheet2!$A$2:$A$1453,Sheet2!$G$2:$G$1453),_xlfn.XLOOKUP(A82,TEXT(Sheet2!$A$2:$A$1453,"0"),Sheet2!$G$2:$G$1453,""))</f>
        <v>6-8-2026</v>
      </c>
    </row>
    <row r="83" spans="1:7" x14ac:dyDescent="0.2">
      <c r="A83" s="1">
        <v>20309503894</v>
      </c>
      <c r="B83" t="str" cm="1">
        <f t="array" ref="B83">IFERROR(_xlfn.XLOOKUP(A83,Sheet2!$A$2:$A$1453,Sheet2!$B$2:$B$1453),_xlfn.XLOOKUP(A83,TEXT(Sheet2!$A$2:$A$1453,"0"),Sheet2!$B$2:$B$1453,""))</f>
        <v>AVENT NATURAL 3 FEEDING BOTTLE GI</v>
      </c>
      <c r="C83" s="2">
        <v>77</v>
      </c>
      <c r="D83" s="2" cm="1">
        <f t="array" ref="D83">_xlfn.LET(_xlpm.v,IFERROR(_xlfn.XLOOKUP(A83,Sheet2!$A$2:$A$1453,Sheet2!$D$2:$D$1453),_xlfn.XLOOKUP(A83,TEXT(Sheet2!$A$2:$A$1453,"0"),Sheet2!$D$2:$D$1453,"")),IF(_xlpm.v="","",IF(_xlpm.v&lt;1,_xlpm.v*100,_xlpm.v)))</f>
        <v>15</v>
      </c>
      <c r="E83" s="2">
        <f t="shared" si="1"/>
        <v>65.45</v>
      </c>
      <c r="F83" s="2" t="str" cm="1">
        <f t="array" ref="F83">IFERROR(_xlfn.XLOOKUP(A83,Sheet2!$A$2:$A$1453,Sheet2!$F$2:$F$1453),_xlfn.XLOOKUP(A83,TEXT(Sheet2!$A$2:$A$1453,"0"),Sheet2!$F$2:$F$1453,""))</f>
        <v>26-7-2026</v>
      </c>
      <c r="G83" s="2" t="str" cm="1">
        <f t="array" ref="G83">IFERROR(_xlfn.XLOOKUP(A83,Sheet2!$A$2:$A$1453,Sheet2!$G$2:$G$1453),_xlfn.XLOOKUP(A83,TEXT(Sheet2!$A$2:$A$1453,"0"),Sheet2!$G$2:$G$1453,""))</f>
        <v>6-8-2026</v>
      </c>
    </row>
    <row r="84" spans="1:7" x14ac:dyDescent="0.2">
      <c r="A84" s="1">
        <v>20315040827</v>
      </c>
      <c r="B84" t="str" cm="1">
        <f t="array" ref="B84">IFERROR(_xlfn.XLOOKUP(A84,Sheet2!$A$2:$A$1453,Sheet2!$B$2:$B$1453),_xlfn.XLOOKUP(A84,TEXT(Sheet2!$A$2:$A$1453,"0"),Sheet2!$B$2:$B$1453,""))</f>
        <v>AVENT 376/14 SOOTHER SILICON ULTRA</v>
      </c>
      <c r="C84" s="2">
        <v>57.01</v>
      </c>
      <c r="D84" s="2" cm="1">
        <f t="array" ref="D84">_xlfn.LET(_xlpm.v,IFERROR(_xlfn.XLOOKUP(A84,Sheet2!$A$2:$A$1453,Sheet2!$D$2:$D$1453),_xlfn.XLOOKUP(A84,TEXT(Sheet2!$A$2:$A$1453,"0"),Sheet2!$D$2:$D$1453,"")),IF(_xlpm.v="","",IF(_xlpm.v&lt;1,_xlpm.v*100,_xlpm.v)))</f>
        <v>15</v>
      </c>
      <c r="E84" s="2">
        <f t="shared" si="1"/>
        <v>48.458499999999994</v>
      </c>
      <c r="F84" s="2" t="str" cm="1">
        <f t="array" ref="F84">IFERROR(_xlfn.XLOOKUP(A84,Sheet2!$A$2:$A$1453,Sheet2!$F$2:$F$1453),_xlfn.XLOOKUP(A84,TEXT(Sheet2!$A$2:$A$1453,"0"),Sheet2!$F$2:$F$1453,""))</f>
        <v>26-7-2026</v>
      </c>
      <c r="G84" s="2" t="str" cm="1">
        <f t="array" ref="G84">IFERROR(_xlfn.XLOOKUP(A84,Sheet2!$A$2:$A$1453,Sheet2!$G$2:$G$1453),_xlfn.XLOOKUP(A84,TEXT(Sheet2!$A$2:$A$1453,"0"),Sheet2!$G$2:$G$1453,""))</f>
        <v>6-8-2026</v>
      </c>
    </row>
    <row r="85" spans="1:7" x14ac:dyDescent="0.2">
      <c r="A85" s="1">
        <v>20315040736</v>
      </c>
      <c r="B85" t="str" cm="1">
        <f t="array" ref="B85">IFERROR(_xlfn.XLOOKUP(A85,Sheet2!$A$2:$A$1453,Sheet2!$B$2:$B$1453),_xlfn.XLOOKUP(A85,TEXT(Sheet2!$A$2:$A$1453,"0"),Sheet2!$B$2:$B$1453,""))</f>
        <v>AVENT 135/07 MILK POWDER DISPENSER</v>
      </c>
      <c r="C85" s="2">
        <v>53.02</v>
      </c>
      <c r="D85" s="2" cm="1">
        <f t="array" ref="D85">_xlfn.LET(_xlpm.v,IFERROR(_xlfn.XLOOKUP(A85,Sheet2!$A$2:$A$1453,Sheet2!$D$2:$D$1453),_xlfn.XLOOKUP(A85,TEXT(Sheet2!$A$2:$A$1453,"0"),Sheet2!$D$2:$D$1453,"")),IF(_xlpm.v="","",IF(_xlpm.v&lt;1,_xlpm.v*100,_xlpm.v)))</f>
        <v>15</v>
      </c>
      <c r="E85" s="2">
        <f t="shared" si="1"/>
        <v>45.067</v>
      </c>
      <c r="F85" s="2" t="str" cm="1">
        <f t="array" ref="F85">IFERROR(_xlfn.XLOOKUP(A85,Sheet2!$A$2:$A$1453,Sheet2!$F$2:$F$1453),_xlfn.XLOOKUP(A85,TEXT(Sheet2!$A$2:$A$1453,"0"),Sheet2!$F$2:$F$1453,""))</f>
        <v>26-7-2026</v>
      </c>
      <c r="G85" s="2" t="str" cm="1">
        <f t="array" ref="G85">IFERROR(_xlfn.XLOOKUP(A85,Sheet2!$A$2:$A$1453,Sheet2!$G$2:$G$1453),_xlfn.XLOOKUP(A85,TEXT(Sheet2!$A$2:$A$1453,"0"),Sheet2!$G$2:$G$1453,""))</f>
        <v>6-8-2026</v>
      </c>
    </row>
    <row r="86" spans="1:7" x14ac:dyDescent="0.2">
      <c r="A86" s="1">
        <v>20309503891</v>
      </c>
      <c r="B86" t="str" cm="1">
        <f t="array" ref="B86">IFERROR(_xlfn.XLOOKUP(A86,Sheet2!$A$2:$A$1453,Sheet2!$B$2:$B$1453),_xlfn.XLOOKUP(A86,TEXT(Sheet2!$A$2:$A$1453,"0"),Sheet2!$B$2:$B$1453,""))</f>
        <v>AVENT 106/01 ANTI-COLIC BOTTLE 330 M</v>
      </c>
      <c r="C86" s="2">
        <v>63.02</v>
      </c>
      <c r="D86" s="2" cm="1">
        <f t="array" ref="D86">_xlfn.LET(_xlpm.v,IFERROR(_xlfn.XLOOKUP(A86,Sheet2!$A$2:$A$1453,Sheet2!$D$2:$D$1453),_xlfn.XLOOKUP(A86,TEXT(Sheet2!$A$2:$A$1453,"0"),Sheet2!$D$2:$D$1453,"")),IF(_xlpm.v="","",IF(_xlpm.v&lt;1,_xlpm.v*100,_xlpm.v)))</f>
        <v>15</v>
      </c>
      <c r="E86" s="2">
        <f t="shared" si="1"/>
        <v>53.567</v>
      </c>
      <c r="F86" s="2" t="str" cm="1">
        <f t="array" ref="F86">IFERROR(_xlfn.XLOOKUP(A86,Sheet2!$A$2:$A$1453,Sheet2!$F$2:$F$1453),_xlfn.XLOOKUP(A86,TEXT(Sheet2!$A$2:$A$1453,"0"),Sheet2!$F$2:$F$1453,""))</f>
        <v>26-7-2026</v>
      </c>
      <c r="G86" s="2" t="str" cm="1">
        <f t="array" ref="G86">IFERROR(_xlfn.XLOOKUP(A86,Sheet2!$A$2:$A$1453,Sheet2!$G$2:$G$1453),_xlfn.XLOOKUP(A86,TEXT(Sheet2!$A$2:$A$1453,"0"),Sheet2!$G$2:$G$1453,""))</f>
        <v>6-8-2026</v>
      </c>
    </row>
    <row r="87" spans="1:7" x14ac:dyDescent="0.2">
      <c r="A87" s="1">
        <v>20309503890</v>
      </c>
      <c r="B87" t="str" cm="1">
        <f t="array" ref="B87">IFERROR(_xlfn.XLOOKUP(A87,Sheet2!$A$2:$A$1453,Sheet2!$B$2:$B$1453),_xlfn.XLOOKUP(A87,TEXT(Sheet2!$A$2:$A$1453,"0"),Sheet2!$B$2:$B$1453,""))</f>
        <v>AVENT 100/01 ANTI-COLIC BOTTLE 125 M</v>
      </c>
      <c r="C87" s="2">
        <v>48.01</v>
      </c>
      <c r="D87" s="2" cm="1">
        <f t="array" ref="D87">_xlfn.LET(_xlpm.v,IFERROR(_xlfn.XLOOKUP(A87,Sheet2!$A$2:$A$1453,Sheet2!$D$2:$D$1453),_xlfn.XLOOKUP(A87,TEXT(Sheet2!$A$2:$A$1453,"0"),Sheet2!$D$2:$D$1453,"")),IF(_xlpm.v="","",IF(_xlpm.v&lt;1,_xlpm.v*100,_xlpm.v)))</f>
        <v>15</v>
      </c>
      <c r="E87" s="2">
        <f t="shared" si="1"/>
        <v>40.808499999999995</v>
      </c>
      <c r="F87" s="2" t="str" cm="1">
        <f t="array" ref="F87">IFERROR(_xlfn.XLOOKUP(A87,Sheet2!$A$2:$A$1453,Sheet2!$F$2:$F$1453),_xlfn.XLOOKUP(A87,TEXT(Sheet2!$A$2:$A$1453,"0"),Sheet2!$F$2:$F$1453,""))</f>
        <v>26-7-2026</v>
      </c>
      <c r="G87" s="2" t="str" cm="1">
        <f t="array" ref="G87">IFERROR(_xlfn.XLOOKUP(A87,Sheet2!$A$2:$A$1453,Sheet2!$G$2:$G$1453),_xlfn.XLOOKUP(A87,TEXT(Sheet2!$A$2:$A$1453,"0"),Sheet2!$G$2:$G$1453,""))</f>
        <v>6-8-2026</v>
      </c>
    </row>
    <row r="88" spans="1:7" x14ac:dyDescent="0.2">
      <c r="A88" s="1">
        <v>20315040178</v>
      </c>
      <c r="B88" t="str" cm="1">
        <f t="array" ref="B88">IFERROR(_xlfn.XLOOKUP(A88,Sheet2!$A$2:$A$1453,Sheet2!$B$2:$B$1453),_xlfn.XLOOKUP(A88,TEXT(Sheet2!$A$2:$A$1453,"0"),Sheet2!$B$2:$B$1453,""))</f>
        <v>AVENT 085/61 ULTRA AIR PACIFIER 6-18M</v>
      </c>
      <c r="C88" s="2">
        <v>55</v>
      </c>
      <c r="D88" s="2" cm="1">
        <f t="array" ref="D88">_xlfn.LET(_xlpm.v,IFERROR(_xlfn.XLOOKUP(A88,Sheet2!$A$2:$A$1453,Sheet2!$D$2:$D$1453),_xlfn.XLOOKUP(A88,TEXT(Sheet2!$A$2:$A$1453,"0"),Sheet2!$D$2:$D$1453,"")),IF(_xlpm.v="","",IF(_xlpm.v&lt;1,_xlpm.v*100,_xlpm.v)))</f>
        <v>15</v>
      </c>
      <c r="E88" s="2">
        <f t="shared" si="1"/>
        <v>46.75</v>
      </c>
      <c r="F88" s="2" t="str" cm="1">
        <f t="array" ref="F88">IFERROR(_xlfn.XLOOKUP(A88,Sheet2!$A$2:$A$1453,Sheet2!$F$2:$F$1453),_xlfn.XLOOKUP(A88,TEXT(Sheet2!$A$2:$A$1453,"0"),Sheet2!$F$2:$F$1453,""))</f>
        <v>26-7-2026</v>
      </c>
      <c r="G88" s="2" t="str" cm="1">
        <f t="array" ref="G88">IFERROR(_xlfn.XLOOKUP(A88,Sheet2!$A$2:$A$1453,Sheet2!$G$2:$G$1453),_xlfn.XLOOKUP(A88,TEXT(Sheet2!$A$2:$A$1453,"0"),Sheet2!$G$2:$G$1453,""))</f>
        <v>6-8-2026</v>
      </c>
    </row>
    <row r="89" spans="1:7" x14ac:dyDescent="0.2">
      <c r="A89" s="1">
        <v>20315040826</v>
      </c>
      <c r="B89" t="str" cm="1">
        <f t="array" ref="B89">IFERROR(_xlfn.XLOOKUP(A89,Sheet2!$A$2:$A$1453,Sheet2!$B$2:$B$1453),_xlfn.XLOOKUP(A89,TEXT(Sheet2!$A$2:$A$1453,"0"),Sheet2!$B$2:$B$1453,""))</f>
        <v>AVENT 085/60 SOOTHER SILICON PACIFI</v>
      </c>
      <c r="C89" s="2">
        <v>55</v>
      </c>
      <c r="D89" s="2" cm="1">
        <f t="array" ref="D89">_xlfn.LET(_xlpm.v,IFERROR(_xlfn.XLOOKUP(A89,Sheet2!$A$2:$A$1453,Sheet2!$D$2:$D$1453),_xlfn.XLOOKUP(A89,TEXT(Sheet2!$A$2:$A$1453,"0"),Sheet2!$D$2:$D$1453,"")),IF(_xlpm.v="","",IF(_xlpm.v&lt;1,_xlpm.v*100,_xlpm.v)))</f>
        <v>15</v>
      </c>
      <c r="E89" s="2">
        <f t="shared" si="1"/>
        <v>46.75</v>
      </c>
      <c r="F89" s="2" t="str" cm="1">
        <f t="array" ref="F89">IFERROR(_xlfn.XLOOKUP(A89,Sheet2!$A$2:$A$1453,Sheet2!$F$2:$F$1453),_xlfn.XLOOKUP(A89,TEXT(Sheet2!$A$2:$A$1453,"0"),Sheet2!$F$2:$F$1453,""))</f>
        <v>26-7-2026</v>
      </c>
      <c r="G89" s="2" t="str" cm="1">
        <f t="array" ref="G89">IFERROR(_xlfn.XLOOKUP(A89,Sheet2!$A$2:$A$1453,Sheet2!$G$2:$G$1453),_xlfn.XLOOKUP(A89,TEXT(Sheet2!$A$2:$A$1453,"0"),Sheet2!$G$2:$G$1453,""))</f>
        <v>6-8-2026</v>
      </c>
    </row>
    <row r="90" spans="1:7" x14ac:dyDescent="0.2">
      <c r="A90" s="1">
        <v>20309503896</v>
      </c>
      <c r="B90" t="str" cm="1">
        <f t="array" ref="B90">IFERROR(_xlfn.XLOOKUP(A90,Sheet2!$A$2:$A$1453,Sheet2!$B$2:$B$1453),_xlfn.XLOOKUP(A90,TEXT(Sheet2!$A$2:$A$1453,"0"),Sheet2!$B$2:$B$1453,""))</f>
        <v>AVENT NATURAL 3 FEEDING TEATS THI</v>
      </c>
      <c r="C90" s="2">
        <v>48.01</v>
      </c>
      <c r="D90" s="2" cm="1">
        <f t="array" ref="D90">_xlfn.LET(_xlpm.v,IFERROR(_xlfn.XLOOKUP(A90,Sheet2!$A$2:$A$1453,Sheet2!$D$2:$D$1453),_xlfn.XLOOKUP(A90,TEXT(Sheet2!$A$2:$A$1453,"0"),Sheet2!$D$2:$D$1453,"")),IF(_xlpm.v="","",IF(_xlpm.v&lt;1,_xlpm.v*100,_xlpm.v)))</f>
        <v>15</v>
      </c>
      <c r="E90" s="2">
        <f t="shared" si="1"/>
        <v>40.808499999999995</v>
      </c>
      <c r="F90" s="2" t="str" cm="1">
        <f t="array" ref="F90">IFERROR(_xlfn.XLOOKUP(A90,Sheet2!$A$2:$A$1453,Sheet2!$F$2:$F$1453),_xlfn.XLOOKUP(A90,TEXT(Sheet2!$A$2:$A$1453,"0"),Sheet2!$F$2:$F$1453,""))</f>
        <v>26-7-2026</v>
      </c>
      <c r="G90" s="2" t="str" cm="1">
        <f t="array" ref="G90">IFERROR(_xlfn.XLOOKUP(A90,Sheet2!$A$2:$A$1453,Sheet2!$G$2:$G$1453),_xlfn.XLOOKUP(A90,TEXT(Sheet2!$A$2:$A$1453,"0"),Sheet2!$G$2:$G$1453,""))</f>
        <v>6-8-2026</v>
      </c>
    </row>
    <row r="91" spans="1:7" x14ac:dyDescent="0.2">
      <c r="A91" s="1">
        <v>20309503895</v>
      </c>
      <c r="B91" t="str" cm="1">
        <f t="array" ref="B91">IFERROR(_xlfn.XLOOKUP(A91,Sheet2!$A$2:$A$1453,Sheet2!$B$2:$B$1453),_xlfn.XLOOKUP(A91,TEXT(Sheet2!$A$2:$A$1453,"0"),Sheet2!$B$2:$B$1453,""))</f>
        <v>AVENT NATURAL 3 FEEDING TEATS 3 M</v>
      </c>
      <c r="C91" s="2">
        <v>48.01</v>
      </c>
      <c r="D91" s="2" cm="1">
        <f t="array" ref="D91">_xlfn.LET(_xlpm.v,IFERROR(_xlfn.XLOOKUP(A91,Sheet2!$A$2:$A$1453,Sheet2!$D$2:$D$1453),_xlfn.XLOOKUP(A91,TEXT(Sheet2!$A$2:$A$1453,"0"),Sheet2!$D$2:$D$1453,"")),IF(_xlpm.v="","",IF(_xlpm.v&lt;1,_xlpm.v*100,_xlpm.v)))</f>
        <v>15</v>
      </c>
      <c r="E91" s="2">
        <f t="shared" si="1"/>
        <v>40.808499999999995</v>
      </c>
      <c r="F91" s="2" t="str" cm="1">
        <f t="array" ref="F91">IFERROR(_xlfn.XLOOKUP(A91,Sheet2!$A$2:$A$1453,Sheet2!$F$2:$F$1453),_xlfn.XLOOKUP(A91,TEXT(Sheet2!$A$2:$A$1453,"0"),Sheet2!$F$2:$F$1453,""))</f>
        <v>26-7-2026</v>
      </c>
      <c r="G91" s="2" t="str" cm="1">
        <f t="array" ref="G91">IFERROR(_xlfn.XLOOKUP(A91,Sheet2!$A$2:$A$1453,Sheet2!$G$2:$G$1453),_xlfn.XLOOKUP(A91,TEXT(Sheet2!$A$2:$A$1453,"0"),Sheet2!$G$2:$G$1453,""))</f>
        <v>6-8-2026</v>
      </c>
    </row>
    <row r="92" spans="1:7" x14ac:dyDescent="0.2">
      <c r="A92" s="1">
        <v>20309503893</v>
      </c>
      <c r="B92" t="str" cm="1">
        <f t="array" ref="B92">IFERROR(_xlfn.XLOOKUP(A92,Sheet2!$A$2:$A$1453,Sheet2!$B$2:$B$1453),_xlfn.XLOOKUP(A92,TEXT(Sheet2!$A$2:$A$1453,"0"),Sheet2!$B$2:$B$1453,""))</f>
        <v>AVENT NATURAL 3 FEEDING BOTTLE KO</v>
      </c>
      <c r="C92" s="2">
        <v>77</v>
      </c>
      <c r="D92" s="2" cm="1">
        <f t="array" ref="D92">_xlfn.LET(_xlpm.v,IFERROR(_xlfn.XLOOKUP(A92,Sheet2!$A$2:$A$1453,Sheet2!$D$2:$D$1453),_xlfn.XLOOKUP(A92,TEXT(Sheet2!$A$2:$A$1453,"0"),Sheet2!$D$2:$D$1453,"")),IF(_xlpm.v="","",IF(_xlpm.v&lt;1,_xlpm.v*100,_xlpm.v)))</f>
        <v>15</v>
      </c>
      <c r="E92" s="2">
        <f t="shared" si="1"/>
        <v>65.45</v>
      </c>
      <c r="F92" s="2" t="str" cm="1">
        <f t="array" ref="F92">IFERROR(_xlfn.XLOOKUP(A92,Sheet2!$A$2:$A$1453,Sheet2!$F$2:$F$1453),_xlfn.XLOOKUP(A92,TEXT(Sheet2!$A$2:$A$1453,"0"),Sheet2!$F$2:$F$1453,""))</f>
        <v>26-7-2026</v>
      </c>
      <c r="G92" s="2" t="str" cm="1">
        <f t="array" ref="G92">IFERROR(_xlfn.XLOOKUP(A92,Sheet2!$A$2:$A$1453,Sheet2!$G$2:$G$1453),_xlfn.XLOOKUP(A92,TEXT(Sheet2!$A$2:$A$1453,"0"),Sheet2!$G$2:$G$1453,""))</f>
        <v>6-8-2026</v>
      </c>
    </row>
    <row r="93" spans="1:7" x14ac:dyDescent="0.2">
      <c r="A93" s="1">
        <v>20309503897</v>
      </c>
      <c r="B93" t="str" cm="1">
        <f t="array" ref="B93">IFERROR(_xlfn.XLOOKUP(A93,Sheet2!$A$2:$A$1453,Sheet2!$B$2:$B$1453),_xlfn.XLOOKUP(A93,TEXT(Sheet2!$A$2:$A$1453,"0"),Sheet2!$B$2:$B$1453,""))</f>
        <v>AVENT CLASSIC/CLASSIC PLUS TEATS </v>
      </c>
      <c r="C93" s="2">
        <v>44.02</v>
      </c>
      <c r="D93" s="2" cm="1">
        <f t="array" ref="D93">_xlfn.LET(_xlpm.v,IFERROR(_xlfn.XLOOKUP(A93,Sheet2!$A$2:$A$1453,Sheet2!$D$2:$D$1453),_xlfn.XLOOKUP(A93,TEXT(Sheet2!$A$2:$A$1453,"0"),Sheet2!$D$2:$D$1453,"")),IF(_xlpm.v="","",IF(_xlpm.v&lt;1,_xlpm.v*100,_xlpm.v)))</f>
        <v>15</v>
      </c>
      <c r="E93" s="2">
        <f t="shared" si="1"/>
        <v>37.417000000000002</v>
      </c>
      <c r="F93" s="2" t="str" cm="1">
        <f t="array" ref="F93">IFERROR(_xlfn.XLOOKUP(A93,Sheet2!$A$2:$A$1453,Sheet2!$F$2:$F$1453),_xlfn.XLOOKUP(A93,TEXT(Sheet2!$A$2:$A$1453,"0"),Sheet2!$F$2:$F$1453,""))</f>
        <v>26-7-2026</v>
      </c>
      <c r="G93" s="2" t="str" cm="1">
        <f t="array" ref="G93">IFERROR(_xlfn.XLOOKUP(A93,Sheet2!$A$2:$A$1453,Sheet2!$G$2:$G$1453),_xlfn.XLOOKUP(A93,TEXT(Sheet2!$A$2:$A$1453,"0"),Sheet2!$G$2:$G$1453,""))</f>
        <v>6-8-2026</v>
      </c>
    </row>
    <row r="94" spans="1:7" x14ac:dyDescent="0.2">
      <c r="A94" s="1">
        <v>20309020622</v>
      </c>
      <c r="B94" t="str" cm="1">
        <f t="array" ref="B94">IFERROR(_xlfn.XLOOKUP(A94,Sheet2!$A$2:$A$1453,Sheet2!$B$2:$B$1453),_xlfn.XLOOKUP(A94,TEXT(Sheet2!$A$2:$A$1453,"0"),Sheet2!$B$2:$B$1453,""))</f>
        <v>NIVEA LOTION SENSUAL MUSK 400ML 80072</v>
      </c>
      <c r="C94" s="2">
        <v>27.77</v>
      </c>
      <c r="D94" s="2" cm="1">
        <f t="array" ref="D94">_xlfn.LET(_xlpm.v,IFERROR(_xlfn.XLOOKUP(A94,Sheet2!$A$2:$A$1453,Sheet2!$D$2:$D$1453),_xlfn.XLOOKUP(A94,TEXT(Sheet2!$A$2:$A$1453,"0"),Sheet2!$D$2:$D$1453,"")),IF(_xlpm.v="","",IF(_xlpm.v&lt;1,_xlpm.v*100,_xlpm.v)))</f>
        <v>15</v>
      </c>
      <c r="E94" s="2">
        <f t="shared" si="1"/>
        <v>23.604499999999998</v>
      </c>
      <c r="F94" s="2" t="str" cm="1">
        <f t="array" ref="F94">IFERROR(_xlfn.XLOOKUP(A94,Sheet2!$A$2:$A$1453,Sheet2!$F$2:$F$1453),_xlfn.XLOOKUP(A94,TEXT(Sheet2!$A$2:$A$1453,"0"),Sheet2!$F$2:$F$1453,""))</f>
        <v>26-7-2026</v>
      </c>
      <c r="G94" s="2" t="str" cm="1">
        <f t="array" ref="G94">IFERROR(_xlfn.XLOOKUP(A94,Sheet2!$A$2:$A$1453,Sheet2!$G$2:$G$1453),_xlfn.XLOOKUP(A94,TEXT(Sheet2!$A$2:$A$1453,"0"),Sheet2!$G$2:$G$1453,""))</f>
        <v>6-8-2026</v>
      </c>
    </row>
    <row r="95" spans="1:7" x14ac:dyDescent="0.2">
      <c r="A95" s="1">
        <v>20309020569</v>
      </c>
      <c r="B95" t="str" cm="1">
        <f t="array" ref="B95">IFERROR(_xlfn.XLOOKUP(A95,Sheet2!$A$2:$A$1453,Sheet2!$B$2:$B$1453),_xlfn.XLOOKUP(A95,TEXT(Sheet2!$A$2:$A$1453,"0"),Sheet2!$B$2:$B$1453,""))</f>
        <v>NIVEA LOTION NORISHING EXTRA DRY 625 ML 80010</v>
      </c>
      <c r="C95" s="2">
        <v>52.1</v>
      </c>
      <c r="D95" s="2" cm="1">
        <f t="array" ref="D95">_xlfn.LET(_xlpm.v,IFERROR(_xlfn.XLOOKUP(A95,Sheet2!$A$2:$A$1453,Sheet2!$D$2:$D$1453),_xlfn.XLOOKUP(A95,TEXT(Sheet2!$A$2:$A$1453,"0"),Sheet2!$D$2:$D$1453,"")),IF(_xlpm.v="","",IF(_xlpm.v&lt;1,_xlpm.v*100,_xlpm.v)))</f>
        <v>15</v>
      </c>
      <c r="E95" s="2">
        <f t="shared" si="1"/>
        <v>44.284999999999997</v>
      </c>
      <c r="F95" s="2" t="str" cm="1">
        <f t="array" ref="F95">IFERROR(_xlfn.XLOOKUP(A95,Sheet2!$A$2:$A$1453,Sheet2!$F$2:$F$1453),_xlfn.XLOOKUP(A95,TEXT(Sheet2!$A$2:$A$1453,"0"),Sheet2!$F$2:$F$1453,""))</f>
        <v>26-7-2026</v>
      </c>
      <c r="G95" s="2" t="str" cm="1">
        <f t="array" ref="G95">IFERROR(_xlfn.XLOOKUP(A95,Sheet2!$A$2:$A$1453,Sheet2!$G$2:$G$1453),_xlfn.XLOOKUP(A95,TEXT(Sheet2!$A$2:$A$1453,"0"),Sheet2!$G$2:$G$1453,""))</f>
        <v>6-8-2026</v>
      </c>
    </row>
    <row r="96" spans="1:7" x14ac:dyDescent="0.2">
      <c r="A96" s="1">
        <v>20309020034</v>
      </c>
      <c r="B96" t="str" cm="1">
        <f t="array" ref="B96">IFERROR(_xlfn.XLOOKUP(A96,Sheet2!$A$2:$A$1453,Sheet2!$B$2:$B$1453),_xlfn.XLOOKUP(A96,TEXT(Sheet2!$A$2:$A$1453,"0"),Sheet2!$B$2:$B$1453,""))</f>
        <v>NIVEA LOTION SMOOTH SENSATION SHEYA 250ML 80017</v>
      </c>
      <c r="C96" s="2">
        <v>20.04</v>
      </c>
      <c r="D96" s="2" cm="1">
        <f t="array" ref="D96">_xlfn.LET(_xlpm.v,IFERROR(_xlfn.XLOOKUP(A96,Sheet2!$A$2:$A$1453,Sheet2!$D$2:$D$1453),_xlfn.XLOOKUP(A96,TEXT(Sheet2!$A$2:$A$1453,"0"),Sheet2!$D$2:$D$1453,"")),IF(_xlpm.v="","",IF(_xlpm.v&lt;1,_xlpm.v*100,_xlpm.v)))</f>
        <v>15</v>
      </c>
      <c r="E96" s="2">
        <f t="shared" si="1"/>
        <v>17.033999999999999</v>
      </c>
      <c r="F96" s="2" t="str" cm="1">
        <f t="array" ref="F96">IFERROR(_xlfn.XLOOKUP(A96,Sheet2!$A$2:$A$1453,Sheet2!$F$2:$F$1453),_xlfn.XLOOKUP(A96,TEXT(Sheet2!$A$2:$A$1453,"0"),Sheet2!$F$2:$F$1453,""))</f>
        <v>26-7-2026</v>
      </c>
      <c r="G96" s="2" t="str" cm="1">
        <f t="array" ref="G96">IFERROR(_xlfn.XLOOKUP(A96,Sheet2!$A$2:$A$1453,Sheet2!$G$2:$G$1453),_xlfn.XLOOKUP(A96,TEXT(Sheet2!$A$2:$A$1453,"0"),Sheet2!$G$2:$G$1453,""))</f>
        <v>6-8-2026</v>
      </c>
    </row>
    <row r="97" spans="1:7" x14ac:dyDescent="0.2">
      <c r="A97" s="1">
        <v>20309020029</v>
      </c>
      <c r="B97" t="str" cm="1">
        <f t="array" ref="B97">IFERROR(_xlfn.XLOOKUP(A97,Sheet2!$A$2:$A$1453,Sheet2!$B$2:$B$1453),_xlfn.XLOOKUP(A97,TEXT(Sheet2!$A$2:$A$1453,"0"),Sheet2!$B$2:$B$1453,""))</f>
        <v>NIVEA LOTION SMOOTH SENSATION  400 ML 80016</v>
      </c>
      <c r="C97" s="2">
        <v>27.77</v>
      </c>
      <c r="D97" s="2" cm="1">
        <f t="array" ref="D97">_xlfn.LET(_xlpm.v,IFERROR(_xlfn.XLOOKUP(A97,Sheet2!$A$2:$A$1453,Sheet2!$D$2:$D$1453),_xlfn.XLOOKUP(A97,TEXT(Sheet2!$A$2:$A$1453,"0"),Sheet2!$D$2:$D$1453,"")),IF(_xlpm.v="","",IF(_xlpm.v&lt;1,_xlpm.v*100,_xlpm.v)))</f>
        <v>15</v>
      </c>
      <c r="E97" s="2">
        <f t="shared" si="1"/>
        <v>23.604499999999998</v>
      </c>
      <c r="F97" s="2" t="str" cm="1">
        <f t="array" ref="F97">IFERROR(_xlfn.XLOOKUP(A97,Sheet2!$A$2:$A$1453,Sheet2!$F$2:$F$1453),_xlfn.XLOOKUP(A97,TEXT(Sheet2!$A$2:$A$1453,"0"),Sheet2!$F$2:$F$1453,""))</f>
        <v>26-7-2026</v>
      </c>
      <c r="G97" s="2" t="str" cm="1">
        <f t="array" ref="G97">IFERROR(_xlfn.XLOOKUP(A97,Sheet2!$A$2:$A$1453,Sheet2!$G$2:$G$1453),_xlfn.XLOOKUP(A97,TEXT(Sheet2!$A$2:$A$1453,"0"),Sheet2!$G$2:$G$1453,""))</f>
        <v>6-8-2026</v>
      </c>
    </row>
    <row r="98" spans="1:7" x14ac:dyDescent="0.2">
      <c r="A98" s="1">
        <v>20309020054</v>
      </c>
      <c r="B98" t="str" cm="1">
        <f t="array" ref="B98">IFERROR(_xlfn.XLOOKUP(A98,Sheet2!$A$2:$A$1453,Sheet2!$B$2:$B$1453),_xlfn.XLOOKUP(A98,TEXT(Sheet2!$A$2:$A$1453,"0"),Sheet2!$B$2:$B$1453,""))</f>
        <v>NIVEA LOTION NATURAL FAIRNESS 400ML 70078</v>
      </c>
      <c r="C98" s="2">
        <v>33.81</v>
      </c>
      <c r="D98" s="2" cm="1">
        <f t="array" ref="D98">_xlfn.LET(_xlpm.v,IFERROR(_xlfn.XLOOKUP(A98,Sheet2!$A$2:$A$1453,Sheet2!$D$2:$D$1453),_xlfn.XLOOKUP(A98,TEXT(Sheet2!$A$2:$A$1453,"0"),Sheet2!$D$2:$D$1453,"")),IF(_xlpm.v="","",IF(_xlpm.v&lt;1,_xlpm.v*100,_xlpm.v)))</f>
        <v>15</v>
      </c>
      <c r="E98" s="2">
        <f t="shared" si="1"/>
        <v>28.738500000000002</v>
      </c>
      <c r="F98" s="2" t="str" cm="1">
        <f t="array" ref="F98">IFERROR(_xlfn.XLOOKUP(A98,Sheet2!$A$2:$A$1453,Sheet2!$F$2:$F$1453),_xlfn.XLOOKUP(A98,TEXT(Sheet2!$A$2:$A$1453,"0"),Sheet2!$F$2:$F$1453,""))</f>
        <v>26-7-2026</v>
      </c>
      <c r="G98" s="2" t="str" cm="1">
        <f t="array" ref="G98">IFERROR(_xlfn.XLOOKUP(A98,Sheet2!$A$2:$A$1453,Sheet2!$G$2:$G$1453),_xlfn.XLOOKUP(A98,TEXT(Sheet2!$A$2:$A$1453,"0"),Sheet2!$G$2:$G$1453,""))</f>
        <v>6-8-2026</v>
      </c>
    </row>
    <row r="99" spans="1:7" x14ac:dyDescent="0.2">
      <c r="A99" s="1">
        <v>20309020053</v>
      </c>
      <c r="B99" t="str" cm="1">
        <f t="array" ref="B99">IFERROR(_xlfn.XLOOKUP(A99,Sheet2!$A$2:$A$1453,Sheet2!$B$2:$B$1453),_xlfn.XLOOKUP(A99,TEXT(Sheet2!$A$2:$A$1453,"0"),Sheet2!$B$2:$B$1453,""))</f>
        <v>NIVEA LOTION NATURAL FAIRNESS 250ML 80021</v>
      </c>
      <c r="C99" s="2">
        <v>21.13</v>
      </c>
      <c r="D99" s="2" cm="1">
        <f t="array" ref="D99">_xlfn.LET(_xlpm.v,IFERROR(_xlfn.XLOOKUP(A99,Sheet2!$A$2:$A$1453,Sheet2!$D$2:$D$1453),_xlfn.XLOOKUP(A99,TEXT(Sheet2!$A$2:$A$1453,"0"),Sheet2!$D$2:$D$1453,"")),IF(_xlpm.v="","",IF(_xlpm.v&lt;1,_xlpm.v*100,_xlpm.v)))</f>
        <v>15</v>
      </c>
      <c r="E99" s="2">
        <f t="shared" si="1"/>
        <v>17.9605</v>
      </c>
      <c r="F99" s="2" t="str" cm="1">
        <f t="array" ref="F99">IFERROR(_xlfn.XLOOKUP(A99,Sheet2!$A$2:$A$1453,Sheet2!$F$2:$F$1453),_xlfn.XLOOKUP(A99,TEXT(Sheet2!$A$2:$A$1453,"0"),Sheet2!$F$2:$F$1453,""))</f>
        <v>26-7-2026</v>
      </c>
      <c r="G99" s="2" t="str" cm="1">
        <f t="array" ref="G99">IFERROR(_xlfn.XLOOKUP(A99,Sheet2!$A$2:$A$1453,Sheet2!$G$2:$G$1453),_xlfn.XLOOKUP(A99,TEXT(Sheet2!$A$2:$A$1453,"0"),Sheet2!$G$2:$G$1453,""))</f>
        <v>6-8-2026</v>
      </c>
    </row>
    <row r="100" spans="1:7" x14ac:dyDescent="0.2">
      <c r="A100" s="1">
        <v>20309020572</v>
      </c>
      <c r="B100" t="str" cm="1">
        <f t="array" ref="B100">IFERROR(_xlfn.XLOOKUP(A100,Sheet2!$A$2:$A$1453,Sheet2!$B$2:$B$1453),_xlfn.XLOOKUP(A100,TEXT(Sheet2!$A$2:$A$1453,"0"),Sheet2!$B$2:$B$1453,""))</f>
        <v>NIVEA LOTION NATURAL FAIRNESS  625 ML 70039</v>
      </c>
      <c r="C100" s="2">
        <v>39.24</v>
      </c>
      <c r="D100" s="2" cm="1">
        <f t="array" ref="D100">_xlfn.LET(_xlpm.v,IFERROR(_xlfn.XLOOKUP(A100,Sheet2!$A$2:$A$1453,Sheet2!$D$2:$D$1453),_xlfn.XLOOKUP(A100,TEXT(Sheet2!$A$2:$A$1453,"0"),Sheet2!$D$2:$D$1453,"")),IF(_xlpm.v="","",IF(_xlpm.v&lt;1,_xlpm.v*100,_xlpm.v)))</f>
        <v>15</v>
      </c>
      <c r="E100" s="2">
        <f t="shared" si="1"/>
        <v>33.353999999999999</v>
      </c>
      <c r="F100" s="2" t="str" cm="1">
        <f t="array" ref="F100">IFERROR(_xlfn.XLOOKUP(A100,Sheet2!$A$2:$A$1453,Sheet2!$F$2:$F$1453),_xlfn.XLOOKUP(A100,TEXT(Sheet2!$A$2:$A$1453,"0"),Sheet2!$F$2:$F$1453,""))</f>
        <v>26-7-2026</v>
      </c>
      <c r="G100" s="2" t="str" cm="1">
        <f t="array" ref="G100">IFERROR(_xlfn.XLOOKUP(A100,Sheet2!$A$2:$A$1453,Sheet2!$G$2:$G$1453),_xlfn.XLOOKUP(A100,TEXT(Sheet2!$A$2:$A$1453,"0"),Sheet2!$G$2:$G$1453,""))</f>
        <v>6-8-2026</v>
      </c>
    </row>
    <row r="101" spans="1:7" x14ac:dyDescent="0.2">
      <c r="A101" s="1">
        <v>20309011308</v>
      </c>
      <c r="B101" t="str" cm="1">
        <f t="array" ref="B101">IFERROR(_xlfn.XLOOKUP(A101,Sheet2!$A$2:$A$1453,Sheet2!$B$2:$B$1453),_xlfn.XLOOKUP(A101,TEXT(Sheet2!$A$2:$A$1453,"0"),Sheet2!$B$2:$B$1453,""))</f>
        <v>NIVEA LOTION COCO W /PUMP 625 ML 80075</v>
      </c>
      <c r="C101" s="2">
        <v>38.28</v>
      </c>
      <c r="D101" s="2" cm="1">
        <f t="array" ref="D101">_xlfn.LET(_xlpm.v,IFERROR(_xlfn.XLOOKUP(A101,Sheet2!$A$2:$A$1453,Sheet2!$D$2:$D$1453),_xlfn.XLOOKUP(A101,TEXT(Sheet2!$A$2:$A$1453,"0"),Sheet2!$D$2:$D$1453,"")),IF(_xlpm.v="","",IF(_xlpm.v&lt;1,_xlpm.v*100,_xlpm.v)))</f>
        <v>15</v>
      </c>
      <c r="E101" s="2">
        <f t="shared" si="1"/>
        <v>32.537999999999997</v>
      </c>
      <c r="F101" s="2" t="str" cm="1">
        <f t="array" ref="F101">IFERROR(_xlfn.XLOOKUP(A101,Sheet2!$A$2:$A$1453,Sheet2!$F$2:$F$1453),_xlfn.XLOOKUP(A101,TEXT(Sheet2!$A$2:$A$1453,"0"),Sheet2!$F$2:$F$1453,""))</f>
        <v>26-7-2026</v>
      </c>
      <c r="G101" s="2" t="str" cm="1">
        <f t="array" ref="G101">IFERROR(_xlfn.XLOOKUP(A101,Sheet2!$A$2:$A$1453,Sheet2!$G$2:$G$1453),_xlfn.XLOOKUP(A101,TEXT(Sheet2!$A$2:$A$1453,"0"),Sheet2!$G$2:$G$1453,""))</f>
        <v>6-8-2026</v>
      </c>
    </row>
    <row r="102" spans="1:7" x14ac:dyDescent="0.2">
      <c r="A102" s="1">
        <v>20309020316</v>
      </c>
      <c r="B102" t="str" cm="1">
        <f t="array" ref="B102">IFERROR(_xlfn.XLOOKUP(A102,Sheet2!$A$2:$A$1453,Sheet2!$B$2:$B$1453),_xlfn.XLOOKUP(A102,TEXT(Sheet2!$A$2:$A$1453,"0"),Sheet2!$B$2:$B$1453,""))</f>
        <v>NIVEA LOTION COCO 400ML 70602</v>
      </c>
      <c r="C102" s="2">
        <v>27.77</v>
      </c>
      <c r="D102" s="2" cm="1">
        <f t="array" ref="D102">_xlfn.LET(_xlpm.v,IFERROR(_xlfn.XLOOKUP(A102,Sheet2!$A$2:$A$1453,Sheet2!$D$2:$D$1453),_xlfn.XLOOKUP(A102,TEXT(Sheet2!$A$2:$A$1453,"0"),Sheet2!$D$2:$D$1453,"")),IF(_xlpm.v="","",IF(_xlpm.v&lt;1,_xlpm.v*100,_xlpm.v)))</f>
        <v>15</v>
      </c>
      <c r="E102" s="2">
        <f t="shared" si="1"/>
        <v>23.604499999999998</v>
      </c>
      <c r="F102" s="2" t="str" cm="1">
        <f t="array" ref="F102">IFERROR(_xlfn.XLOOKUP(A102,Sheet2!$A$2:$A$1453,Sheet2!$F$2:$F$1453),_xlfn.XLOOKUP(A102,TEXT(Sheet2!$A$2:$A$1453,"0"),Sheet2!$F$2:$F$1453,""))</f>
        <v>26-7-2026</v>
      </c>
      <c r="G102" s="2" t="str" cm="1">
        <f t="array" ref="G102">IFERROR(_xlfn.XLOOKUP(A102,Sheet2!$A$2:$A$1453,Sheet2!$G$2:$G$1453),_xlfn.XLOOKUP(A102,TEXT(Sheet2!$A$2:$A$1453,"0"),Sheet2!$G$2:$G$1453,""))</f>
        <v>6-8-2026</v>
      </c>
    </row>
    <row r="103" spans="1:7" x14ac:dyDescent="0.2">
      <c r="A103" s="1">
        <v>20309020575</v>
      </c>
      <c r="B103" t="str" cm="1">
        <f t="array" ref="B103">IFERROR(_xlfn.XLOOKUP(A103,Sheet2!$A$2:$A$1453,Sheet2!$B$2:$B$1453),_xlfn.XLOOKUP(A103,TEXT(Sheet2!$A$2:$A$1453,"0"),Sheet2!$B$2:$B$1453,""))</f>
        <v>NIVEA LOTION COCO 250 ML 80073</v>
      </c>
      <c r="C103" s="2">
        <v>20.04</v>
      </c>
      <c r="D103" s="2" cm="1">
        <f t="array" ref="D103">_xlfn.LET(_xlpm.v,IFERROR(_xlfn.XLOOKUP(A103,Sheet2!$A$2:$A$1453,Sheet2!$D$2:$D$1453),_xlfn.XLOOKUP(A103,TEXT(Sheet2!$A$2:$A$1453,"0"),Sheet2!$D$2:$D$1453,"")),IF(_xlpm.v="","",IF(_xlpm.v&lt;1,_xlpm.v*100,_xlpm.v)))</f>
        <v>15</v>
      </c>
      <c r="E103" s="2">
        <f t="shared" si="1"/>
        <v>17.033999999999999</v>
      </c>
      <c r="F103" s="2" t="str" cm="1">
        <f t="array" ref="F103">IFERROR(_xlfn.XLOOKUP(A103,Sheet2!$A$2:$A$1453,Sheet2!$F$2:$F$1453),_xlfn.XLOOKUP(A103,TEXT(Sheet2!$A$2:$A$1453,"0"),Sheet2!$F$2:$F$1453,""))</f>
        <v>26-7-2026</v>
      </c>
      <c r="G103" s="2" t="str" cm="1">
        <f t="array" ref="G103">IFERROR(_xlfn.XLOOKUP(A103,Sheet2!$A$2:$A$1453,Sheet2!$G$2:$G$1453),_xlfn.XLOOKUP(A103,TEXT(Sheet2!$A$2:$A$1453,"0"),Sheet2!$G$2:$G$1453,""))</f>
        <v>6-8-2026</v>
      </c>
    </row>
    <row r="104" spans="1:7" x14ac:dyDescent="0.2">
      <c r="A104" s="1">
        <v>20309021431</v>
      </c>
      <c r="B104" t="str" cm="1">
        <f t="array" ref="B104">IFERROR(_xlfn.XLOOKUP(A104,Sheet2!$A$2:$A$1453,Sheet2!$B$2:$B$1453),_xlfn.XLOOKUP(A104,TEXT(Sheet2!$A$2:$A$1453,"0"),Sheet2!$B$2:$B$1453,""))</f>
        <v>NIVEA BODY LOTION ALOE VERA 400 ML 71471</v>
      </c>
      <c r="C104" s="2">
        <v>27.77</v>
      </c>
      <c r="D104" s="2" cm="1">
        <f t="array" ref="D104">_xlfn.LET(_xlpm.v,IFERROR(_xlfn.XLOOKUP(A104,Sheet2!$A$2:$A$1453,Sheet2!$D$2:$D$1453),_xlfn.XLOOKUP(A104,TEXT(Sheet2!$A$2:$A$1453,"0"),Sheet2!$D$2:$D$1453,"")),IF(_xlpm.v="","",IF(_xlpm.v&lt;1,_xlpm.v*100,_xlpm.v)))</f>
        <v>15</v>
      </c>
      <c r="E104" s="2">
        <f t="shared" si="1"/>
        <v>23.604499999999998</v>
      </c>
      <c r="F104" s="2" t="str" cm="1">
        <f t="array" ref="F104">IFERROR(_xlfn.XLOOKUP(A104,Sheet2!$A$2:$A$1453,Sheet2!$F$2:$F$1453),_xlfn.XLOOKUP(A104,TEXT(Sheet2!$A$2:$A$1453,"0"),Sheet2!$F$2:$F$1453,""))</f>
        <v>26-7-2026</v>
      </c>
      <c r="G104" s="2" t="str" cm="1">
        <f t="array" ref="G104">IFERROR(_xlfn.XLOOKUP(A104,Sheet2!$A$2:$A$1453,Sheet2!$G$2:$G$1453),_xlfn.XLOOKUP(A104,TEXT(Sheet2!$A$2:$A$1453,"0"),Sheet2!$G$2:$G$1453,""))</f>
        <v>6-8-2026</v>
      </c>
    </row>
    <row r="105" spans="1:7" x14ac:dyDescent="0.2">
      <c r="A105" s="1">
        <v>20309021430</v>
      </c>
      <c r="B105" t="str" cm="1">
        <f t="array" ref="B105">IFERROR(_xlfn.XLOOKUP(A105,Sheet2!$A$2:$A$1453,Sheet2!$B$2:$B$1453),_xlfn.XLOOKUP(A105,TEXT(Sheet2!$A$2:$A$1453,"0"),Sheet2!$B$2:$B$1453,""))</f>
        <v>NIVEA BODY LOTION ALOE VERA 250 ML 71470</v>
      </c>
      <c r="C105" s="2">
        <v>20.04</v>
      </c>
      <c r="D105" s="2" cm="1">
        <f t="array" ref="D105">_xlfn.LET(_xlpm.v,IFERROR(_xlfn.XLOOKUP(A105,Sheet2!$A$2:$A$1453,Sheet2!$D$2:$D$1453),_xlfn.XLOOKUP(A105,TEXT(Sheet2!$A$2:$A$1453,"0"),Sheet2!$D$2:$D$1453,"")),IF(_xlpm.v="","",IF(_xlpm.v&lt;1,_xlpm.v*100,_xlpm.v)))</f>
        <v>15</v>
      </c>
      <c r="E105" s="2">
        <f t="shared" si="1"/>
        <v>17.033999999999999</v>
      </c>
      <c r="F105" s="2" t="str" cm="1">
        <f t="array" ref="F105">IFERROR(_xlfn.XLOOKUP(A105,Sheet2!$A$2:$A$1453,Sheet2!$F$2:$F$1453),_xlfn.XLOOKUP(A105,TEXT(Sheet2!$A$2:$A$1453,"0"),Sheet2!$F$2:$F$1453,""))</f>
        <v>26-7-2026</v>
      </c>
      <c r="G105" s="2" t="str" cm="1">
        <f t="array" ref="G105">IFERROR(_xlfn.XLOOKUP(A105,Sheet2!$A$2:$A$1453,Sheet2!$G$2:$G$1453),_xlfn.XLOOKUP(A105,TEXT(Sheet2!$A$2:$A$1453,"0"),Sheet2!$G$2:$G$1453,""))</f>
        <v>6-8-2026</v>
      </c>
    </row>
    <row r="106" spans="1:7" x14ac:dyDescent="0.2">
      <c r="A106" s="1">
        <v>20309020028</v>
      </c>
      <c r="B106" t="str" cm="1">
        <f t="array" ref="B106">IFERROR(_xlfn.XLOOKUP(A106,Sheet2!$A$2:$A$1453,Sheet2!$B$2:$B$1453),_xlfn.XLOOKUP(A106,TEXT(Sheet2!$A$2:$A$1453,"0"),Sheet2!$B$2:$B$1453,""))</f>
        <v>NIVEA BODY ESSENTIAIS EXPRESS HYDRATION LOTION 250 ML70059</v>
      </c>
      <c r="C106" s="2">
        <v>20.04</v>
      </c>
      <c r="D106" s="2" cm="1">
        <f t="array" ref="D106">_xlfn.LET(_xlpm.v,IFERROR(_xlfn.XLOOKUP(A106,Sheet2!$A$2:$A$1453,Sheet2!$D$2:$D$1453),_xlfn.XLOOKUP(A106,TEXT(Sheet2!$A$2:$A$1453,"0"),Sheet2!$D$2:$D$1453,"")),IF(_xlpm.v="","",IF(_xlpm.v&lt;1,_xlpm.v*100,_xlpm.v)))</f>
        <v>15</v>
      </c>
      <c r="E106" s="2">
        <f t="shared" si="1"/>
        <v>17.033999999999999</v>
      </c>
      <c r="F106" s="2" t="str" cm="1">
        <f t="array" ref="F106">IFERROR(_xlfn.XLOOKUP(A106,Sheet2!$A$2:$A$1453,Sheet2!$F$2:$F$1453),_xlfn.XLOOKUP(A106,TEXT(Sheet2!$A$2:$A$1453,"0"),Sheet2!$F$2:$F$1453,""))</f>
        <v>26-7-2026</v>
      </c>
      <c r="G106" s="2" t="str" cm="1">
        <f t="array" ref="G106">IFERROR(_xlfn.XLOOKUP(A106,Sheet2!$A$2:$A$1453,Sheet2!$G$2:$G$1453),_xlfn.XLOOKUP(A106,TEXT(Sheet2!$A$2:$A$1453,"0"),Sheet2!$G$2:$G$1453,""))</f>
        <v>6-8-2026</v>
      </c>
    </row>
    <row r="107" spans="1:7" x14ac:dyDescent="0.2">
      <c r="A107" s="1">
        <v>20309060217</v>
      </c>
      <c r="B107" t="str" cm="1">
        <f t="array" ref="B107">IFERROR(_xlfn.XLOOKUP(A107,Sheet2!$A$2:$A$1453,Sheet2!$B$2:$B$1453),_xlfn.XLOOKUP(A107,TEXT(Sheet2!$A$2:$A$1453,"0"),Sheet2!$B$2:$B$1453,""))</f>
        <v>NIVEA STICK PEARL BEAUTY  50ML 80105</v>
      </c>
      <c r="C107" s="2">
        <v>25.36</v>
      </c>
      <c r="D107" s="2" cm="1">
        <f t="array" ref="D107">_xlfn.LET(_xlpm.v,IFERROR(_xlfn.XLOOKUP(A107,Sheet2!$A$2:$A$1453,Sheet2!$D$2:$D$1453),_xlfn.XLOOKUP(A107,TEXT(Sheet2!$A$2:$A$1453,"0"),Sheet2!$D$2:$D$1453,"")),IF(_xlpm.v="","",IF(_xlpm.v&lt;1,_xlpm.v*100,_xlpm.v)))</f>
        <v>15</v>
      </c>
      <c r="E107" s="2">
        <f t="shared" si="1"/>
        <v>21.555999999999997</v>
      </c>
      <c r="F107" s="2" t="str" cm="1">
        <f t="array" ref="F107">IFERROR(_xlfn.XLOOKUP(A107,Sheet2!$A$2:$A$1453,Sheet2!$F$2:$F$1453),_xlfn.XLOOKUP(A107,TEXT(Sheet2!$A$2:$A$1453,"0"),Sheet2!$F$2:$F$1453,""))</f>
        <v>26-7-2026</v>
      </c>
      <c r="G107" s="2" t="str" cm="1">
        <f t="array" ref="G107">IFERROR(_xlfn.XLOOKUP(A107,Sheet2!$A$2:$A$1453,Sheet2!$G$2:$G$1453),_xlfn.XLOOKUP(A107,TEXT(Sheet2!$A$2:$A$1453,"0"),Sheet2!$G$2:$G$1453,""))</f>
        <v>6-8-2026</v>
      </c>
    </row>
    <row r="108" spans="1:7" x14ac:dyDescent="0.2">
      <c r="A108" s="1">
        <v>20309060212</v>
      </c>
      <c r="B108" t="str" cm="1">
        <f t="array" ref="B108">IFERROR(_xlfn.XLOOKUP(A108,Sheet2!$A$2:$A$1453,Sheet2!$B$2:$B$1453),_xlfn.XLOOKUP(A108,TEXT(Sheet2!$A$2:$A$1453,"0"),Sheet2!$B$2:$B$1453,""))</f>
        <v>NIVEA STICK INVISIBLE B&amp;W  FEMAL 50 ML 80103</v>
      </c>
      <c r="C108" s="2">
        <v>25.36</v>
      </c>
      <c r="D108" s="2" cm="1">
        <f t="array" ref="D108">_xlfn.LET(_xlpm.v,IFERROR(_xlfn.XLOOKUP(A108,Sheet2!$A$2:$A$1453,Sheet2!$D$2:$D$1453),_xlfn.XLOOKUP(A108,TEXT(Sheet2!$A$2:$A$1453,"0"),Sheet2!$D$2:$D$1453,"")),IF(_xlpm.v="","",IF(_xlpm.v&lt;1,_xlpm.v*100,_xlpm.v)))</f>
        <v>15</v>
      </c>
      <c r="E108" s="2">
        <f t="shared" si="1"/>
        <v>21.555999999999997</v>
      </c>
      <c r="F108" s="2" t="str" cm="1">
        <f t="array" ref="F108">IFERROR(_xlfn.XLOOKUP(A108,Sheet2!$A$2:$A$1453,Sheet2!$F$2:$F$1453),_xlfn.XLOOKUP(A108,TEXT(Sheet2!$A$2:$A$1453,"0"),Sheet2!$F$2:$F$1453,""))</f>
        <v>26-7-2026</v>
      </c>
      <c r="G108" s="2" t="str" cm="1">
        <f t="array" ref="G108">IFERROR(_xlfn.XLOOKUP(A108,Sheet2!$A$2:$A$1453,Sheet2!$G$2:$G$1453),_xlfn.XLOOKUP(A108,TEXT(Sheet2!$A$2:$A$1453,"0"),Sheet2!$G$2:$G$1453,""))</f>
        <v>6-8-2026</v>
      </c>
    </row>
    <row r="109" spans="1:7" x14ac:dyDescent="0.2">
      <c r="A109" s="1">
        <v>20309060213</v>
      </c>
      <c r="B109" t="str" cm="1">
        <f t="array" ref="B109">IFERROR(_xlfn.XLOOKUP(A109,Sheet2!$A$2:$A$1453,Sheet2!$B$2:$B$1453),_xlfn.XLOOKUP(A109,TEXT(Sheet2!$A$2:$A$1453,"0"),Sheet2!$B$2:$B$1453,""))</f>
        <v>NIVEA STICK INV B&amp;W ORG MALE 50ML80099</v>
      </c>
      <c r="C109" s="2">
        <v>25.36</v>
      </c>
      <c r="D109" s="2" cm="1">
        <f t="array" ref="D109">_xlfn.LET(_xlpm.v,IFERROR(_xlfn.XLOOKUP(A109,Sheet2!$A$2:$A$1453,Sheet2!$D$2:$D$1453),_xlfn.XLOOKUP(A109,TEXT(Sheet2!$A$2:$A$1453,"0"),Sheet2!$D$2:$D$1453,"")),IF(_xlpm.v="","",IF(_xlpm.v&lt;1,_xlpm.v*100,_xlpm.v)))</f>
        <v>15</v>
      </c>
      <c r="E109" s="2">
        <f t="shared" si="1"/>
        <v>21.555999999999997</v>
      </c>
      <c r="F109" s="2" t="str" cm="1">
        <f t="array" ref="F109">IFERROR(_xlfn.XLOOKUP(A109,Sheet2!$A$2:$A$1453,Sheet2!$F$2:$F$1453),_xlfn.XLOOKUP(A109,TEXT(Sheet2!$A$2:$A$1453,"0"),Sheet2!$F$2:$F$1453,""))</f>
        <v>26-7-2026</v>
      </c>
      <c r="G109" s="2" t="str" cm="1">
        <f t="array" ref="G109">IFERROR(_xlfn.XLOOKUP(A109,Sheet2!$A$2:$A$1453,Sheet2!$G$2:$G$1453),_xlfn.XLOOKUP(A109,TEXT(Sheet2!$A$2:$A$1453,"0"),Sheet2!$G$2:$G$1453,""))</f>
        <v>6-8-2026</v>
      </c>
    </row>
    <row r="110" spans="1:7" x14ac:dyDescent="0.2">
      <c r="A110" s="1">
        <v>20309060210</v>
      </c>
      <c r="B110" t="str" cm="1">
        <f t="array" ref="B110">IFERROR(_xlfn.XLOOKUP(A110,Sheet2!$A$2:$A$1453,Sheet2!$B$2:$B$1453),_xlfn.XLOOKUP(A110,TEXT(Sheet2!$A$2:$A$1453,"0"),Sheet2!$B$2:$B$1453,""))</f>
        <v>NIVEA STICK FRESH FEMAL 50ML 70937</v>
      </c>
      <c r="C110" s="2">
        <v>25.36</v>
      </c>
      <c r="D110" s="2" cm="1">
        <f t="array" ref="D110">_xlfn.LET(_xlpm.v,IFERROR(_xlfn.XLOOKUP(A110,Sheet2!$A$2:$A$1453,Sheet2!$D$2:$D$1453),_xlfn.XLOOKUP(A110,TEXT(Sheet2!$A$2:$A$1453,"0"),Sheet2!$D$2:$D$1453,"")),IF(_xlpm.v="","",IF(_xlpm.v&lt;1,_xlpm.v*100,_xlpm.v)))</f>
        <v>15</v>
      </c>
      <c r="E110" s="2">
        <f t="shared" si="1"/>
        <v>21.555999999999997</v>
      </c>
      <c r="F110" s="2" t="str" cm="1">
        <f t="array" ref="F110">IFERROR(_xlfn.XLOOKUP(A110,Sheet2!$A$2:$A$1453,Sheet2!$F$2:$F$1453),_xlfn.XLOOKUP(A110,TEXT(Sheet2!$A$2:$A$1453,"0"),Sheet2!$F$2:$F$1453,""))</f>
        <v>26-7-2026</v>
      </c>
      <c r="G110" s="2" t="str" cm="1">
        <f t="array" ref="G110">IFERROR(_xlfn.XLOOKUP(A110,Sheet2!$A$2:$A$1453,Sheet2!$G$2:$G$1453),_xlfn.XLOOKUP(A110,TEXT(Sheet2!$A$2:$A$1453,"0"),Sheet2!$G$2:$G$1453,""))</f>
        <v>6-8-2026</v>
      </c>
    </row>
    <row r="111" spans="1:7" x14ac:dyDescent="0.2">
      <c r="A111" s="1">
        <v>20309060209</v>
      </c>
      <c r="B111" t="str" cm="1">
        <f t="array" ref="B111">IFERROR(_xlfn.XLOOKUP(A111,Sheet2!$A$2:$A$1453,Sheet2!$B$2:$B$1453),_xlfn.XLOOKUP(A111,TEXT(Sheet2!$A$2:$A$1453,"0"),Sheet2!$B$2:$B$1453,""))</f>
        <v>NIVEA STICK DRY MAL 50ML 70931</v>
      </c>
      <c r="C111" s="2">
        <v>25.36</v>
      </c>
      <c r="D111" s="2" cm="1">
        <f t="array" ref="D111">_xlfn.LET(_xlpm.v,IFERROR(_xlfn.XLOOKUP(A111,Sheet2!$A$2:$A$1453,Sheet2!$D$2:$D$1453),_xlfn.XLOOKUP(A111,TEXT(Sheet2!$A$2:$A$1453,"0"),Sheet2!$D$2:$D$1453,"")),IF(_xlpm.v="","",IF(_xlpm.v&lt;1,_xlpm.v*100,_xlpm.v)))</f>
        <v>15</v>
      </c>
      <c r="E111" s="2">
        <f t="shared" si="1"/>
        <v>21.555999999999997</v>
      </c>
      <c r="F111" s="2" t="str" cm="1">
        <f t="array" ref="F111">IFERROR(_xlfn.XLOOKUP(A111,Sheet2!$A$2:$A$1453,Sheet2!$F$2:$F$1453),_xlfn.XLOOKUP(A111,TEXT(Sheet2!$A$2:$A$1453,"0"),Sheet2!$F$2:$F$1453,""))</f>
        <v>26-7-2026</v>
      </c>
      <c r="G111" s="2" t="str" cm="1">
        <f t="array" ref="G111">IFERROR(_xlfn.XLOOKUP(A111,Sheet2!$A$2:$A$1453,Sheet2!$G$2:$G$1453),_xlfn.XLOOKUP(A111,TEXT(Sheet2!$A$2:$A$1453,"0"),Sheet2!$G$2:$G$1453,""))</f>
        <v>6-8-2026</v>
      </c>
    </row>
    <row r="112" spans="1:7" x14ac:dyDescent="0.2">
      <c r="A112" s="1">
        <v>20309060208</v>
      </c>
      <c r="B112" t="str" cm="1">
        <f t="array" ref="B112">IFERROR(_xlfn.XLOOKUP(A112,Sheet2!$A$2:$A$1453,Sheet2!$B$2:$B$1453),_xlfn.XLOOKUP(A112,TEXT(Sheet2!$A$2:$A$1453,"0"),Sheet2!$B$2:$B$1453,""))</f>
        <v>NIVEA STICK DRY FEMAL 50ML 70935</v>
      </c>
      <c r="C112" s="2">
        <v>25.36</v>
      </c>
      <c r="D112" s="2" cm="1">
        <f t="array" ref="D112">_xlfn.LET(_xlpm.v,IFERROR(_xlfn.XLOOKUP(A112,Sheet2!$A$2:$A$1453,Sheet2!$D$2:$D$1453),_xlfn.XLOOKUP(A112,TEXT(Sheet2!$A$2:$A$1453,"0"),Sheet2!$D$2:$D$1453,"")),IF(_xlpm.v="","",IF(_xlpm.v&lt;1,_xlpm.v*100,_xlpm.v)))</f>
        <v>15</v>
      </c>
      <c r="E112" s="2">
        <f t="shared" si="1"/>
        <v>21.555999999999997</v>
      </c>
      <c r="F112" s="2" t="str" cm="1">
        <f t="array" ref="F112">IFERROR(_xlfn.XLOOKUP(A112,Sheet2!$A$2:$A$1453,Sheet2!$F$2:$F$1453),_xlfn.XLOOKUP(A112,TEXT(Sheet2!$A$2:$A$1453,"0"),Sheet2!$F$2:$F$1453,""))</f>
        <v>26-7-2026</v>
      </c>
      <c r="G112" s="2" t="str" cm="1">
        <f t="array" ref="G112">IFERROR(_xlfn.XLOOKUP(A112,Sheet2!$A$2:$A$1453,Sheet2!$G$2:$G$1453),_xlfn.XLOOKUP(A112,TEXT(Sheet2!$A$2:$A$1453,"0"),Sheet2!$G$2:$G$1453,""))</f>
        <v>6-8-2026</v>
      </c>
    </row>
    <row r="113" spans="1:7" x14ac:dyDescent="0.2">
      <c r="A113" s="1">
        <v>20309060764</v>
      </c>
      <c r="B113" t="str" cm="1">
        <f t="array" ref="B113">IFERROR(_xlfn.XLOOKUP(A113,Sheet2!$A$2:$A$1453,Sheet2!$B$2:$B$1453),_xlfn.XLOOKUP(A113,TEXT(Sheet2!$A$2:$A$1453,"0"),Sheet2!$B$2:$B$1453,""))</f>
        <v>NIVEA STICK DEEP MALE 50 ML 83182 80108</v>
      </c>
      <c r="C113" s="2">
        <v>25.36</v>
      </c>
      <c r="D113" s="2" cm="1">
        <f t="array" ref="D113">_xlfn.LET(_xlpm.v,IFERROR(_xlfn.XLOOKUP(A113,Sheet2!$A$2:$A$1453,Sheet2!$D$2:$D$1453),_xlfn.XLOOKUP(A113,TEXT(Sheet2!$A$2:$A$1453,"0"),Sheet2!$D$2:$D$1453,"")),IF(_xlpm.v="","",IF(_xlpm.v&lt;1,_xlpm.v*100,_xlpm.v)))</f>
        <v>15</v>
      </c>
      <c r="E113" s="2">
        <f t="shared" si="1"/>
        <v>21.555999999999997</v>
      </c>
      <c r="F113" s="2" t="str" cm="1">
        <f t="array" ref="F113">IFERROR(_xlfn.XLOOKUP(A113,Sheet2!$A$2:$A$1453,Sheet2!$F$2:$F$1453),_xlfn.XLOOKUP(A113,TEXT(Sheet2!$A$2:$A$1453,"0"),Sheet2!$F$2:$F$1453,""))</f>
        <v>26-7-2026</v>
      </c>
      <c r="G113" s="2" t="str" cm="1">
        <f t="array" ref="G113">IFERROR(_xlfn.XLOOKUP(A113,Sheet2!$A$2:$A$1453,Sheet2!$G$2:$G$1453),_xlfn.XLOOKUP(A113,TEXT(Sheet2!$A$2:$A$1453,"0"),Sheet2!$G$2:$G$1453,""))</f>
        <v>6-8-2026</v>
      </c>
    </row>
    <row r="114" spans="1:7" x14ac:dyDescent="0.2">
      <c r="A114" s="1">
        <v>20309060207</v>
      </c>
      <c r="B114" t="str" cm="1">
        <f t="array" ref="B114">IFERROR(_xlfn.XLOOKUP(A114,Sheet2!$A$2:$A$1453,Sheet2!$B$2:$B$1453),_xlfn.XLOOKUP(A114,TEXT(Sheet2!$A$2:$A$1453,"0"),Sheet2!$B$2:$B$1453,""))</f>
        <v>NIVEA STICK COOL KICK MEN 50ML  80101</v>
      </c>
      <c r="C114" s="2">
        <v>25.36</v>
      </c>
      <c r="D114" s="2" cm="1">
        <f t="array" ref="D114">_xlfn.LET(_xlpm.v,IFERROR(_xlfn.XLOOKUP(A114,Sheet2!$A$2:$A$1453,Sheet2!$D$2:$D$1453),_xlfn.XLOOKUP(A114,TEXT(Sheet2!$A$2:$A$1453,"0"),Sheet2!$D$2:$D$1453,"")),IF(_xlpm.v="","",IF(_xlpm.v&lt;1,_xlpm.v*100,_xlpm.v)))</f>
        <v>15</v>
      </c>
      <c r="E114" s="2">
        <f t="shared" si="1"/>
        <v>21.555999999999997</v>
      </c>
      <c r="F114" s="2" t="str" cm="1">
        <f t="array" ref="F114">IFERROR(_xlfn.XLOOKUP(A114,Sheet2!$A$2:$A$1453,Sheet2!$F$2:$F$1453),_xlfn.XLOOKUP(A114,TEXT(Sheet2!$A$2:$A$1453,"0"),Sheet2!$F$2:$F$1453,""))</f>
        <v>26-7-2026</v>
      </c>
      <c r="G114" s="2" t="str" cm="1">
        <f t="array" ref="G114">IFERROR(_xlfn.XLOOKUP(A114,Sheet2!$A$2:$A$1453,Sheet2!$G$2:$G$1453),_xlfn.XLOOKUP(A114,TEXT(Sheet2!$A$2:$A$1453,"0"),Sheet2!$G$2:$G$1453,""))</f>
        <v>6-8-2026</v>
      </c>
    </row>
    <row r="115" spans="1:7" x14ac:dyDescent="0.2">
      <c r="A115" s="1">
        <v>20309060205</v>
      </c>
      <c r="B115" t="str" cm="1">
        <f t="array" ref="B115">IFERROR(_xlfn.XLOOKUP(A115,Sheet2!$A$2:$A$1453,Sheet2!$B$2:$B$1453),_xlfn.XLOOKUP(A115,TEXT(Sheet2!$A$2:$A$1453,"0"),Sheet2!$B$2:$B$1453,""))</f>
        <v>NIVEA SPRAY POWDER TOUCH FEMAL 150ML 80077</v>
      </c>
      <c r="C115" s="2">
        <v>23.31</v>
      </c>
      <c r="D115" s="2" cm="1">
        <f t="array" ref="D115">_xlfn.LET(_xlpm.v,IFERROR(_xlfn.XLOOKUP(A115,Sheet2!$A$2:$A$1453,Sheet2!$D$2:$D$1453),_xlfn.XLOOKUP(A115,TEXT(Sheet2!$A$2:$A$1453,"0"),Sheet2!$D$2:$D$1453,"")),IF(_xlpm.v="","",IF(_xlpm.v&lt;1,_xlpm.v*100,_xlpm.v)))</f>
        <v>15</v>
      </c>
      <c r="E115" s="2">
        <f t="shared" si="1"/>
        <v>19.813499999999998</v>
      </c>
      <c r="F115" s="2" t="str" cm="1">
        <f t="array" ref="F115">IFERROR(_xlfn.XLOOKUP(A115,Sheet2!$A$2:$A$1453,Sheet2!$F$2:$F$1453),_xlfn.XLOOKUP(A115,TEXT(Sheet2!$A$2:$A$1453,"0"),Sheet2!$F$2:$F$1453,""))</f>
        <v>26-7-2026</v>
      </c>
      <c r="G115" s="2" t="str" cm="1">
        <f t="array" ref="G115">IFERROR(_xlfn.XLOOKUP(A115,Sheet2!$A$2:$A$1453,Sheet2!$G$2:$G$1453),_xlfn.XLOOKUP(A115,TEXT(Sheet2!$A$2:$A$1453,"0"),Sheet2!$G$2:$G$1453,""))</f>
        <v>6-8-2026</v>
      </c>
    </row>
    <row r="116" spans="1:7" x14ac:dyDescent="0.2">
      <c r="A116" s="1">
        <v>20309060203</v>
      </c>
      <c r="B116" t="str" cm="1">
        <f t="array" ref="B116">IFERROR(_xlfn.XLOOKUP(A116,Sheet2!$A$2:$A$1453,Sheet2!$B$2:$B$1453),_xlfn.XLOOKUP(A116,TEXT(Sheet2!$A$2:$A$1453,"0"),Sheet2!$B$2:$B$1453,""))</f>
        <v>NIVEA SPRAY INVISIBLE B&amp;W CLEAR FEMAL 150ML 70229</v>
      </c>
      <c r="C116" s="2">
        <v>23.31</v>
      </c>
      <c r="D116" s="2" cm="1">
        <f t="array" ref="D116">_xlfn.LET(_xlpm.v,IFERROR(_xlfn.XLOOKUP(A116,Sheet2!$A$2:$A$1453,Sheet2!$D$2:$D$1453),_xlfn.XLOOKUP(A116,TEXT(Sheet2!$A$2:$A$1453,"0"),Sheet2!$D$2:$D$1453,"")),IF(_xlpm.v="","",IF(_xlpm.v&lt;1,_xlpm.v*100,_xlpm.v)))</f>
        <v>15</v>
      </c>
      <c r="E116" s="2">
        <f t="shared" si="1"/>
        <v>19.813499999999998</v>
      </c>
      <c r="F116" s="2" t="str" cm="1">
        <f t="array" ref="F116">IFERROR(_xlfn.XLOOKUP(A116,Sheet2!$A$2:$A$1453,Sheet2!$F$2:$F$1453),_xlfn.XLOOKUP(A116,TEXT(Sheet2!$A$2:$A$1453,"0"),Sheet2!$F$2:$F$1453,""))</f>
        <v>26-7-2026</v>
      </c>
      <c r="G116" s="2" t="str" cm="1">
        <f t="array" ref="G116">IFERROR(_xlfn.XLOOKUP(A116,Sheet2!$A$2:$A$1453,Sheet2!$G$2:$G$1453),_xlfn.XLOOKUP(A116,TEXT(Sheet2!$A$2:$A$1453,"0"),Sheet2!$G$2:$G$1453,""))</f>
        <v>6-8-2026</v>
      </c>
    </row>
    <row r="117" spans="1:7" x14ac:dyDescent="0.2">
      <c r="A117" s="1">
        <v>20309060162</v>
      </c>
      <c r="B117" t="str" cm="1">
        <f t="array" ref="B117">IFERROR(_xlfn.XLOOKUP(A117,Sheet2!$A$2:$A$1453,Sheet2!$B$2:$B$1453),_xlfn.XLOOKUP(A117,TEXT(Sheet2!$A$2:$A$1453,"0"),Sheet2!$B$2:$B$1453,""))</f>
        <v>NIVEA SPRAY FRESH FAMEL 150ML 80024</v>
      </c>
      <c r="C117" s="2">
        <v>23.24</v>
      </c>
      <c r="D117" s="2" cm="1">
        <f t="array" ref="D117">_xlfn.LET(_xlpm.v,IFERROR(_xlfn.XLOOKUP(A117,Sheet2!$A$2:$A$1453,Sheet2!$D$2:$D$1453),_xlfn.XLOOKUP(A117,TEXT(Sheet2!$A$2:$A$1453,"0"),Sheet2!$D$2:$D$1453,"")),IF(_xlpm.v="","",IF(_xlpm.v&lt;1,_xlpm.v*100,_xlpm.v)))</f>
        <v>15</v>
      </c>
      <c r="E117" s="2">
        <f t="shared" si="1"/>
        <v>19.753999999999998</v>
      </c>
      <c r="F117" s="2" t="str" cm="1">
        <f t="array" ref="F117">IFERROR(_xlfn.XLOOKUP(A117,Sheet2!$A$2:$A$1453,Sheet2!$F$2:$F$1453),_xlfn.XLOOKUP(A117,TEXT(Sheet2!$A$2:$A$1453,"0"),Sheet2!$F$2:$F$1453,""))</f>
        <v>26-7-2026</v>
      </c>
      <c r="G117" s="2" t="str" cm="1">
        <f t="array" ref="G117">IFERROR(_xlfn.XLOOKUP(A117,Sheet2!$A$2:$A$1453,Sheet2!$G$2:$G$1453),_xlfn.XLOOKUP(A117,TEXT(Sheet2!$A$2:$A$1453,"0"),Sheet2!$G$2:$G$1453,""))</f>
        <v>6-8-2026</v>
      </c>
    </row>
    <row r="118" spans="1:7" x14ac:dyDescent="0.2">
      <c r="A118" s="1">
        <v>20309060121</v>
      </c>
      <c r="B118" t="str" cm="1">
        <f t="array" ref="B118">IFERROR(_xlfn.XLOOKUP(A118,Sheet2!$A$2:$A$1453,Sheet2!$B$2:$B$1453),_xlfn.XLOOKUP(A118,TEXT(Sheet2!$A$2:$A$1453,"0"),Sheet2!$B$2:$B$1453,""))</f>
        <v>NIVEA SPRAY FRESH ACTIVE MEN 200 ML 70112</v>
      </c>
      <c r="C118" s="2">
        <v>27.42</v>
      </c>
      <c r="D118" s="2" cm="1">
        <f t="array" ref="D118">_xlfn.LET(_xlpm.v,IFERROR(_xlfn.XLOOKUP(A118,Sheet2!$A$2:$A$1453,Sheet2!$D$2:$D$1453),_xlfn.XLOOKUP(A118,TEXT(Sheet2!$A$2:$A$1453,"0"),Sheet2!$D$2:$D$1453,"")),IF(_xlpm.v="","",IF(_xlpm.v&lt;1,_xlpm.v*100,_xlpm.v)))</f>
        <v>15</v>
      </c>
      <c r="E118" s="2">
        <f t="shared" si="1"/>
        <v>23.307000000000002</v>
      </c>
      <c r="F118" s="2" t="str" cm="1">
        <f t="array" ref="F118">IFERROR(_xlfn.XLOOKUP(A118,Sheet2!$A$2:$A$1453,Sheet2!$F$2:$F$1453),_xlfn.XLOOKUP(A118,TEXT(Sheet2!$A$2:$A$1453,"0"),Sheet2!$F$2:$F$1453,""))</f>
        <v>26-7-2026</v>
      </c>
      <c r="G118" s="2" t="str" cm="1">
        <f t="array" ref="G118">IFERROR(_xlfn.XLOOKUP(A118,Sheet2!$A$2:$A$1453,Sheet2!$G$2:$G$1453),_xlfn.XLOOKUP(A118,TEXT(Sheet2!$A$2:$A$1453,"0"),Sheet2!$G$2:$G$1453,""))</f>
        <v>6-8-2026</v>
      </c>
    </row>
    <row r="119" spans="1:7" x14ac:dyDescent="0.2">
      <c r="A119" s="1">
        <v>20309060201</v>
      </c>
      <c r="B119" t="str" cm="1">
        <f t="array" ref="B119">IFERROR(_xlfn.XLOOKUP(A119,Sheet2!$A$2:$A$1453,Sheet2!$B$2:$B$1453),_xlfn.XLOOKUP(A119,TEXT(Sheet2!$A$2:$A$1453,"0"),Sheet2!$B$2:$B$1453,""))</f>
        <v>NIVEA SPRAY FRESH ACTIVE MALE 150ML 70090</v>
      </c>
      <c r="C119" s="2">
        <v>23.24</v>
      </c>
      <c r="D119" s="2" cm="1">
        <f t="array" ref="D119">_xlfn.LET(_xlpm.v,IFERROR(_xlfn.XLOOKUP(A119,Sheet2!$A$2:$A$1453,Sheet2!$D$2:$D$1453),_xlfn.XLOOKUP(A119,TEXT(Sheet2!$A$2:$A$1453,"0"),Sheet2!$D$2:$D$1453,"")),IF(_xlpm.v="","",IF(_xlpm.v&lt;1,_xlpm.v*100,_xlpm.v)))</f>
        <v>15</v>
      </c>
      <c r="E119" s="2">
        <f t="shared" si="1"/>
        <v>19.753999999999998</v>
      </c>
      <c r="F119" s="2" t="str" cm="1">
        <f t="array" ref="F119">IFERROR(_xlfn.XLOOKUP(A119,Sheet2!$A$2:$A$1453,Sheet2!$F$2:$F$1453),_xlfn.XLOOKUP(A119,TEXT(Sheet2!$A$2:$A$1453,"0"),Sheet2!$F$2:$F$1453,""))</f>
        <v>26-7-2026</v>
      </c>
      <c r="G119" s="2" t="str" cm="1">
        <f t="array" ref="G119">IFERROR(_xlfn.XLOOKUP(A119,Sheet2!$A$2:$A$1453,Sheet2!$G$2:$G$1453),_xlfn.XLOOKUP(A119,TEXT(Sheet2!$A$2:$A$1453,"0"),Sheet2!$G$2:$G$1453,""))</f>
        <v>6-8-2026</v>
      </c>
    </row>
    <row r="120" spans="1:7" x14ac:dyDescent="0.2">
      <c r="A120" s="1">
        <v>20309500450</v>
      </c>
      <c r="B120" t="str" cm="1">
        <f t="array" ref="B120">IFERROR(_xlfn.XLOOKUP(A120,Sheet2!$A$2:$A$1453,Sheet2!$B$2:$B$1453),_xlfn.XLOOKUP(A120,TEXT(Sheet2!$A$2:$A$1453,"0"),Sheet2!$B$2:$B$1453,""))</f>
        <v>NIVEA SPRAY DRY IMPACT MEN 150ML 70092</v>
      </c>
      <c r="C120" s="2">
        <v>23.24</v>
      </c>
      <c r="D120" s="2" cm="1">
        <f t="array" ref="D120">_xlfn.LET(_xlpm.v,IFERROR(_xlfn.XLOOKUP(A120,Sheet2!$A$2:$A$1453,Sheet2!$D$2:$D$1453),_xlfn.XLOOKUP(A120,TEXT(Sheet2!$A$2:$A$1453,"0"),Sheet2!$D$2:$D$1453,"")),IF(_xlpm.v="","",IF(_xlpm.v&lt;1,_xlpm.v*100,_xlpm.v)))</f>
        <v>15</v>
      </c>
      <c r="E120" s="2">
        <f t="shared" si="1"/>
        <v>19.753999999999998</v>
      </c>
      <c r="F120" s="2" t="str" cm="1">
        <f t="array" ref="F120">IFERROR(_xlfn.XLOOKUP(A120,Sheet2!$A$2:$A$1453,Sheet2!$F$2:$F$1453),_xlfn.XLOOKUP(A120,TEXT(Sheet2!$A$2:$A$1453,"0"),Sheet2!$F$2:$F$1453,""))</f>
        <v>26-7-2026</v>
      </c>
      <c r="G120" s="2" t="str" cm="1">
        <f t="array" ref="G120">IFERROR(_xlfn.XLOOKUP(A120,Sheet2!$A$2:$A$1453,Sheet2!$G$2:$G$1453),_xlfn.XLOOKUP(A120,TEXT(Sheet2!$A$2:$A$1453,"0"),Sheet2!$G$2:$G$1453,""))</f>
        <v>6-8-2026</v>
      </c>
    </row>
    <row r="121" spans="1:7" x14ac:dyDescent="0.2">
      <c r="A121" s="1">
        <v>20309060163</v>
      </c>
      <c r="B121" t="str" cm="1">
        <f t="array" ref="B121">IFERROR(_xlfn.XLOOKUP(A121,Sheet2!$A$2:$A$1453,Sheet2!$B$2:$B$1453),_xlfn.XLOOKUP(A121,TEXT(Sheet2!$A$2:$A$1453,"0"),Sheet2!$B$2:$B$1453,""))</f>
        <v>NIVEA SPRAY B&amp;W  MAL 150 ML 80052</v>
      </c>
      <c r="C121" s="2">
        <v>23.3</v>
      </c>
      <c r="D121" s="2" cm="1">
        <f t="array" ref="D121">_xlfn.LET(_xlpm.v,IFERROR(_xlfn.XLOOKUP(A121,Sheet2!$A$2:$A$1453,Sheet2!$D$2:$D$1453),_xlfn.XLOOKUP(A121,TEXT(Sheet2!$A$2:$A$1453,"0"),Sheet2!$D$2:$D$1453,"")),IF(_xlpm.v="","",IF(_xlpm.v&lt;1,_xlpm.v*100,_xlpm.v)))</f>
        <v>15</v>
      </c>
      <c r="E121" s="2">
        <f t="shared" si="1"/>
        <v>19.805</v>
      </c>
      <c r="F121" s="2" t="str" cm="1">
        <f t="array" ref="F121">IFERROR(_xlfn.XLOOKUP(A121,Sheet2!$A$2:$A$1453,Sheet2!$F$2:$F$1453),_xlfn.XLOOKUP(A121,TEXT(Sheet2!$A$2:$A$1453,"0"),Sheet2!$F$2:$F$1453,""))</f>
        <v>26-7-2026</v>
      </c>
      <c r="G121" s="2" t="str" cm="1">
        <f t="array" ref="G121">IFERROR(_xlfn.XLOOKUP(A121,Sheet2!$A$2:$A$1453,Sheet2!$G$2:$G$1453),_xlfn.XLOOKUP(A121,TEXT(Sheet2!$A$2:$A$1453,"0"),Sheet2!$G$2:$G$1453,""))</f>
        <v>6-8-2026</v>
      </c>
    </row>
    <row r="122" spans="1:7" x14ac:dyDescent="0.2">
      <c r="A122" s="1">
        <v>20309060124</v>
      </c>
      <c r="B122" t="str" cm="1">
        <f t="array" ref="B122">IFERROR(_xlfn.XLOOKUP(A122,Sheet2!$A$2:$A$1453,Sheet2!$B$2:$B$1453),_xlfn.XLOOKUP(A122,TEXT(Sheet2!$A$2:$A$1453,"0"),Sheet2!$B$2:$B$1453,""))</f>
        <v>NIVEA SPRAY AQUA COOL MEN 200ML 80038</v>
      </c>
      <c r="C122" s="2">
        <v>27.41</v>
      </c>
      <c r="D122" s="2" cm="1">
        <f t="array" ref="D122">_xlfn.LET(_xlpm.v,IFERROR(_xlfn.XLOOKUP(A122,Sheet2!$A$2:$A$1453,Sheet2!$D$2:$D$1453),_xlfn.XLOOKUP(A122,TEXT(Sheet2!$A$2:$A$1453,"0"),Sheet2!$D$2:$D$1453,"")),IF(_xlpm.v="","",IF(_xlpm.v&lt;1,_xlpm.v*100,_xlpm.v)))</f>
        <v>15</v>
      </c>
      <c r="E122" s="2">
        <f t="shared" si="1"/>
        <v>23.298500000000001</v>
      </c>
      <c r="F122" s="2" t="str" cm="1">
        <f t="array" ref="F122">IFERROR(_xlfn.XLOOKUP(A122,Sheet2!$A$2:$A$1453,Sheet2!$F$2:$F$1453),_xlfn.XLOOKUP(A122,TEXT(Sheet2!$A$2:$A$1453,"0"),Sheet2!$F$2:$F$1453,""))</f>
        <v>26-7-2026</v>
      </c>
      <c r="G122" s="2" t="str" cm="1">
        <f t="array" ref="G122">IFERROR(_xlfn.XLOOKUP(A122,Sheet2!$A$2:$A$1453,Sheet2!$G$2:$G$1453),_xlfn.XLOOKUP(A122,TEXT(Sheet2!$A$2:$A$1453,"0"),Sheet2!$G$2:$G$1453,""))</f>
        <v>6-8-2026</v>
      </c>
    </row>
    <row r="123" spans="1:7" x14ac:dyDescent="0.2">
      <c r="A123" s="1">
        <v>20309060143</v>
      </c>
      <c r="B123" t="str" cm="1">
        <f t="array" ref="B123">IFERROR(_xlfn.XLOOKUP(A123,Sheet2!$A$2:$A$1453,Sheet2!$B$2:$B$1453),_xlfn.XLOOKUP(A123,TEXT(Sheet2!$A$2:$A$1453,"0"),Sheet2!$B$2:$B$1453,""))</f>
        <v>NIVEA SPRAY AQUA COOL KICK 150ML 80027</v>
      </c>
      <c r="C123" s="2">
        <v>23.31</v>
      </c>
      <c r="D123" s="2" cm="1">
        <f t="array" ref="D123">_xlfn.LET(_xlpm.v,IFERROR(_xlfn.XLOOKUP(A123,Sheet2!$A$2:$A$1453,Sheet2!$D$2:$D$1453),_xlfn.XLOOKUP(A123,TEXT(Sheet2!$A$2:$A$1453,"0"),Sheet2!$D$2:$D$1453,"")),IF(_xlpm.v="","",IF(_xlpm.v&lt;1,_xlpm.v*100,_xlpm.v)))</f>
        <v>15</v>
      </c>
      <c r="E123" s="2">
        <f t="shared" si="1"/>
        <v>19.813499999999998</v>
      </c>
      <c r="F123" s="2" t="str" cm="1">
        <f t="array" ref="F123">IFERROR(_xlfn.XLOOKUP(A123,Sheet2!$A$2:$A$1453,Sheet2!$F$2:$F$1453),_xlfn.XLOOKUP(A123,TEXT(Sheet2!$A$2:$A$1453,"0"),Sheet2!$F$2:$F$1453,""))</f>
        <v>26-7-2026</v>
      </c>
      <c r="G123" s="2" t="str" cm="1">
        <f t="array" ref="G123">IFERROR(_xlfn.XLOOKUP(A123,Sheet2!$A$2:$A$1453,Sheet2!$G$2:$G$1453),_xlfn.XLOOKUP(A123,TEXT(Sheet2!$A$2:$A$1453,"0"),Sheet2!$G$2:$G$1453,""))</f>
        <v>6-8-2026</v>
      </c>
    </row>
    <row r="124" spans="1:7" x14ac:dyDescent="0.2">
      <c r="A124" s="1">
        <v>20309060763</v>
      </c>
      <c r="B124" t="str" cm="1">
        <f t="array" ref="B124">IFERROR(_xlfn.XLOOKUP(A124,Sheet2!$A$2:$A$1453,Sheet2!$B$2:$B$1453),_xlfn.XLOOKUP(A124,TEXT(Sheet2!$A$2:$A$1453,"0"),Sheet2!$B$2:$B$1453,""))</f>
        <v>NIVEA SPRAY  VIT C&amp;E FEAMLE 150 ML 84189 80098</v>
      </c>
      <c r="C124" s="2">
        <v>23.11</v>
      </c>
      <c r="D124" s="2" cm="1">
        <f t="array" ref="D124">_xlfn.LET(_xlpm.v,IFERROR(_xlfn.XLOOKUP(A124,Sheet2!$A$2:$A$1453,Sheet2!$D$2:$D$1453),_xlfn.XLOOKUP(A124,TEXT(Sheet2!$A$2:$A$1453,"0"),Sheet2!$D$2:$D$1453,"")),IF(_xlpm.v="","",IF(_xlpm.v&lt;1,_xlpm.v*100,_xlpm.v)))</f>
        <v>15</v>
      </c>
      <c r="E124" s="2">
        <f t="shared" si="1"/>
        <v>19.6435</v>
      </c>
      <c r="F124" s="2" t="str" cm="1">
        <f t="array" ref="F124">IFERROR(_xlfn.XLOOKUP(A124,Sheet2!$A$2:$A$1453,Sheet2!$F$2:$F$1453),_xlfn.XLOOKUP(A124,TEXT(Sheet2!$A$2:$A$1453,"0"),Sheet2!$F$2:$F$1453,""))</f>
        <v>26-7-2026</v>
      </c>
      <c r="G124" s="2" t="str" cm="1">
        <f t="array" ref="G124">IFERROR(_xlfn.XLOOKUP(A124,Sheet2!$A$2:$A$1453,Sheet2!$G$2:$G$1453),_xlfn.XLOOKUP(A124,TEXT(Sheet2!$A$2:$A$1453,"0"),Sheet2!$G$2:$G$1453,""))</f>
        <v>6-8-2026</v>
      </c>
    </row>
    <row r="125" spans="1:7" x14ac:dyDescent="0.2">
      <c r="A125" s="1">
        <v>20309060198</v>
      </c>
      <c r="B125" t="str" cm="1">
        <f t="array" ref="B125">IFERROR(_xlfn.XLOOKUP(A125,Sheet2!$A$2:$A$1453,Sheet2!$B$2:$B$1453),_xlfn.XLOOKUP(A125,TEXT(Sheet2!$A$2:$A$1453,"0"),Sheet2!$B$2:$B$1453,""))</f>
        <v>NIVEA ROLL SILVER PROTECT MALE 50 ML 80040</v>
      </c>
      <c r="C125" s="2">
        <v>18.84</v>
      </c>
      <c r="D125" s="2" cm="1">
        <f t="array" ref="D125">_xlfn.LET(_xlpm.v,IFERROR(_xlfn.XLOOKUP(A125,Sheet2!$A$2:$A$1453,Sheet2!$D$2:$D$1453),_xlfn.XLOOKUP(A125,TEXT(Sheet2!$A$2:$A$1453,"0"),Sheet2!$D$2:$D$1453,"")),IF(_xlpm.v="","",IF(_xlpm.v&lt;1,_xlpm.v*100,_xlpm.v)))</f>
        <v>15</v>
      </c>
      <c r="E125" s="2">
        <f t="shared" si="1"/>
        <v>16.013999999999999</v>
      </c>
      <c r="F125" s="2" t="str" cm="1">
        <f t="array" ref="F125">IFERROR(_xlfn.XLOOKUP(A125,Sheet2!$A$2:$A$1453,Sheet2!$F$2:$F$1453),_xlfn.XLOOKUP(A125,TEXT(Sheet2!$A$2:$A$1453,"0"),Sheet2!$F$2:$F$1453,""))</f>
        <v>26-7-2026</v>
      </c>
      <c r="G125" s="2" t="str" cm="1">
        <f t="array" ref="G125">IFERROR(_xlfn.XLOOKUP(A125,Sheet2!$A$2:$A$1453,Sheet2!$G$2:$G$1453),_xlfn.XLOOKUP(A125,TEXT(Sheet2!$A$2:$A$1453,"0"),Sheet2!$G$2:$G$1453,""))</f>
        <v>6-8-2026</v>
      </c>
    </row>
    <row r="126" spans="1:7" x14ac:dyDescent="0.2">
      <c r="A126" s="1">
        <v>20309060195</v>
      </c>
      <c r="B126" t="str" cm="1">
        <f t="array" ref="B126">IFERROR(_xlfn.XLOOKUP(A126,Sheet2!$A$2:$A$1453,Sheet2!$B$2:$B$1453),_xlfn.XLOOKUP(A126,TEXT(Sheet2!$A$2:$A$1453,"0"),Sheet2!$B$2:$B$1453,""))</f>
        <v>NIVEA ROLL INV B&amp;W FEMAL 50 ML 70230</v>
      </c>
      <c r="C126" s="2">
        <v>18.84</v>
      </c>
      <c r="D126" s="2" cm="1">
        <f t="array" ref="D126">_xlfn.LET(_xlpm.v,IFERROR(_xlfn.XLOOKUP(A126,Sheet2!$A$2:$A$1453,Sheet2!$D$2:$D$1453),_xlfn.XLOOKUP(A126,TEXT(Sheet2!$A$2:$A$1453,"0"),Sheet2!$D$2:$D$1453,"")),IF(_xlpm.v="","",IF(_xlpm.v&lt;1,_xlpm.v*100,_xlpm.v)))</f>
        <v>15</v>
      </c>
      <c r="E126" s="2">
        <f t="shared" si="1"/>
        <v>16.013999999999999</v>
      </c>
      <c r="F126" s="2" t="str" cm="1">
        <f t="array" ref="F126">IFERROR(_xlfn.XLOOKUP(A126,Sheet2!$A$2:$A$1453,Sheet2!$F$2:$F$1453),_xlfn.XLOOKUP(A126,TEXT(Sheet2!$A$2:$A$1453,"0"),Sheet2!$F$2:$F$1453,""))</f>
        <v>26-7-2026</v>
      </c>
      <c r="G126" s="2" t="str" cm="1">
        <f t="array" ref="G126">IFERROR(_xlfn.XLOOKUP(A126,Sheet2!$A$2:$A$1453,Sheet2!$G$2:$G$1453),_xlfn.XLOOKUP(A126,TEXT(Sheet2!$A$2:$A$1453,"0"),Sheet2!$G$2:$G$1453,""))</f>
        <v>6-8-2026</v>
      </c>
    </row>
    <row r="127" spans="1:7" x14ac:dyDescent="0.2">
      <c r="A127" s="1">
        <v>20309060189</v>
      </c>
      <c r="B127" t="str" cm="1">
        <f t="array" ref="B127">IFERROR(_xlfn.XLOOKUP(A127,Sheet2!$A$2:$A$1453,Sheet2!$B$2:$B$1453),_xlfn.XLOOKUP(A127,TEXT(Sheet2!$A$2:$A$1453,"0"),Sheet2!$B$2:$B$1453,""))</f>
        <v>NIVEA ROLL FRESH POWER 50 ML  80078</v>
      </c>
      <c r="C127" s="2">
        <v>18.84</v>
      </c>
      <c r="D127" s="2" cm="1">
        <f t="array" ref="D127">_xlfn.LET(_xlpm.v,IFERROR(_xlfn.XLOOKUP(A127,Sheet2!$A$2:$A$1453,Sheet2!$D$2:$D$1453),_xlfn.XLOOKUP(A127,TEXT(Sheet2!$A$2:$A$1453,"0"),Sheet2!$D$2:$D$1453,"")),IF(_xlpm.v="","",IF(_xlpm.v&lt;1,_xlpm.v*100,_xlpm.v)))</f>
        <v>15</v>
      </c>
      <c r="E127" s="2">
        <f t="shared" si="1"/>
        <v>16.013999999999999</v>
      </c>
      <c r="F127" s="2" t="str" cm="1">
        <f t="array" ref="F127">IFERROR(_xlfn.XLOOKUP(A127,Sheet2!$A$2:$A$1453,Sheet2!$F$2:$F$1453),_xlfn.XLOOKUP(A127,TEXT(Sheet2!$A$2:$A$1453,"0"),Sheet2!$F$2:$F$1453,""))</f>
        <v>26-7-2026</v>
      </c>
      <c r="G127" s="2" t="str" cm="1">
        <f t="array" ref="G127">IFERROR(_xlfn.XLOOKUP(A127,Sheet2!$A$2:$A$1453,Sheet2!$G$2:$G$1453),_xlfn.XLOOKUP(A127,TEXT(Sheet2!$A$2:$A$1453,"0"),Sheet2!$G$2:$G$1453,""))</f>
        <v>6-8-2026</v>
      </c>
    </row>
    <row r="128" spans="1:7" x14ac:dyDescent="0.2">
      <c r="A128" s="1">
        <v>20309060192</v>
      </c>
      <c r="B128" t="str" cm="1">
        <f t="array" ref="B128">IFERROR(_xlfn.XLOOKUP(A128,Sheet2!$A$2:$A$1453,Sheet2!$B$2:$B$1453),_xlfn.XLOOKUP(A128,TEXT(Sheet2!$A$2:$A$1453,"0"),Sheet2!$B$2:$B$1453,""))</f>
        <v>NIVEA ROLL DRY MEN 50ML 80031</v>
      </c>
      <c r="C128" s="2">
        <v>18.84</v>
      </c>
      <c r="D128" s="2" cm="1">
        <f t="array" ref="D128">_xlfn.LET(_xlpm.v,IFERROR(_xlfn.XLOOKUP(A128,Sheet2!$A$2:$A$1453,Sheet2!$D$2:$D$1453),_xlfn.XLOOKUP(A128,TEXT(Sheet2!$A$2:$A$1453,"0"),Sheet2!$D$2:$D$1453,"")),IF(_xlpm.v="","",IF(_xlpm.v&lt;1,_xlpm.v*100,_xlpm.v)))</f>
        <v>15</v>
      </c>
      <c r="E128" s="2">
        <f t="shared" si="1"/>
        <v>16.013999999999999</v>
      </c>
      <c r="F128" s="2" t="str" cm="1">
        <f t="array" ref="F128">IFERROR(_xlfn.XLOOKUP(A128,Sheet2!$A$2:$A$1453,Sheet2!$F$2:$F$1453),_xlfn.XLOOKUP(A128,TEXT(Sheet2!$A$2:$A$1453,"0"),Sheet2!$F$2:$F$1453,""))</f>
        <v>26-7-2026</v>
      </c>
      <c r="G128" s="2" t="str" cm="1">
        <f t="array" ref="G128">IFERROR(_xlfn.XLOOKUP(A128,Sheet2!$A$2:$A$1453,Sheet2!$G$2:$G$1453),_xlfn.XLOOKUP(A128,TEXT(Sheet2!$A$2:$A$1453,"0"),Sheet2!$G$2:$G$1453,""))</f>
        <v>6-8-2026</v>
      </c>
    </row>
    <row r="129" spans="1:7" x14ac:dyDescent="0.2">
      <c r="A129" s="1">
        <v>20309060595</v>
      </c>
      <c r="B129" t="str" cm="1">
        <f t="array" ref="B129">IFERROR(_xlfn.XLOOKUP(A129,Sheet2!$A$2:$A$1453,Sheet2!$B$2:$B$1453),_xlfn.XLOOKUP(A129,TEXT(Sheet2!$A$2:$A$1453,"0"),Sheet2!$B$2:$B$1453,""))</f>
        <v>NIVEA FRESH NATURAL SPRAY WOMEN 200 ML 80036</v>
      </c>
      <c r="C129" s="2">
        <v>27.41</v>
      </c>
      <c r="D129" s="2" cm="1">
        <f t="array" ref="D129">_xlfn.LET(_xlpm.v,IFERROR(_xlfn.XLOOKUP(A129,Sheet2!$A$2:$A$1453,Sheet2!$D$2:$D$1453),_xlfn.XLOOKUP(A129,TEXT(Sheet2!$A$2:$A$1453,"0"),Sheet2!$D$2:$D$1453,"")),IF(_xlpm.v="","",IF(_xlpm.v&lt;1,_xlpm.v*100,_xlpm.v)))</f>
        <v>15</v>
      </c>
      <c r="E129" s="2">
        <f t="shared" si="1"/>
        <v>23.298500000000001</v>
      </c>
      <c r="F129" s="2" t="str" cm="1">
        <f t="array" ref="F129">IFERROR(_xlfn.XLOOKUP(A129,Sheet2!$A$2:$A$1453,Sheet2!$F$2:$F$1453),_xlfn.XLOOKUP(A129,TEXT(Sheet2!$A$2:$A$1453,"0"),Sheet2!$F$2:$F$1453,""))</f>
        <v>26-7-2026</v>
      </c>
      <c r="G129" s="2" t="str" cm="1">
        <f t="array" ref="G129">IFERROR(_xlfn.XLOOKUP(A129,Sheet2!$A$2:$A$1453,Sheet2!$G$2:$G$1453),_xlfn.XLOOKUP(A129,TEXT(Sheet2!$A$2:$A$1453,"0"),Sheet2!$G$2:$G$1453,""))</f>
        <v>6-8-2026</v>
      </c>
    </row>
    <row r="130" spans="1:7" x14ac:dyDescent="0.2">
      <c r="A130" s="1">
        <v>20309060663</v>
      </c>
      <c r="B130" t="str" cm="1">
        <f t="array" ref="B130">IFERROR(_xlfn.XLOOKUP(A130,Sheet2!$A$2:$A$1453,Sheet2!$B$2:$B$1453),_xlfn.XLOOKUP(A130,TEXT(Sheet2!$A$2:$A$1453,"0"),Sheet2!$B$2:$B$1453,""))</f>
        <v>NIVEA DEO SPRY MALE DEEP 150 ML 80139</v>
      </c>
      <c r="C130" s="2">
        <v>23.24</v>
      </c>
      <c r="D130" s="2" cm="1">
        <f t="array" ref="D130">_xlfn.LET(_xlpm.v,IFERROR(_xlfn.XLOOKUP(A130,Sheet2!$A$2:$A$1453,Sheet2!$D$2:$D$1453),_xlfn.XLOOKUP(A130,TEXT(Sheet2!$A$2:$A$1453,"0"),Sheet2!$D$2:$D$1453,"")),IF(_xlpm.v="","",IF(_xlpm.v&lt;1,_xlpm.v*100,_xlpm.v)))</f>
        <v>15</v>
      </c>
      <c r="E130" s="2">
        <f t="shared" si="1"/>
        <v>19.753999999999998</v>
      </c>
      <c r="F130" s="2" t="str" cm="1">
        <f t="array" ref="F130">IFERROR(_xlfn.XLOOKUP(A130,Sheet2!$A$2:$A$1453,Sheet2!$F$2:$F$1453),_xlfn.XLOOKUP(A130,TEXT(Sheet2!$A$2:$A$1453,"0"),Sheet2!$F$2:$F$1453,""))</f>
        <v>26-7-2026</v>
      </c>
      <c r="G130" s="2" t="str" cm="1">
        <f t="array" ref="G130">IFERROR(_xlfn.XLOOKUP(A130,Sheet2!$A$2:$A$1453,Sheet2!$G$2:$G$1453),_xlfn.XLOOKUP(A130,TEXT(Sheet2!$A$2:$A$1453,"0"),Sheet2!$G$2:$G$1453,""))</f>
        <v>6-8-2026</v>
      </c>
    </row>
    <row r="131" spans="1:7" x14ac:dyDescent="0.2">
      <c r="A131" s="1">
        <v>20309060606</v>
      </c>
      <c r="B131" t="str" cm="1">
        <f t="array" ref="B131">IFERROR(_xlfn.XLOOKUP(A131,Sheet2!$A$2:$A$1453,Sheet2!$B$2:$B$1453),_xlfn.XLOOKUP(A131,TEXT(Sheet2!$A$2:$A$1453,"0"),Sheet2!$B$2:$B$1453,""))</f>
        <v>NIVEA DEO SPRAY MALE INVISIBLE B&amp;W FRESH 200ML 80157</v>
      </c>
      <c r="C131" s="2">
        <v>27.41</v>
      </c>
      <c r="D131" s="2" cm="1">
        <f t="array" ref="D131">_xlfn.LET(_xlpm.v,IFERROR(_xlfn.XLOOKUP(A131,Sheet2!$A$2:$A$1453,Sheet2!$D$2:$D$1453),_xlfn.XLOOKUP(A131,TEXT(Sheet2!$A$2:$A$1453,"0"),Sheet2!$D$2:$D$1453,"")),IF(_xlpm.v="","",IF(_xlpm.v&lt;1,_xlpm.v*100,_xlpm.v)))</f>
        <v>15</v>
      </c>
      <c r="E131" s="2">
        <f t="shared" ref="E131:E194" si="2">IF(D131="","",C131*(1-D131/100))</f>
        <v>23.298500000000001</v>
      </c>
      <c r="F131" s="2" t="str" cm="1">
        <f t="array" ref="F131">IFERROR(_xlfn.XLOOKUP(A131,Sheet2!$A$2:$A$1453,Sheet2!$F$2:$F$1453),_xlfn.XLOOKUP(A131,TEXT(Sheet2!$A$2:$A$1453,"0"),Sheet2!$F$2:$F$1453,""))</f>
        <v>26-7-2026</v>
      </c>
      <c r="G131" s="2" t="str" cm="1">
        <f t="array" ref="G131">IFERROR(_xlfn.XLOOKUP(A131,Sheet2!$A$2:$A$1453,Sheet2!$G$2:$G$1453),_xlfn.XLOOKUP(A131,TEXT(Sheet2!$A$2:$A$1453,"0"),Sheet2!$G$2:$G$1453,""))</f>
        <v>6-8-2026</v>
      </c>
    </row>
    <row r="132" spans="1:7" x14ac:dyDescent="0.2">
      <c r="A132" s="1">
        <v>20309060664</v>
      </c>
      <c r="B132" t="str" cm="1">
        <f t="array" ref="B132">IFERROR(_xlfn.XLOOKUP(A132,Sheet2!$A$2:$A$1453,Sheet2!$B$2:$B$1453),_xlfn.XLOOKUP(A132,TEXT(Sheet2!$A$2:$A$1453,"0"),Sheet2!$B$2:$B$1453,""))</f>
        <v>NIVEA DEO SPRAY MALE DEEP 200ML 80140</v>
      </c>
      <c r="C132" s="2">
        <v>27.41</v>
      </c>
      <c r="D132" s="2" cm="1">
        <f t="array" ref="D132">_xlfn.LET(_xlpm.v,IFERROR(_xlfn.XLOOKUP(A132,Sheet2!$A$2:$A$1453,Sheet2!$D$2:$D$1453),_xlfn.XLOOKUP(A132,TEXT(Sheet2!$A$2:$A$1453,"0"),Sheet2!$D$2:$D$1453,"")),IF(_xlpm.v="","",IF(_xlpm.v&lt;1,_xlpm.v*100,_xlpm.v)))</f>
        <v>15</v>
      </c>
      <c r="E132" s="2">
        <f t="shared" si="2"/>
        <v>23.298500000000001</v>
      </c>
      <c r="F132" s="2" t="str" cm="1">
        <f t="array" ref="F132">IFERROR(_xlfn.XLOOKUP(A132,Sheet2!$A$2:$A$1453,Sheet2!$F$2:$F$1453),_xlfn.XLOOKUP(A132,TEXT(Sheet2!$A$2:$A$1453,"0"),Sheet2!$F$2:$F$1453,""))</f>
        <v>26-7-2026</v>
      </c>
      <c r="G132" s="2" t="str" cm="1">
        <f t="array" ref="G132">IFERROR(_xlfn.XLOOKUP(A132,Sheet2!$A$2:$A$1453,Sheet2!$G$2:$G$1453),_xlfn.XLOOKUP(A132,TEXT(Sheet2!$A$2:$A$1453,"0"),Sheet2!$G$2:$G$1453,""))</f>
        <v>6-8-2026</v>
      </c>
    </row>
    <row r="133" spans="1:7" x14ac:dyDescent="0.2">
      <c r="A133" s="1">
        <v>20309060670</v>
      </c>
      <c r="B133" t="str" cm="1">
        <f t="array" ref="B133">IFERROR(_xlfn.XLOOKUP(A133,Sheet2!$A$2:$A$1453,Sheet2!$B$2:$B$1453),_xlfn.XLOOKUP(A133,TEXT(Sheet2!$A$2:$A$1453,"0"),Sheet2!$B$2:$B$1453,""))</f>
        <v>NIVEA DEO SPY FML FRESH CHERY 150ML-71477</v>
      </c>
      <c r="C133" s="2">
        <v>23.31</v>
      </c>
      <c r="D133" s="2" cm="1">
        <f t="array" ref="D133">_xlfn.LET(_xlpm.v,IFERROR(_xlfn.XLOOKUP(A133,Sheet2!$A$2:$A$1453,Sheet2!$D$2:$D$1453),_xlfn.XLOOKUP(A133,TEXT(Sheet2!$A$2:$A$1453,"0"),Sheet2!$D$2:$D$1453,"")),IF(_xlpm.v="","",IF(_xlpm.v&lt;1,_xlpm.v*100,_xlpm.v)))</f>
        <v>15</v>
      </c>
      <c r="E133" s="2">
        <f t="shared" si="2"/>
        <v>19.813499999999998</v>
      </c>
      <c r="F133" s="2" t="str" cm="1">
        <f t="array" ref="F133">IFERROR(_xlfn.XLOOKUP(A133,Sheet2!$A$2:$A$1453,Sheet2!$F$2:$F$1453),_xlfn.XLOOKUP(A133,TEXT(Sheet2!$A$2:$A$1453,"0"),Sheet2!$F$2:$F$1453,""))</f>
        <v>26-7-2026</v>
      </c>
      <c r="G133" s="2" t="str" cm="1">
        <f t="array" ref="G133">IFERROR(_xlfn.XLOOKUP(A133,Sheet2!$A$2:$A$1453,Sheet2!$G$2:$G$1453),_xlfn.XLOOKUP(A133,TEXT(Sheet2!$A$2:$A$1453,"0"),Sheet2!$G$2:$G$1453,""))</f>
        <v>6-8-2026</v>
      </c>
    </row>
    <row r="134" spans="1:7" x14ac:dyDescent="0.2">
      <c r="A134" s="1">
        <v>20309060766</v>
      </c>
      <c r="B134" t="str" cm="1">
        <f t="array" ref="B134">IFERROR(_xlfn.XLOOKUP(A134,Sheet2!$A$2:$A$1453,Sheet2!$B$2:$B$1453),_xlfn.XLOOKUP(A134,TEXT(Sheet2!$A$2:$A$1453,"0"),Sheet2!$B$2:$B$1453,""))</f>
        <v>NIVEA DEO SPRAY DEEP SPORT MALE 150 ML93381 80241</v>
      </c>
      <c r="C134" s="2">
        <v>23.31</v>
      </c>
      <c r="D134" s="2" cm="1">
        <f t="array" ref="D134">_xlfn.LET(_xlpm.v,IFERROR(_xlfn.XLOOKUP(A134,Sheet2!$A$2:$A$1453,Sheet2!$D$2:$D$1453),_xlfn.XLOOKUP(A134,TEXT(Sheet2!$A$2:$A$1453,"0"),Sheet2!$D$2:$D$1453,"")),IF(_xlpm.v="","",IF(_xlpm.v&lt;1,_xlpm.v*100,_xlpm.v)))</f>
        <v>15</v>
      </c>
      <c r="E134" s="2">
        <f t="shared" si="2"/>
        <v>19.813499999999998</v>
      </c>
      <c r="F134" s="2" t="str" cm="1">
        <f t="array" ref="F134">IFERROR(_xlfn.XLOOKUP(A134,Sheet2!$A$2:$A$1453,Sheet2!$F$2:$F$1453),_xlfn.XLOOKUP(A134,TEXT(Sheet2!$A$2:$A$1453,"0"),Sheet2!$F$2:$F$1453,""))</f>
        <v>26-7-2026</v>
      </c>
      <c r="G134" s="2" t="str" cm="1">
        <f t="array" ref="G134">IFERROR(_xlfn.XLOOKUP(A134,Sheet2!$A$2:$A$1453,Sheet2!$G$2:$G$1453),_xlfn.XLOOKUP(A134,TEXT(Sheet2!$A$2:$A$1453,"0"),Sheet2!$G$2:$G$1453,""))</f>
        <v>6-8-2026</v>
      </c>
    </row>
    <row r="135" spans="1:7" x14ac:dyDescent="0.2">
      <c r="A135" s="1">
        <v>20309060599</v>
      </c>
      <c r="B135" t="str" cm="1">
        <f t="array" ref="B135">IFERROR(_xlfn.XLOOKUP(A135,Sheet2!$A$2:$A$1453,Sheet2!$B$2:$B$1453),_xlfn.XLOOKUP(A135,TEXT(Sheet2!$A$2:$A$1453,"0"),Sheet2!$B$2:$B$1453,""))</f>
        <v>NIVEA DEO SPRAY DEEP BROWN 150 ML 71374</v>
      </c>
      <c r="C135" s="2">
        <v>23.3</v>
      </c>
      <c r="D135" s="2" cm="1">
        <f t="array" ref="D135">_xlfn.LET(_xlpm.v,IFERROR(_xlfn.XLOOKUP(A135,Sheet2!$A$2:$A$1453,Sheet2!$D$2:$D$1453),_xlfn.XLOOKUP(A135,TEXT(Sheet2!$A$2:$A$1453,"0"),Sheet2!$D$2:$D$1453,"")),IF(_xlpm.v="","",IF(_xlpm.v&lt;1,_xlpm.v*100,_xlpm.v)))</f>
        <v>15</v>
      </c>
      <c r="E135" s="2">
        <f t="shared" si="2"/>
        <v>19.805</v>
      </c>
      <c r="F135" s="2" t="str" cm="1">
        <f t="array" ref="F135">IFERROR(_xlfn.XLOOKUP(A135,Sheet2!$A$2:$A$1453,Sheet2!$F$2:$F$1453),_xlfn.XLOOKUP(A135,TEXT(Sheet2!$A$2:$A$1453,"0"),Sheet2!$F$2:$F$1453,""))</f>
        <v>26-7-2026</v>
      </c>
      <c r="G135" s="2" t="str" cm="1">
        <f t="array" ref="G135">IFERROR(_xlfn.XLOOKUP(A135,Sheet2!$A$2:$A$1453,Sheet2!$G$2:$G$1453),_xlfn.XLOOKUP(A135,TEXT(Sheet2!$A$2:$A$1453,"0"),Sheet2!$G$2:$G$1453,""))</f>
        <v>6-8-2026</v>
      </c>
    </row>
    <row r="136" spans="1:7" x14ac:dyDescent="0.2">
      <c r="A136" s="1">
        <v>20309060608</v>
      </c>
      <c r="B136" t="str" cm="1">
        <f t="array" ref="B136">IFERROR(_xlfn.XLOOKUP(A136,Sheet2!$A$2:$A$1453,Sheet2!$B$2:$B$1453),_xlfn.XLOOKUP(A136,TEXT(Sheet2!$A$2:$A$1453,"0"),Sheet2!$B$2:$B$1453,""))</f>
        <v>NIVEA DEO SPRAY B&amp;W SILKY SMOOTH 150ML 71399</v>
      </c>
      <c r="C136" s="2">
        <v>23.31</v>
      </c>
      <c r="D136" s="2" cm="1">
        <f t="array" ref="D136">_xlfn.LET(_xlpm.v,IFERROR(_xlfn.XLOOKUP(A136,Sheet2!$A$2:$A$1453,Sheet2!$D$2:$D$1453),_xlfn.XLOOKUP(A136,TEXT(Sheet2!$A$2:$A$1453,"0"),Sheet2!$D$2:$D$1453,"")),IF(_xlpm.v="","",IF(_xlpm.v&lt;1,_xlpm.v*100,_xlpm.v)))</f>
        <v>15</v>
      </c>
      <c r="E136" s="2">
        <f t="shared" si="2"/>
        <v>19.813499999999998</v>
      </c>
      <c r="F136" s="2" t="str" cm="1">
        <f t="array" ref="F136">IFERROR(_xlfn.XLOOKUP(A136,Sheet2!$A$2:$A$1453,Sheet2!$F$2:$F$1453),_xlfn.XLOOKUP(A136,TEXT(Sheet2!$A$2:$A$1453,"0"),Sheet2!$F$2:$F$1453,""))</f>
        <v>26-7-2026</v>
      </c>
      <c r="G136" s="2" t="str" cm="1">
        <f t="array" ref="G136">IFERROR(_xlfn.XLOOKUP(A136,Sheet2!$A$2:$A$1453,Sheet2!$G$2:$G$1453),_xlfn.XLOOKUP(A136,TEXT(Sheet2!$A$2:$A$1453,"0"),Sheet2!$G$2:$G$1453,""))</f>
        <v>6-8-2026</v>
      </c>
    </row>
    <row r="137" spans="1:7" x14ac:dyDescent="0.2">
      <c r="A137" s="1">
        <v>20309020159</v>
      </c>
      <c r="B137" t="str" cm="1">
        <f t="array" ref="B137">IFERROR(_xlfn.XLOOKUP(A137,Sheet2!$A$2:$A$1453,Sheet2!$B$2:$B$1453),_xlfn.XLOOKUP(A137,TEXT(Sheet2!$A$2:$A$1453,"0"),Sheet2!$B$2:$B$1453,""))</f>
        <v>NIVEA DEO ROLL MALE INVISIBLE B&amp;W FRESH 50ML 80158</v>
      </c>
      <c r="C137" s="2">
        <v>18.84</v>
      </c>
      <c r="D137" s="2" cm="1">
        <f t="array" ref="D137">_xlfn.LET(_xlpm.v,IFERROR(_xlfn.XLOOKUP(A137,Sheet2!$A$2:$A$1453,Sheet2!$D$2:$D$1453),_xlfn.XLOOKUP(A137,TEXT(Sheet2!$A$2:$A$1453,"0"),Sheet2!$D$2:$D$1453,"")),IF(_xlpm.v="","",IF(_xlpm.v&lt;1,_xlpm.v*100,_xlpm.v)))</f>
        <v>15</v>
      </c>
      <c r="E137" s="2">
        <f t="shared" si="2"/>
        <v>16.013999999999999</v>
      </c>
      <c r="F137" s="2" t="str" cm="1">
        <f t="array" ref="F137">IFERROR(_xlfn.XLOOKUP(A137,Sheet2!$A$2:$A$1453,Sheet2!$F$2:$F$1453),_xlfn.XLOOKUP(A137,TEXT(Sheet2!$A$2:$A$1453,"0"),Sheet2!$F$2:$F$1453,""))</f>
        <v>26-7-2026</v>
      </c>
      <c r="G137" s="2" t="str" cm="1">
        <f t="array" ref="G137">IFERROR(_xlfn.XLOOKUP(A137,Sheet2!$A$2:$A$1453,Sheet2!$G$2:$G$1453),_xlfn.XLOOKUP(A137,TEXT(Sheet2!$A$2:$A$1453,"0"),Sheet2!$G$2:$G$1453,""))</f>
        <v>6-8-2026</v>
      </c>
    </row>
    <row r="138" spans="1:7" x14ac:dyDescent="0.2">
      <c r="A138" s="1">
        <v>20309060598</v>
      </c>
      <c r="B138" t="str" cm="1">
        <f t="array" ref="B138">IFERROR(_xlfn.XLOOKUP(A138,Sheet2!$A$2:$A$1453,Sheet2!$B$2:$B$1453),_xlfn.XLOOKUP(A138,TEXT(Sheet2!$A$2:$A$1453,"0"),Sheet2!$B$2:$B$1453,""))</f>
        <v>NIVEA DEO ROLL DEEP BROWN 50 ML 80155</v>
      </c>
      <c r="C138" s="2">
        <v>18.84</v>
      </c>
      <c r="D138" s="2" cm="1">
        <f t="array" ref="D138">_xlfn.LET(_xlpm.v,IFERROR(_xlfn.XLOOKUP(A138,Sheet2!$A$2:$A$1453,Sheet2!$D$2:$D$1453),_xlfn.XLOOKUP(A138,TEXT(Sheet2!$A$2:$A$1453,"0"),Sheet2!$D$2:$D$1453,"")),IF(_xlpm.v="","",IF(_xlpm.v&lt;1,_xlpm.v*100,_xlpm.v)))</f>
        <v>15</v>
      </c>
      <c r="E138" s="2">
        <f t="shared" si="2"/>
        <v>16.013999999999999</v>
      </c>
      <c r="F138" s="2" t="str" cm="1">
        <f t="array" ref="F138">IFERROR(_xlfn.XLOOKUP(A138,Sheet2!$A$2:$A$1453,Sheet2!$F$2:$F$1453),_xlfn.XLOOKUP(A138,TEXT(Sheet2!$A$2:$A$1453,"0"),Sheet2!$F$2:$F$1453,""))</f>
        <v>26-7-2026</v>
      </c>
      <c r="G138" s="2" t="str" cm="1">
        <f t="array" ref="G138">IFERROR(_xlfn.XLOOKUP(A138,Sheet2!$A$2:$A$1453,Sheet2!$G$2:$G$1453),_xlfn.XLOOKUP(A138,TEXT(Sheet2!$A$2:$A$1453,"0"),Sheet2!$G$2:$G$1453,""))</f>
        <v>6-8-2026</v>
      </c>
    </row>
    <row r="139" spans="1:7" x14ac:dyDescent="0.2">
      <c r="A139" s="1">
        <v>20309060765</v>
      </c>
      <c r="B139" t="str" cm="1">
        <f t="array" ref="B139">IFERROR(_xlfn.XLOOKUP(A139,Sheet2!$A$2:$A$1453,Sheet2!$B$2:$B$1453),_xlfn.XLOOKUP(A139,TEXT(Sheet2!$A$2:$A$1453,"0"),Sheet2!$B$2:$B$1453,""))</f>
        <v>NIVEA DEO ROLL  PEARL&amp;BEAUTY BLACK FEMALE 50 ML 85346  80110</v>
      </c>
      <c r="C139" s="2">
        <v>18.84</v>
      </c>
      <c r="D139" s="2" cm="1">
        <f t="array" ref="D139">_xlfn.LET(_xlpm.v,IFERROR(_xlfn.XLOOKUP(A139,Sheet2!$A$2:$A$1453,Sheet2!$D$2:$D$1453),_xlfn.XLOOKUP(A139,TEXT(Sheet2!$A$2:$A$1453,"0"),Sheet2!$D$2:$D$1453,"")),IF(_xlpm.v="","",IF(_xlpm.v&lt;1,_xlpm.v*100,_xlpm.v)))</f>
        <v>15</v>
      </c>
      <c r="E139" s="2">
        <f t="shared" si="2"/>
        <v>16.013999999999999</v>
      </c>
      <c r="F139" s="2" t="str" cm="1">
        <f t="array" ref="F139">IFERROR(_xlfn.XLOOKUP(A139,Sheet2!$A$2:$A$1453,Sheet2!$F$2:$F$1453),_xlfn.XLOOKUP(A139,TEXT(Sheet2!$A$2:$A$1453,"0"),Sheet2!$F$2:$F$1453,""))</f>
        <v>26-7-2026</v>
      </c>
      <c r="G139" s="2" t="str" cm="1">
        <f t="array" ref="G139">IFERROR(_xlfn.XLOOKUP(A139,Sheet2!$A$2:$A$1453,Sheet2!$G$2:$G$1453),_xlfn.XLOOKUP(A139,TEXT(Sheet2!$A$2:$A$1453,"0"),Sheet2!$G$2:$G$1453,""))</f>
        <v>6-8-2026</v>
      </c>
    </row>
    <row r="140" spans="1:7" x14ac:dyDescent="0.2">
      <c r="A140" s="1">
        <v>20309060428</v>
      </c>
      <c r="B140" t="str" cm="1">
        <f t="array" ref="B140">IFERROR(_xlfn.XLOOKUP(A140,Sheet2!$A$2:$A$1453,Sheet2!$B$2:$B$1453),_xlfn.XLOOKUP(A140,TEXT(Sheet2!$A$2:$A$1453,"0"),Sheet2!$B$2:$B$1453,""))</f>
        <v>NIVEA DEO ROLL  DEEP SPORT MALE 50 ML93388 80240</v>
      </c>
      <c r="C140" s="2">
        <v>18.84</v>
      </c>
      <c r="D140" s="2" cm="1">
        <f t="array" ref="D140">_xlfn.LET(_xlpm.v,IFERROR(_xlfn.XLOOKUP(A140,Sheet2!$A$2:$A$1453,Sheet2!$D$2:$D$1453),_xlfn.XLOOKUP(A140,TEXT(Sheet2!$A$2:$A$1453,"0"),Sheet2!$D$2:$D$1453,"")),IF(_xlpm.v="","",IF(_xlpm.v&lt;1,_xlpm.v*100,_xlpm.v)))</f>
        <v>15</v>
      </c>
      <c r="E140" s="2">
        <f t="shared" si="2"/>
        <v>16.013999999999999</v>
      </c>
      <c r="F140" s="2" t="str" cm="1">
        <f t="array" ref="F140">IFERROR(_xlfn.XLOOKUP(A140,Sheet2!$A$2:$A$1453,Sheet2!$F$2:$F$1453),_xlfn.XLOOKUP(A140,TEXT(Sheet2!$A$2:$A$1453,"0"),Sheet2!$F$2:$F$1453,""))</f>
        <v>26-7-2026</v>
      </c>
      <c r="G140" s="2" t="str" cm="1">
        <f t="array" ref="G140">IFERROR(_xlfn.XLOOKUP(A140,Sheet2!$A$2:$A$1453,Sheet2!$G$2:$G$1453),_xlfn.XLOOKUP(A140,TEXT(Sheet2!$A$2:$A$1453,"0"),Sheet2!$G$2:$G$1453,""))</f>
        <v>6-8-2026</v>
      </c>
    </row>
    <row r="141" spans="1:7" x14ac:dyDescent="0.2">
      <c r="A141" s="1">
        <v>20309060667</v>
      </c>
      <c r="B141" t="str" cm="1">
        <f t="array" ref="B141">IFERROR(_xlfn.XLOOKUP(A141,Sheet2!$A$2:$A$1453,Sheet2!$B$2:$B$1453),_xlfn.XLOOKUP(A141,TEXT(Sheet2!$A$2:$A$1453,"0"),Sheet2!$B$2:$B$1453,""))</f>
        <v>NIVEA DEO B&amp;W SILKY SMOOTH ROLL ON 50ML-71401</v>
      </c>
      <c r="C141" s="2">
        <v>18.72</v>
      </c>
      <c r="D141" s="2" cm="1">
        <f t="array" ref="D141">_xlfn.LET(_xlpm.v,IFERROR(_xlfn.XLOOKUP(A141,Sheet2!$A$2:$A$1453,Sheet2!$D$2:$D$1453),_xlfn.XLOOKUP(A141,TEXT(Sheet2!$A$2:$A$1453,"0"),Sheet2!$D$2:$D$1453,"")),IF(_xlpm.v="","",IF(_xlpm.v&lt;1,_xlpm.v*100,_xlpm.v)))</f>
        <v>15</v>
      </c>
      <c r="E141" s="2">
        <f t="shared" si="2"/>
        <v>15.911999999999999</v>
      </c>
      <c r="F141" s="2" t="str" cm="1">
        <f t="array" ref="F141">IFERROR(_xlfn.XLOOKUP(A141,Sheet2!$A$2:$A$1453,Sheet2!$F$2:$F$1453),_xlfn.XLOOKUP(A141,TEXT(Sheet2!$A$2:$A$1453,"0"),Sheet2!$F$2:$F$1453,""))</f>
        <v>26-7-2026</v>
      </c>
      <c r="G141" s="2" t="str" cm="1">
        <f t="array" ref="G141">IFERROR(_xlfn.XLOOKUP(A141,Sheet2!$A$2:$A$1453,Sheet2!$G$2:$G$1453),_xlfn.XLOOKUP(A141,TEXT(Sheet2!$A$2:$A$1453,"0"),Sheet2!$G$2:$G$1453,""))</f>
        <v>6-8-2026</v>
      </c>
    </row>
    <row r="142" spans="1:7" x14ac:dyDescent="0.2">
      <c r="A142" s="1">
        <v>20309060211</v>
      </c>
      <c r="B142" t="str" cm="1">
        <f t="array" ref="B142">IFERROR(_xlfn.XLOOKUP(A142,Sheet2!$A$2:$A$1453,Sheet2!$B$2:$B$1453),_xlfn.XLOOKUP(A142,TEXT(Sheet2!$A$2:$A$1453,"0"),Sheet2!$B$2:$B$1453,""))</f>
        <v>NIVEA  STICK FRESH MALE 50ML 80102</v>
      </c>
      <c r="C142" s="2">
        <v>25.36</v>
      </c>
      <c r="D142" s="2" cm="1">
        <f t="array" ref="D142">_xlfn.LET(_xlpm.v,IFERROR(_xlfn.XLOOKUP(A142,Sheet2!$A$2:$A$1453,Sheet2!$D$2:$D$1453),_xlfn.XLOOKUP(A142,TEXT(Sheet2!$A$2:$A$1453,"0"),Sheet2!$D$2:$D$1453,"")),IF(_xlpm.v="","",IF(_xlpm.v&lt;1,_xlpm.v*100,_xlpm.v)))</f>
        <v>15</v>
      </c>
      <c r="E142" s="2">
        <f t="shared" si="2"/>
        <v>21.555999999999997</v>
      </c>
      <c r="F142" s="2" t="str" cm="1">
        <f t="array" ref="F142">IFERROR(_xlfn.XLOOKUP(A142,Sheet2!$A$2:$A$1453,Sheet2!$F$2:$F$1453),_xlfn.XLOOKUP(A142,TEXT(Sheet2!$A$2:$A$1453,"0"),Sheet2!$F$2:$F$1453,""))</f>
        <v>26-7-2026</v>
      </c>
      <c r="G142" s="2" t="str" cm="1">
        <f t="array" ref="G142">IFERROR(_xlfn.XLOOKUP(A142,Sheet2!$A$2:$A$1453,Sheet2!$G$2:$G$1453),_xlfn.XLOOKUP(A142,TEXT(Sheet2!$A$2:$A$1453,"0"),Sheet2!$G$2:$G$1453,""))</f>
        <v>6-8-2026</v>
      </c>
    </row>
    <row r="143" spans="1:7" x14ac:dyDescent="0.2">
      <c r="A143" s="1">
        <v>20309060206</v>
      </c>
      <c r="B143" t="str" cm="1">
        <f t="array" ref="B143">IFERROR(_xlfn.XLOOKUP(A143,Sheet2!$A$2:$A$1453,Sheet2!$B$2:$B$1453),_xlfn.XLOOKUP(A143,TEXT(Sheet2!$A$2:$A$1453,"0"),Sheet2!$B$2:$B$1453,""))</f>
        <v>NIVEA  SPRAY SILVER PROTECT MEN 150 ML 80039</v>
      </c>
      <c r="C143" s="2">
        <v>23.31</v>
      </c>
      <c r="D143" s="2" cm="1">
        <f t="array" ref="D143">_xlfn.LET(_xlpm.v,IFERROR(_xlfn.XLOOKUP(A143,Sheet2!$A$2:$A$1453,Sheet2!$D$2:$D$1453),_xlfn.XLOOKUP(A143,TEXT(Sheet2!$A$2:$A$1453,"0"),Sheet2!$D$2:$D$1453,"")),IF(_xlpm.v="","",IF(_xlpm.v&lt;1,_xlpm.v*100,_xlpm.v)))</f>
        <v>15</v>
      </c>
      <c r="E143" s="2">
        <f t="shared" si="2"/>
        <v>19.813499999999998</v>
      </c>
      <c r="F143" s="2" t="str" cm="1">
        <f t="array" ref="F143">IFERROR(_xlfn.XLOOKUP(A143,Sheet2!$A$2:$A$1453,Sheet2!$F$2:$F$1453),_xlfn.XLOOKUP(A143,TEXT(Sheet2!$A$2:$A$1453,"0"),Sheet2!$F$2:$F$1453,""))</f>
        <v>26-7-2026</v>
      </c>
      <c r="G143" s="2" t="str" cm="1">
        <f t="array" ref="G143">IFERROR(_xlfn.XLOOKUP(A143,Sheet2!$A$2:$A$1453,Sheet2!$G$2:$G$1453),_xlfn.XLOOKUP(A143,TEXT(Sheet2!$A$2:$A$1453,"0"),Sheet2!$G$2:$G$1453,""))</f>
        <v>6-8-2026</v>
      </c>
    </row>
    <row r="144" spans="1:7" x14ac:dyDescent="0.2">
      <c r="A144" s="1">
        <v>20309060200</v>
      </c>
      <c r="B144" t="str" cm="1">
        <f t="array" ref="B144">IFERROR(_xlfn.XLOOKUP(A144,Sheet2!$A$2:$A$1453,Sheet2!$B$2:$B$1453),_xlfn.XLOOKUP(A144,TEXT(Sheet2!$A$2:$A$1453,"0"),Sheet2!$B$2:$B$1453,""))</f>
        <v>NIVEA  DRY SPRAY  FEMALE 150 ML 70093</v>
      </c>
      <c r="C144" s="2">
        <v>23.31</v>
      </c>
      <c r="D144" s="2" cm="1">
        <f t="array" ref="D144">_xlfn.LET(_xlpm.v,IFERROR(_xlfn.XLOOKUP(A144,Sheet2!$A$2:$A$1453,Sheet2!$D$2:$D$1453),_xlfn.XLOOKUP(A144,TEXT(Sheet2!$A$2:$A$1453,"0"),Sheet2!$D$2:$D$1453,"")),IF(_xlpm.v="","",IF(_xlpm.v&lt;1,_xlpm.v*100,_xlpm.v)))</f>
        <v>15</v>
      </c>
      <c r="E144" s="2">
        <f t="shared" si="2"/>
        <v>19.813499999999998</v>
      </c>
      <c r="F144" s="2" t="str" cm="1">
        <f t="array" ref="F144">IFERROR(_xlfn.XLOOKUP(A144,Sheet2!$A$2:$A$1453,Sheet2!$F$2:$F$1453),_xlfn.XLOOKUP(A144,TEXT(Sheet2!$A$2:$A$1453,"0"),Sheet2!$F$2:$F$1453,""))</f>
        <v>26-7-2026</v>
      </c>
      <c r="G144" s="2" t="str" cm="1">
        <f t="array" ref="G144">IFERROR(_xlfn.XLOOKUP(A144,Sheet2!$A$2:$A$1453,Sheet2!$G$2:$G$1453),_xlfn.XLOOKUP(A144,TEXT(Sheet2!$A$2:$A$1453,"0"),Sheet2!$G$2:$G$1453,""))</f>
        <v>6-8-2026</v>
      </c>
    </row>
    <row r="145" spans="1:7" x14ac:dyDescent="0.2">
      <c r="A145" s="1">
        <v>20309503835</v>
      </c>
      <c r="B145" t="str" cm="1">
        <f t="array" ref="B145">IFERROR(_xlfn.XLOOKUP(A145,Sheet2!$A$2:$A$1453,Sheet2!$B$2:$B$1453),_xlfn.XLOOKUP(A145,TEXT(Sheet2!$A$2:$A$1453,"0"),Sheet2!$B$2:$B$1453,""))</f>
        <v>PHILIPS AVENT 962/02 NATURAL 3.0 FEE</v>
      </c>
      <c r="C145" s="2">
        <v>48.01</v>
      </c>
      <c r="D145" s="2" cm="1">
        <f t="array" ref="D145">_xlfn.LET(_xlpm.v,IFERROR(_xlfn.XLOOKUP(A145,Sheet2!$A$2:$A$1453,Sheet2!$D$2:$D$1453),_xlfn.XLOOKUP(A145,TEXT(Sheet2!$A$2:$A$1453,"0"),Sheet2!$D$2:$D$1453,"")),IF(_xlpm.v="","",IF(_xlpm.v&lt;1,_xlpm.v*100,_xlpm.v)))</f>
        <v>15</v>
      </c>
      <c r="E145" s="2">
        <f t="shared" si="2"/>
        <v>40.808499999999995</v>
      </c>
      <c r="F145" s="2" t="str" cm="1">
        <f t="array" ref="F145">IFERROR(_xlfn.XLOOKUP(A145,Sheet2!$A$2:$A$1453,Sheet2!$F$2:$F$1453),_xlfn.XLOOKUP(A145,TEXT(Sheet2!$A$2:$A$1453,"0"),Sheet2!$F$2:$F$1453,""))</f>
        <v>26-7-2026</v>
      </c>
      <c r="G145" s="2" t="str" cm="1">
        <f t="array" ref="G145">IFERROR(_xlfn.XLOOKUP(A145,Sheet2!$A$2:$A$1453,Sheet2!$G$2:$G$1453),_xlfn.XLOOKUP(A145,TEXT(Sheet2!$A$2:$A$1453,"0"),Sheet2!$G$2:$G$1453,""))</f>
        <v>6-8-2026</v>
      </c>
    </row>
    <row r="146" spans="1:7" x14ac:dyDescent="0.2">
      <c r="A146" s="1">
        <v>20315040136</v>
      </c>
      <c r="B146" t="str" cm="1">
        <f t="array" ref="B146">IFERROR(_xlfn.XLOOKUP(A146,Sheet2!$A$2:$A$1453,Sheet2!$B$2:$B$1453),_xlfn.XLOOKUP(A146,TEXT(Sheet2!$A$2:$A$1453,"0"),Sheet2!$B$2:$B$1453,""))</f>
        <v>Philips Avent 673/01 NATURAL 3.0 FEEDIN</v>
      </c>
      <c r="C146" s="2">
        <v>88.01</v>
      </c>
      <c r="D146" s="2" cm="1">
        <f t="array" ref="D146">_xlfn.LET(_xlpm.v,IFERROR(_xlfn.XLOOKUP(A146,Sheet2!$A$2:$A$1453,Sheet2!$D$2:$D$1453),_xlfn.XLOOKUP(A146,TEXT(Sheet2!$A$2:$A$1453,"0"),Sheet2!$D$2:$D$1453,"")),IF(_xlpm.v="","",IF(_xlpm.v&lt;1,_xlpm.v*100,_xlpm.v)))</f>
        <v>15</v>
      </c>
      <c r="E146" s="2">
        <f t="shared" si="2"/>
        <v>74.808500000000009</v>
      </c>
      <c r="F146" s="2" t="str" cm="1">
        <f t="array" ref="F146">IFERROR(_xlfn.XLOOKUP(A146,Sheet2!$A$2:$A$1453,Sheet2!$F$2:$F$1453),_xlfn.XLOOKUP(A146,TEXT(Sheet2!$A$2:$A$1453,"0"),Sheet2!$F$2:$F$1453,""))</f>
        <v>26-7-2026</v>
      </c>
      <c r="G146" s="2" t="str" cm="1">
        <f t="array" ref="G146">IFERROR(_xlfn.XLOOKUP(A146,Sheet2!$A$2:$A$1453,Sheet2!$G$2:$G$1453),_xlfn.XLOOKUP(A146,TEXT(Sheet2!$A$2:$A$1453,"0"),Sheet2!$G$2:$G$1453,""))</f>
        <v>6-8-2026</v>
      </c>
    </row>
    <row r="147" spans="1:7" x14ac:dyDescent="0.2">
      <c r="A147" s="1">
        <v>20315040741</v>
      </c>
      <c r="B147" t="str" cm="1">
        <f t="array" ref="B147">IFERROR(_xlfn.XLOOKUP(A147,Sheet2!$A$2:$A$1453,Sheet2!$B$2:$B$1453),_xlfn.XLOOKUP(A147,TEXT(Sheet2!$A$2:$A$1453,"0"),Sheet2!$B$2:$B$1453,""))</f>
        <v>Philips Avent 670/01 NATURAL 3.0 FEEDIN</v>
      </c>
      <c r="C147" s="2">
        <v>79.010000000000005</v>
      </c>
      <c r="D147" s="2" cm="1">
        <f t="array" ref="D147">_xlfn.LET(_xlpm.v,IFERROR(_xlfn.XLOOKUP(A147,Sheet2!$A$2:$A$1453,Sheet2!$D$2:$D$1453),_xlfn.XLOOKUP(A147,TEXT(Sheet2!$A$2:$A$1453,"0"),Sheet2!$D$2:$D$1453,"")),IF(_xlpm.v="","",IF(_xlpm.v&lt;1,_xlpm.v*100,_xlpm.v)))</f>
        <v>15</v>
      </c>
      <c r="E147" s="2">
        <f t="shared" si="2"/>
        <v>67.158500000000004</v>
      </c>
      <c r="F147" s="2" t="str" cm="1">
        <f t="array" ref="F147">IFERROR(_xlfn.XLOOKUP(A147,Sheet2!$A$2:$A$1453,Sheet2!$F$2:$F$1453),_xlfn.XLOOKUP(A147,TEXT(Sheet2!$A$2:$A$1453,"0"),Sheet2!$F$2:$F$1453,""))</f>
        <v>26-7-2026</v>
      </c>
      <c r="G147" s="2" t="str" cm="1">
        <f t="array" ref="G147">IFERROR(_xlfn.XLOOKUP(A147,Sheet2!$A$2:$A$1453,Sheet2!$G$2:$G$1453),_xlfn.XLOOKUP(A147,TEXT(Sheet2!$A$2:$A$1453,"0"),Sheet2!$G$2:$G$1453,""))</f>
        <v>6-8-2026</v>
      </c>
    </row>
    <row r="148" spans="1:7" x14ac:dyDescent="0.2">
      <c r="A148" s="1">
        <v>20315040843</v>
      </c>
      <c r="B148" t="str" cm="1">
        <f t="array" ref="B148">IFERROR(_xlfn.XLOOKUP(A148,Sheet2!$A$2:$A$1453,Sheet2!$B$2:$B$1453),_xlfn.XLOOKUP(A148,TEXT(Sheet2!$A$2:$A$1453,"0"),Sheet2!$B$2:$B$1453,""))</f>
        <v>Philips Avent 376/12 STHR SIL ULTRA AIR</v>
      </c>
      <c r="C148" s="2">
        <v>57.01</v>
      </c>
      <c r="D148" s="2" cm="1">
        <f t="array" ref="D148">_xlfn.LET(_xlpm.v,IFERROR(_xlfn.XLOOKUP(A148,Sheet2!$A$2:$A$1453,Sheet2!$D$2:$D$1453),_xlfn.XLOOKUP(A148,TEXT(Sheet2!$A$2:$A$1453,"0"),Sheet2!$D$2:$D$1453,"")),IF(_xlpm.v="","",IF(_xlpm.v&lt;1,_xlpm.v*100,_xlpm.v)))</f>
        <v>15</v>
      </c>
      <c r="E148" s="2">
        <f t="shared" si="2"/>
        <v>48.458499999999994</v>
      </c>
      <c r="F148" s="2" t="str" cm="1">
        <f t="array" ref="F148">IFERROR(_xlfn.XLOOKUP(A148,Sheet2!$A$2:$A$1453,Sheet2!$F$2:$F$1453),_xlfn.XLOOKUP(A148,TEXT(Sheet2!$A$2:$A$1453,"0"),Sheet2!$F$2:$F$1453,""))</f>
        <v>26-7-2026</v>
      </c>
      <c r="G148" s="2" t="str" cm="1">
        <f t="array" ref="G148">IFERROR(_xlfn.XLOOKUP(A148,Sheet2!$A$2:$A$1453,Sheet2!$G$2:$G$1453),_xlfn.XLOOKUP(A148,TEXT(Sheet2!$A$2:$A$1453,"0"),Sheet2!$G$2:$G$1453,""))</f>
        <v>6-8-2026</v>
      </c>
    </row>
    <row r="149" spans="1:7" x14ac:dyDescent="0.2">
      <c r="A149" s="1">
        <v>20315040006</v>
      </c>
      <c r="B149" t="str" cm="1">
        <f t="array" ref="B149">IFERROR(_xlfn.XLOOKUP(A149,Sheet2!$A$2:$A$1453,Sheet2!$B$2:$B$1453),_xlfn.XLOOKUP(A149,TEXT(Sheet2!$A$2:$A$1453,"0"),Sheet2!$B$2:$B$1453,""))</f>
        <v>Philips Avent 376/21 STHR SIL ULTRA AIR</v>
      </c>
      <c r="C149" s="2">
        <v>57.01</v>
      </c>
      <c r="D149" s="2" cm="1">
        <f t="array" ref="D149">_xlfn.LET(_xlpm.v,IFERROR(_xlfn.XLOOKUP(A149,Sheet2!$A$2:$A$1453,Sheet2!$D$2:$D$1453),_xlfn.XLOOKUP(A149,TEXT(Sheet2!$A$2:$A$1453,"0"),Sheet2!$D$2:$D$1453,"")),IF(_xlpm.v="","",IF(_xlpm.v&lt;1,_xlpm.v*100,_xlpm.v)))</f>
        <v>15</v>
      </c>
      <c r="E149" s="2">
        <f t="shared" si="2"/>
        <v>48.458499999999994</v>
      </c>
      <c r="F149" s="2" t="str" cm="1">
        <f t="array" ref="F149">IFERROR(_xlfn.XLOOKUP(A149,Sheet2!$A$2:$A$1453,Sheet2!$F$2:$F$1453),_xlfn.XLOOKUP(A149,TEXT(Sheet2!$A$2:$A$1453,"0"),Sheet2!$F$2:$F$1453,""))</f>
        <v>26-7-2026</v>
      </c>
      <c r="G149" s="2" t="str" cm="1">
        <f t="array" ref="G149">IFERROR(_xlfn.XLOOKUP(A149,Sheet2!$A$2:$A$1453,Sheet2!$G$2:$G$1453),_xlfn.XLOOKUP(A149,TEXT(Sheet2!$A$2:$A$1453,"0"),Sheet2!$G$2:$G$1453,""))</f>
        <v>6-8-2026</v>
      </c>
    </row>
    <row r="150" spans="1:7" x14ac:dyDescent="0.2">
      <c r="A150" s="1">
        <v>20315041330</v>
      </c>
      <c r="B150" t="str" cm="1">
        <f t="array" ref="B150">IFERROR(_xlfn.XLOOKUP(A150,Sheet2!$A$2:$A$1453,Sheet2!$B$2:$B$1453),_xlfn.XLOOKUP(A150,TEXT(Sheet2!$A$2:$A$1453,"0"),Sheet2!$B$2:$B$1453,""))</f>
        <v>PHILIPS AVENT 223/03 SOFT SOOTHER 6-</v>
      </c>
      <c r="C150" s="2">
        <v>65.010000000000005</v>
      </c>
      <c r="D150" s="2" cm="1">
        <f t="array" ref="D150">_xlfn.LET(_xlpm.v,IFERROR(_xlfn.XLOOKUP(A150,Sheet2!$A$2:$A$1453,Sheet2!$D$2:$D$1453),_xlfn.XLOOKUP(A150,TEXT(Sheet2!$A$2:$A$1453,"0"),Sheet2!$D$2:$D$1453,"")),IF(_xlpm.v="","",IF(_xlpm.v&lt;1,_xlpm.v*100,_xlpm.v)))</f>
        <v>15</v>
      </c>
      <c r="E150" s="2">
        <f t="shared" si="2"/>
        <v>55.258500000000005</v>
      </c>
      <c r="F150" s="2" t="str" cm="1">
        <f t="array" ref="F150">IFERROR(_xlfn.XLOOKUP(A150,Sheet2!$A$2:$A$1453,Sheet2!$F$2:$F$1453),_xlfn.XLOOKUP(A150,TEXT(Sheet2!$A$2:$A$1453,"0"),Sheet2!$F$2:$F$1453,""))</f>
        <v>26-7-2026</v>
      </c>
      <c r="G150" s="2" t="str" cm="1">
        <f t="array" ref="G150">IFERROR(_xlfn.XLOOKUP(A150,Sheet2!$A$2:$A$1453,Sheet2!$G$2:$G$1453),_xlfn.XLOOKUP(A150,TEXT(Sheet2!$A$2:$A$1453,"0"),Sheet2!$G$2:$G$1453,""))</f>
        <v>6-8-2026</v>
      </c>
    </row>
    <row r="151" spans="1:7" x14ac:dyDescent="0.2">
      <c r="A151" s="1">
        <v>20315041332</v>
      </c>
      <c r="B151" t="str" cm="1">
        <f t="array" ref="B151">IFERROR(_xlfn.XLOOKUP(A151,Sheet2!$A$2:$A$1453,Sheet2!$B$2:$B$1453),_xlfn.XLOOKUP(A151,TEXT(Sheet2!$A$2:$A$1453,"0"),Sheet2!$B$2:$B$1453,""))</f>
        <v>PHILIPS AVENT 223/02 SOFT SOOTHER 6-</v>
      </c>
      <c r="C151" s="2">
        <v>65.010000000000005</v>
      </c>
      <c r="D151" s="2" cm="1">
        <f t="array" ref="D151">_xlfn.LET(_xlpm.v,IFERROR(_xlfn.XLOOKUP(A151,Sheet2!$A$2:$A$1453,Sheet2!$D$2:$D$1453),_xlfn.XLOOKUP(A151,TEXT(Sheet2!$A$2:$A$1453,"0"),Sheet2!$D$2:$D$1453,"")),IF(_xlpm.v="","",IF(_xlpm.v&lt;1,_xlpm.v*100,_xlpm.v)))</f>
        <v>15</v>
      </c>
      <c r="E151" s="2">
        <f t="shared" si="2"/>
        <v>55.258500000000005</v>
      </c>
      <c r="F151" s="2" t="str" cm="1">
        <f t="array" ref="F151">IFERROR(_xlfn.XLOOKUP(A151,Sheet2!$A$2:$A$1453,Sheet2!$F$2:$F$1453),_xlfn.XLOOKUP(A151,TEXT(Sheet2!$A$2:$A$1453,"0"),Sheet2!$F$2:$F$1453,""))</f>
        <v>26-7-2026</v>
      </c>
      <c r="G151" s="2" t="str" cm="1">
        <f t="array" ref="G151">IFERROR(_xlfn.XLOOKUP(A151,Sheet2!$A$2:$A$1453,Sheet2!$G$2:$G$1453),_xlfn.XLOOKUP(A151,TEXT(Sheet2!$A$2:$A$1453,"0"),Sheet2!$G$2:$G$1453,""))</f>
        <v>6-8-2026</v>
      </c>
    </row>
    <row r="152" spans="1:7" x14ac:dyDescent="0.2">
      <c r="A152" s="1">
        <v>20315041331</v>
      </c>
      <c r="B152" t="str" cm="1">
        <f t="array" ref="B152">IFERROR(_xlfn.XLOOKUP(A152,Sheet2!$A$2:$A$1453,Sheet2!$B$2:$B$1453),_xlfn.XLOOKUP(A152,TEXT(Sheet2!$A$2:$A$1453,"0"),Sheet2!$B$2:$B$1453,""))</f>
        <v>Philips Avent 222/02 ULTRA SOFT PACIFIE</v>
      </c>
      <c r="C152" s="2">
        <v>65.010000000000005</v>
      </c>
      <c r="D152" s="2" cm="1">
        <f t="array" ref="D152">_xlfn.LET(_xlpm.v,IFERROR(_xlfn.XLOOKUP(A152,Sheet2!$A$2:$A$1453,Sheet2!$D$2:$D$1453),_xlfn.XLOOKUP(A152,TEXT(Sheet2!$A$2:$A$1453,"0"),Sheet2!$D$2:$D$1453,"")),IF(_xlpm.v="","",IF(_xlpm.v&lt;1,_xlpm.v*100,_xlpm.v)))</f>
        <v>15</v>
      </c>
      <c r="E152" s="2">
        <f t="shared" si="2"/>
        <v>55.258500000000005</v>
      </c>
      <c r="F152" s="2" t="str" cm="1">
        <f t="array" ref="F152">IFERROR(_xlfn.XLOOKUP(A152,Sheet2!$A$2:$A$1453,Sheet2!$F$2:$F$1453),_xlfn.XLOOKUP(A152,TEXT(Sheet2!$A$2:$A$1453,"0"),Sheet2!$F$2:$F$1453,""))</f>
        <v>26-7-2026</v>
      </c>
      <c r="G152" s="2" t="str" cm="1">
        <f t="array" ref="G152">IFERROR(_xlfn.XLOOKUP(A152,Sheet2!$A$2:$A$1453,Sheet2!$G$2:$G$1453),_xlfn.XLOOKUP(A152,TEXT(Sheet2!$A$2:$A$1453,"0"),Sheet2!$G$2:$G$1453,""))</f>
        <v>6-8-2026</v>
      </c>
    </row>
    <row r="153" spans="1:7" x14ac:dyDescent="0.2">
      <c r="A153" s="1">
        <v>20315041329</v>
      </c>
      <c r="B153" t="str" cm="1">
        <f t="array" ref="B153">IFERROR(_xlfn.XLOOKUP(A153,Sheet2!$A$2:$A$1453,Sheet2!$B$2:$B$1453),_xlfn.XLOOKUP(A153,TEXT(Sheet2!$A$2:$A$1453,"0"),Sheet2!$B$2:$B$1453,""))</f>
        <v>Philips Avent 091/07ULTRA SOFT PACIFIE</v>
      </c>
      <c r="C153" s="2">
        <v>65.010000000000005</v>
      </c>
      <c r="D153" s="2" cm="1">
        <f t="array" ref="D153">_xlfn.LET(_xlpm.v,IFERROR(_xlfn.XLOOKUP(A153,Sheet2!$A$2:$A$1453,Sheet2!$D$2:$D$1453),_xlfn.XLOOKUP(A153,TEXT(Sheet2!$A$2:$A$1453,"0"),Sheet2!$D$2:$D$1453,"")),IF(_xlpm.v="","",IF(_xlpm.v&lt;1,_xlpm.v*100,_xlpm.v)))</f>
        <v>15</v>
      </c>
      <c r="E153" s="2">
        <f t="shared" si="2"/>
        <v>55.258500000000005</v>
      </c>
      <c r="F153" s="2" t="str" cm="1">
        <f t="array" ref="F153">IFERROR(_xlfn.XLOOKUP(A153,Sheet2!$A$2:$A$1453,Sheet2!$F$2:$F$1453),_xlfn.XLOOKUP(A153,TEXT(Sheet2!$A$2:$A$1453,"0"),Sheet2!$F$2:$F$1453,""))</f>
        <v>26-7-2026</v>
      </c>
      <c r="G153" s="2" t="str" cm="1">
        <f t="array" ref="G153">IFERROR(_xlfn.XLOOKUP(A153,Sheet2!$A$2:$A$1453,Sheet2!$G$2:$G$1453),_xlfn.XLOOKUP(A153,TEXT(Sheet2!$A$2:$A$1453,"0"),Sheet2!$G$2:$G$1453,""))</f>
        <v>6-8-2026</v>
      </c>
    </row>
    <row r="154" spans="1:7" x14ac:dyDescent="0.2">
      <c r="A154" s="1">
        <v>20816010007</v>
      </c>
      <c r="B154" t="str" cm="1">
        <f t="array" ref="B154">IFERROR(_xlfn.XLOOKUP(A154,Sheet2!$A$2:$A$1453,Sheet2!$B$2:$B$1453),_xlfn.XLOOKUP(A154,TEXT(Sheet2!$A$2:$A$1453,"0"),Sheet2!$B$2:$B$1453,""))</f>
        <v>WADI ALNAHIL HIBISCUS SACHETS</v>
      </c>
      <c r="C154" s="2">
        <v>17.25</v>
      </c>
      <c r="D154" s="2" cm="1">
        <f t="array" ref="D154">_xlfn.LET(_xlpm.v,IFERROR(_xlfn.XLOOKUP(A154,Sheet2!$A$2:$A$1453,Sheet2!$D$2:$D$1453),_xlfn.XLOOKUP(A154,TEXT(Sheet2!$A$2:$A$1453,"0"),Sheet2!$D$2:$D$1453,"")),IF(_xlpm.v="","",IF(_xlpm.v&lt;1,_xlpm.v*100,_xlpm.v)))</f>
        <v>25</v>
      </c>
      <c r="E154" s="2">
        <f t="shared" si="2"/>
        <v>12.9375</v>
      </c>
      <c r="F154" s="2" t="str" cm="1">
        <f t="array" ref="F154">IFERROR(_xlfn.XLOOKUP(A154,Sheet2!$A$2:$A$1453,Sheet2!$F$2:$F$1453),_xlfn.XLOOKUP(A154,TEXT(Sheet2!$A$2:$A$1453,"0"),Sheet2!$F$2:$F$1453,""))</f>
        <v>26-7-2026</v>
      </c>
      <c r="G154" s="2" t="str" cm="1">
        <f t="array" ref="G154">IFERROR(_xlfn.XLOOKUP(A154,Sheet2!$A$2:$A$1453,Sheet2!$G$2:$G$1453),_xlfn.XLOOKUP(A154,TEXT(Sheet2!$A$2:$A$1453,"0"),Sheet2!$G$2:$G$1453,""))</f>
        <v>6-8-2026</v>
      </c>
    </row>
    <row r="155" spans="1:7" x14ac:dyDescent="0.2">
      <c r="A155" s="1">
        <v>20816010011</v>
      </c>
      <c r="B155" t="str" cm="1">
        <f t="array" ref="B155">IFERROR(_xlfn.XLOOKUP(A155,Sheet2!$A$2:$A$1453,Sheet2!$B$2:$B$1453),_xlfn.XLOOKUP(A155,TEXT(Sheet2!$A$2:$A$1453,"0"),Sheet2!$B$2:$B$1453,""))</f>
        <v>WADI ANISE SACHETS</v>
      </c>
      <c r="C155" s="2">
        <v>17.25</v>
      </c>
      <c r="D155" s="2" cm="1">
        <f t="array" ref="D155">_xlfn.LET(_xlpm.v,IFERROR(_xlfn.XLOOKUP(A155,Sheet2!$A$2:$A$1453,Sheet2!$D$2:$D$1453),_xlfn.XLOOKUP(A155,TEXT(Sheet2!$A$2:$A$1453,"0"),Sheet2!$D$2:$D$1453,"")),IF(_xlpm.v="","",IF(_xlpm.v&lt;1,_xlpm.v*100,_xlpm.v)))</f>
        <v>25</v>
      </c>
      <c r="E155" s="2">
        <f t="shared" si="2"/>
        <v>12.9375</v>
      </c>
      <c r="F155" s="2" t="str" cm="1">
        <f t="array" ref="F155">IFERROR(_xlfn.XLOOKUP(A155,Sheet2!$A$2:$A$1453,Sheet2!$F$2:$F$1453),_xlfn.XLOOKUP(A155,TEXT(Sheet2!$A$2:$A$1453,"0"),Sheet2!$F$2:$F$1453,""))</f>
        <v>26-7-2026</v>
      </c>
      <c r="G155" s="2" t="str" cm="1">
        <f t="array" ref="G155">IFERROR(_xlfn.XLOOKUP(A155,Sheet2!$A$2:$A$1453,Sheet2!$G$2:$G$1453),_xlfn.XLOOKUP(A155,TEXT(Sheet2!$A$2:$A$1453,"0"),Sheet2!$G$2:$G$1453,""))</f>
        <v>6-8-2026</v>
      </c>
    </row>
    <row r="156" spans="1:7" x14ac:dyDescent="0.2">
      <c r="A156" s="1">
        <v>20309070069</v>
      </c>
      <c r="B156" t="str" cm="1">
        <f t="array" ref="B156">IFERROR(_xlfn.XLOOKUP(A156,Sheet2!$A$2:$A$1453,Sheet2!$B$2:$B$1453),_xlfn.XLOOKUP(A156,TEXT(Sheet2!$A$2:$A$1453,"0"),Sheet2!$B$2:$B$1453,""))</f>
        <v>WADI ALNAHIL GINGER sachet</v>
      </c>
      <c r="C156" s="2">
        <v>17.25</v>
      </c>
      <c r="D156" s="2" cm="1">
        <f t="array" ref="D156">_xlfn.LET(_xlpm.v,IFERROR(_xlfn.XLOOKUP(A156,Sheet2!$A$2:$A$1453,Sheet2!$D$2:$D$1453),_xlfn.XLOOKUP(A156,TEXT(Sheet2!$A$2:$A$1453,"0"),Sheet2!$D$2:$D$1453,"")),IF(_xlpm.v="","",IF(_xlpm.v&lt;1,_xlpm.v*100,_xlpm.v)))</f>
        <v>25</v>
      </c>
      <c r="E156" s="2">
        <f t="shared" si="2"/>
        <v>12.9375</v>
      </c>
      <c r="F156" s="2" t="str" cm="1">
        <f t="array" ref="F156">IFERROR(_xlfn.XLOOKUP(A156,Sheet2!$A$2:$A$1453,Sheet2!$F$2:$F$1453),_xlfn.XLOOKUP(A156,TEXT(Sheet2!$A$2:$A$1453,"0"),Sheet2!$F$2:$F$1453,""))</f>
        <v>26-7-2026</v>
      </c>
      <c r="G156" s="2" t="str" cm="1">
        <f t="array" ref="G156">IFERROR(_xlfn.XLOOKUP(A156,Sheet2!$A$2:$A$1453,Sheet2!$G$2:$G$1453),_xlfn.XLOOKUP(A156,TEXT(Sheet2!$A$2:$A$1453,"0"),Sheet2!$G$2:$G$1453,""))</f>
        <v>6-8-2026</v>
      </c>
    </row>
    <row r="157" spans="1:7" x14ac:dyDescent="0.2">
      <c r="A157" s="1">
        <v>20309070068</v>
      </c>
      <c r="B157" t="str" cm="1">
        <f t="array" ref="B157">IFERROR(_xlfn.XLOOKUP(A157,Sheet2!$A$2:$A$1453,Sheet2!$B$2:$B$1453),_xlfn.XLOOKUP(A157,TEXT(Sheet2!$A$2:$A$1453,"0"),Sheet2!$B$2:$B$1453,""))</f>
        <v>WADI ALNAHIL CHAMOMILE sachet</v>
      </c>
      <c r="C157" s="2">
        <v>17.25</v>
      </c>
      <c r="D157" s="2" cm="1">
        <f t="array" ref="D157">_xlfn.LET(_xlpm.v,IFERROR(_xlfn.XLOOKUP(A157,Sheet2!$A$2:$A$1453,Sheet2!$D$2:$D$1453),_xlfn.XLOOKUP(A157,TEXT(Sheet2!$A$2:$A$1453,"0"),Sheet2!$D$2:$D$1453,"")),IF(_xlpm.v="","",IF(_xlpm.v&lt;1,_xlpm.v*100,_xlpm.v)))</f>
        <v>25</v>
      </c>
      <c r="E157" s="2">
        <f t="shared" si="2"/>
        <v>12.9375</v>
      </c>
      <c r="F157" s="2" t="str" cm="1">
        <f t="array" ref="F157">IFERROR(_xlfn.XLOOKUP(A157,Sheet2!$A$2:$A$1453,Sheet2!$F$2:$F$1453),_xlfn.XLOOKUP(A157,TEXT(Sheet2!$A$2:$A$1453,"0"),Sheet2!$F$2:$F$1453,""))</f>
        <v>26-7-2026</v>
      </c>
      <c r="G157" s="2" t="str" cm="1">
        <f t="array" ref="G157">IFERROR(_xlfn.XLOOKUP(A157,Sheet2!$A$2:$A$1453,Sheet2!$G$2:$G$1453),_xlfn.XLOOKUP(A157,TEXT(Sheet2!$A$2:$A$1453,"0"),Sheet2!$G$2:$G$1453,""))</f>
        <v>6-8-2026</v>
      </c>
    </row>
    <row r="158" spans="1:7" x14ac:dyDescent="0.2">
      <c r="A158" s="1">
        <v>20309070031</v>
      </c>
      <c r="B158" t="str" cm="1">
        <f t="array" ref="B158">IFERROR(_xlfn.XLOOKUP(A158,Sheet2!$A$2:$A$1453,Sheet2!$B$2:$B$1453),_xlfn.XLOOKUP(A158,TEXT(Sheet2!$A$2:$A$1453,"0"),Sheet2!$B$2:$B$1453,""))</f>
        <v>WADI ALNAHIL Sesam OIL 125ML</v>
      </c>
      <c r="C158" s="2">
        <v>17.25</v>
      </c>
      <c r="D158" s="2" cm="1">
        <f t="array" ref="D158">_xlfn.LET(_xlpm.v,IFERROR(_xlfn.XLOOKUP(A158,Sheet2!$A$2:$A$1453,Sheet2!$D$2:$D$1453),_xlfn.XLOOKUP(A158,TEXT(Sheet2!$A$2:$A$1453,"0"),Sheet2!$D$2:$D$1453,"")),IF(_xlpm.v="","",IF(_xlpm.v&lt;1,_xlpm.v*100,_xlpm.v)))</f>
        <v>25</v>
      </c>
      <c r="E158" s="2">
        <f t="shared" si="2"/>
        <v>12.9375</v>
      </c>
      <c r="F158" s="2" t="str" cm="1">
        <f t="array" ref="F158">IFERROR(_xlfn.XLOOKUP(A158,Sheet2!$A$2:$A$1453,Sheet2!$F$2:$F$1453),_xlfn.XLOOKUP(A158,TEXT(Sheet2!$A$2:$A$1453,"0"),Sheet2!$F$2:$F$1453,""))</f>
        <v>26-7-2026</v>
      </c>
      <c r="G158" s="2" t="str" cm="1">
        <f t="array" ref="G158">IFERROR(_xlfn.XLOOKUP(A158,Sheet2!$A$2:$A$1453,Sheet2!$G$2:$G$1453),_xlfn.XLOOKUP(A158,TEXT(Sheet2!$A$2:$A$1453,"0"),Sheet2!$G$2:$G$1453,""))</f>
        <v>6-8-2026</v>
      </c>
    </row>
    <row r="159" spans="1:7" x14ac:dyDescent="0.2">
      <c r="A159" s="1">
        <v>20309011092</v>
      </c>
      <c r="B159" t="str" cm="1">
        <f t="array" ref="B159">IFERROR(_xlfn.XLOOKUP(A159,Sheet2!$A$2:$A$1453,Sheet2!$B$2:$B$1453),_xlfn.XLOOKUP(A159,TEXT(Sheet2!$A$2:$A$1453,"0"),Sheet2!$B$2:$B$1453,""))</f>
        <v>WADI ALNAHIL ROSEMARY OIL</v>
      </c>
      <c r="C159" s="2">
        <v>39.1</v>
      </c>
      <c r="D159" s="2" cm="1">
        <f t="array" ref="D159">_xlfn.LET(_xlpm.v,IFERROR(_xlfn.XLOOKUP(A159,Sheet2!$A$2:$A$1453,Sheet2!$D$2:$D$1453),_xlfn.XLOOKUP(A159,TEXT(Sheet2!$A$2:$A$1453,"0"),Sheet2!$D$2:$D$1453,"")),IF(_xlpm.v="","",IF(_xlpm.v&lt;1,_xlpm.v*100,_xlpm.v)))</f>
        <v>25</v>
      </c>
      <c r="E159" s="2">
        <f t="shared" si="2"/>
        <v>29.325000000000003</v>
      </c>
      <c r="F159" s="2" t="str" cm="1">
        <f t="array" ref="F159">IFERROR(_xlfn.XLOOKUP(A159,Sheet2!$A$2:$A$1453,Sheet2!$F$2:$F$1453),_xlfn.XLOOKUP(A159,TEXT(Sheet2!$A$2:$A$1453,"0"),Sheet2!$F$2:$F$1453,""))</f>
        <v>26-7-2026</v>
      </c>
      <c r="G159" s="2" t="str" cm="1">
        <f t="array" ref="G159">IFERROR(_xlfn.XLOOKUP(A159,Sheet2!$A$2:$A$1453,Sheet2!$G$2:$G$1453),_xlfn.XLOOKUP(A159,TEXT(Sheet2!$A$2:$A$1453,"0"),Sheet2!$G$2:$G$1453,""))</f>
        <v>6-8-2026</v>
      </c>
    </row>
    <row r="160" spans="1:7" x14ac:dyDescent="0.2">
      <c r="A160" s="1">
        <v>20309070054</v>
      </c>
      <c r="B160" t="str" cm="1">
        <f t="array" ref="B160">IFERROR(_xlfn.XLOOKUP(A160,Sheet2!$A$2:$A$1453,Sheet2!$B$2:$B$1453),_xlfn.XLOOKUP(A160,TEXT(Sheet2!$A$2:$A$1453,"0"),Sheet2!$B$2:$B$1453,""))</f>
        <v>WADI ALNAHIL OLIVE OIL</v>
      </c>
      <c r="C160" s="2">
        <v>19.78</v>
      </c>
      <c r="D160" s="2" cm="1">
        <f t="array" ref="D160">_xlfn.LET(_xlpm.v,IFERROR(_xlfn.XLOOKUP(A160,Sheet2!$A$2:$A$1453,Sheet2!$D$2:$D$1453),_xlfn.XLOOKUP(A160,TEXT(Sheet2!$A$2:$A$1453,"0"),Sheet2!$D$2:$D$1453,"")),IF(_xlpm.v="","",IF(_xlpm.v&lt;1,_xlpm.v*100,_xlpm.v)))</f>
        <v>25</v>
      </c>
      <c r="E160" s="2">
        <f t="shared" si="2"/>
        <v>14.835000000000001</v>
      </c>
      <c r="F160" s="2" t="str" cm="1">
        <f t="array" ref="F160">IFERROR(_xlfn.XLOOKUP(A160,Sheet2!$A$2:$A$1453,Sheet2!$F$2:$F$1453),_xlfn.XLOOKUP(A160,TEXT(Sheet2!$A$2:$A$1453,"0"),Sheet2!$F$2:$F$1453,""))</f>
        <v>26-7-2026</v>
      </c>
      <c r="G160" s="2" t="str" cm="1">
        <f t="array" ref="G160">IFERROR(_xlfn.XLOOKUP(A160,Sheet2!$A$2:$A$1453,Sheet2!$G$2:$G$1453),_xlfn.XLOOKUP(A160,TEXT(Sheet2!$A$2:$A$1453,"0"),Sheet2!$G$2:$G$1453,""))</f>
        <v>6-8-2026</v>
      </c>
    </row>
    <row r="161" spans="1:7" x14ac:dyDescent="0.2">
      <c r="A161" s="1">
        <v>20309070045</v>
      </c>
      <c r="B161" t="str" cm="1">
        <f t="array" ref="B161">IFERROR(_xlfn.XLOOKUP(A161,Sheet2!$A$2:$A$1453,Sheet2!$B$2:$B$1453),_xlfn.XLOOKUP(A161,TEXT(Sheet2!$A$2:$A$1453,"0"),Sheet2!$B$2:$B$1453,""))</f>
        <v>WADI ALNAHIL GLYCERIN OIL</v>
      </c>
      <c r="C161" s="2">
        <v>23</v>
      </c>
      <c r="D161" s="2" cm="1">
        <f t="array" ref="D161">_xlfn.LET(_xlpm.v,IFERROR(_xlfn.XLOOKUP(A161,Sheet2!$A$2:$A$1453,Sheet2!$D$2:$D$1453),_xlfn.XLOOKUP(A161,TEXT(Sheet2!$A$2:$A$1453,"0"),Sheet2!$D$2:$D$1453,"")),IF(_xlpm.v="","",IF(_xlpm.v&lt;1,_xlpm.v*100,_xlpm.v)))</f>
        <v>25</v>
      </c>
      <c r="E161" s="2">
        <f t="shared" si="2"/>
        <v>17.25</v>
      </c>
      <c r="F161" s="2" t="str" cm="1">
        <f t="array" ref="F161">IFERROR(_xlfn.XLOOKUP(A161,Sheet2!$A$2:$A$1453,Sheet2!$F$2:$F$1453),_xlfn.XLOOKUP(A161,TEXT(Sheet2!$A$2:$A$1453,"0"),Sheet2!$F$2:$F$1453,""))</f>
        <v>26-7-2026</v>
      </c>
      <c r="G161" s="2" t="str" cm="1">
        <f t="array" ref="G161">IFERROR(_xlfn.XLOOKUP(A161,Sheet2!$A$2:$A$1453,Sheet2!$G$2:$G$1453),_xlfn.XLOOKUP(A161,TEXT(Sheet2!$A$2:$A$1453,"0"),Sheet2!$G$2:$G$1453,""))</f>
        <v>6-8-2026</v>
      </c>
    </row>
    <row r="162" spans="1:7" x14ac:dyDescent="0.2">
      <c r="A162" s="1">
        <v>20309070029</v>
      </c>
      <c r="B162" t="str" cm="1">
        <f t="array" ref="B162">IFERROR(_xlfn.XLOOKUP(A162,Sheet2!$A$2:$A$1453,Sheet2!$B$2:$B$1453),_xlfn.XLOOKUP(A162,TEXT(Sheet2!$A$2:$A$1453,"0"),Sheet2!$B$2:$B$1453,""))</f>
        <v>WADI AL-NAHIL COCONUT HAIR/OIL 12</v>
      </c>
      <c r="C162" s="2">
        <v>32.200000000000003</v>
      </c>
      <c r="D162" s="2" cm="1">
        <f t="array" ref="D162">_xlfn.LET(_xlpm.v,IFERROR(_xlfn.XLOOKUP(A162,Sheet2!$A$2:$A$1453,Sheet2!$D$2:$D$1453),_xlfn.XLOOKUP(A162,TEXT(Sheet2!$A$2:$A$1453,"0"),Sheet2!$D$2:$D$1453,"")),IF(_xlpm.v="","",IF(_xlpm.v&lt;1,_xlpm.v*100,_xlpm.v)))</f>
        <v>25</v>
      </c>
      <c r="E162" s="2">
        <f t="shared" si="2"/>
        <v>24.150000000000002</v>
      </c>
      <c r="F162" s="2" t="str" cm="1">
        <f t="array" ref="F162">IFERROR(_xlfn.XLOOKUP(A162,Sheet2!$A$2:$A$1453,Sheet2!$F$2:$F$1453),_xlfn.XLOOKUP(A162,TEXT(Sheet2!$A$2:$A$1453,"0"),Sheet2!$F$2:$F$1453,""))</f>
        <v>26-7-2026</v>
      </c>
      <c r="G162" s="2" t="str" cm="1">
        <f t="array" ref="G162">IFERROR(_xlfn.XLOOKUP(A162,Sheet2!$A$2:$A$1453,Sheet2!$G$2:$G$1453),_xlfn.XLOOKUP(A162,TEXT(Sheet2!$A$2:$A$1453,"0"),Sheet2!$G$2:$G$1453,""))</f>
        <v>6-8-2026</v>
      </c>
    </row>
    <row r="163" spans="1:7" x14ac:dyDescent="0.2">
      <c r="A163" s="1">
        <v>20309070042</v>
      </c>
      <c r="B163" t="str" cm="1">
        <f t="array" ref="B163">IFERROR(_xlfn.XLOOKUP(A163,Sheet2!$A$2:$A$1453,Sheet2!$B$2:$B$1453),_xlfn.XLOOKUP(A163,TEXT(Sheet2!$A$2:$A$1453,"0"),Sheet2!$B$2:$B$1453,""))</f>
        <v>WADI ALNAHIL CASTOR OIL 125ML       </v>
      </c>
      <c r="C163" s="2">
        <v>30.94</v>
      </c>
      <c r="D163" s="2" cm="1">
        <f t="array" ref="D163">_xlfn.LET(_xlpm.v,IFERROR(_xlfn.XLOOKUP(A163,Sheet2!$A$2:$A$1453,Sheet2!$D$2:$D$1453),_xlfn.XLOOKUP(A163,TEXT(Sheet2!$A$2:$A$1453,"0"),Sheet2!$D$2:$D$1453,"")),IF(_xlpm.v="","",IF(_xlpm.v&lt;1,_xlpm.v*100,_xlpm.v)))</f>
        <v>25</v>
      </c>
      <c r="E163" s="2">
        <f t="shared" si="2"/>
        <v>23.205000000000002</v>
      </c>
      <c r="F163" s="2" t="str" cm="1">
        <f t="array" ref="F163">IFERROR(_xlfn.XLOOKUP(A163,Sheet2!$A$2:$A$1453,Sheet2!$F$2:$F$1453),_xlfn.XLOOKUP(A163,TEXT(Sheet2!$A$2:$A$1453,"0"),Sheet2!$F$2:$F$1453,""))</f>
        <v>26-7-2026</v>
      </c>
      <c r="G163" s="2" t="str" cm="1">
        <f t="array" ref="G163">IFERROR(_xlfn.XLOOKUP(A163,Sheet2!$A$2:$A$1453,Sheet2!$G$2:$G$1453),_xlfn.XLOOKUP(A163,TEXT(Sheet2!$A$2:$A$1453,"0"),Sheet2!$G$2:$G$1453,""))</f>
        <v>6-8-2026</v>
      </c>
    </row>
    <row r="164" spans="1:7" x14ac:dyDescent="0.2">
      <c r="A164" s="1">
        <v>20309070037</v>
      </c>
      <c r="B164" t="str" cm="1">
        <f t="array" ref="B164">IFERROR(_xlfn.XLOOKUP(A164,Sheet2!$A$2:$A$1453,Sheet2!$B$2:$B$1453),_xlfn.XLOOKUP(A164,TEXT(Sheet2!$A$2:$A$1453,"0"),Sheet2!$B$2:$B$1453,""))</f>
        <v>WADI ALNAHIL ALMONDS OIL (SWEET</v>
      </c>
      <c r="C164" s="2">
        <v>51.75</v>
      </c>
      <c r="D164" s="2" cm="1">
        <f t="array" ref="D164">_xlfn.LET(_xlpm.v,IFERROR(_xlfn.XLOOKUP(A164,Sheet2!$A$2:$A$1453,Sheet2!$D$2:$D$1453),_xlfn.XLOOKUP(A164,TEXT(Sheet2!$A$2:$A$1453,"0"),Sheet2!$D$2:$D$1453,"")),IF(_xlpm.v="","",IF(_xlpm.v&lt;1,_xlpm.v*100,_xlpm.v)))</f>
        <v>25</v>
      </c>
      <c r="E164" s="2">
        <f t="shared" si="2"/>
        <v>38.8125</v>
      </c>
      <c r="F164" s="2" t="str" cm="1">
        <f t="array" ref="F164">IFERROR(_xlfn.XLOOKUP(A164,Sheet2!$A$2:$A$1453,Sheet2!$F$2:$F$1453),_xlfn.XLOOKUP(A164,TEXT(Sheet2!$A$2:$A$1453,"0"),Sheet2!$F$2:$F$1453,""))</f>
        <v>26-7-2026</v>
      </c>
      <c r="G164" s="2" t="str" cm="1">
        <f t="array" ref="G164">IFERROR(_xlfn.XLOOKUP(A164,Sheet2!$A$2:$A$1453,Sheet2!$G$2:$G$1453),_xlfn.XLOOKUP(A164,TEXT(Sheet2!$A$2:$A$1453,"0"),Sheet2!$G$2:$G$1453,""))</f>
        <v>6-8-2026</v>
      </c>
    </row>
    <row r="165" spans="1:7" x14ac:dyDescent="0.2">
      <c r="A165" s="1">
        <v>20309070036</v>
      </c>
      <c r="B165" t="str" cm="1">
        <f t="array" ref="B165">IFERROR(_xlfn.XLOOKUP(A165,Sheet2!$A$2:$A$1453,Sheet2!$B$2:$B$1453),_xlfn.XLOOKUP(A165,TEXT(Sheet2!$A$2:$A$1453,"0"),Sheet2!$B$2:$B$1453,""))</f>
        <v>WADI ALNAHIL ALMONDS OIL</v>
      </c>
      <c r="C165" s="2">
        <v>47.04</v>
      </c>
      <c r="D165" s="2" cm="1">
        <f t="array" ref="D165">_xlfn.LET(_xlpm.v,IFERROR(_xlfn.XLOOKUP(A165,Sheet2!$A$2:$A$1453,Sheet2!$D$2:$D$1453),_xlfn.XLOOKUP(A165,TEXT(Sheet2!$A$2:$A$1453,"0"),Sheet2!$D$2:$D$1453,"")),IF(_xlpm.v="","",IF(_xlpm.v&lt;1,_xlpm.v*100,_xlpm.v)))</f>
        <v>25</v>
      </c>
      <c r="E165" s="2">
        <f t="shared" si="2"/>
        <v>35.28</v>
      </c>
      <c r="F165" s="2" t="str" cm="1">
        <f t="array" ref="F165">IFERROR(_xlfn.XLOOKUP(A165,Sheet2!$A$2:$A$1453,Sheet2!$F$2:$F$1453),_xlfn.XLOOKUP(A165,TEXT(Sheet2!$A$2:$A$1453,"0"),Sheet2!$F$2:$F$1453,""))</f>
        <v>26-7-2026</v>
      </c>
      <c r="G165" s="2" t="str" cm="1">
        <f t="array" ref="G165">IFERROR(_xlfn.XLOOKUP(A165,Sheet2!$A$2:$A$1453,Sheet2!$G$2:$G$1453),_xlfn.XLOOKUP(A165,TEXT(Sheet2!$A$2:$A$1453,"0"),Sheet2!$G$2:$G$1453,""))</f>
        <v>6-8-2026</v>
      </c>
    </row>
    <row r="166" spans="1:7" x14ac:dyDescent="0.2">
      <c r="A166" s="1">
        <v>20309503508</v>
      </c>
      <c r="B166" t="str" cm="1">
        <f t="array" ref="B166">IFERROR(_xlfn.XLOOKUP(A166,Sheet2!$A$2:$A$1453,Sheet2!$B$2:$B$1453),_xlfn.XLOOKUP(A166,TEXT(Sheet2!$A$2:$A$1453,"0"),Sheet2!$B$2:$B$1453,""))</f>
        <v>ZAYN&amp;MYZA NIGHT CREAM VITAMIN C-4005</v>
      </c>
      <c r="C166" s="2">
        <v>54.75</v>
      </c>
      <c r="D166" s="2" cm="1">
        <f t="array" ref="D166">_xlfn.LET(_xlpm.v,IFERROR(_xlfn.XLOOKUP(A166,Sheet2!$A$2:$A$1453,Sheet2!$D$2:$D$1453),_xlfn.XLOOKUP(A166,TEXT(Sheet2!$A$2:$A$1453,"0"),Sheet2!$D$2:$D$1453,"")),IF(_xlpm.v="","",IF(_xlpm.v&lt;1,_xlpm.v*100,_xlpm.v)))</f>
        <v>20</v>
      </c>
      <c r="E166" s="2">
        <f t="shared" si="2"/>
        <v>43.800000000000004</v>
      </c>
      <c r="F166" s="2" t="str" cm="1">
        <f t="array" ref="F166">IFERROR(_xlfn.XLOOKUP(A166,Sheet2!$A$2:$A$1453,Sheet2!$F$2:$F$1453),_xlfn.XLOOKUP(A166,TEXT(Sheet2!$A$2:$A$1453,"0"),Sheet2!$F$2:$F$1453,""))</f>
        <v>26-7-2026</v>
      </c>
      <c r="G166" s="2" t="str" cm="1">
        <f t="array" ref="G166">IFERROR(_xlfn.XLOOKUP(A166,Sheet2!$A$2:$A$1453,Sheet2!$G$2:$G$1453),_xlfn.XLOOKUP(A166,TEXT(Sheet2!$A$2:$A$1453,"0"),Sheet2!$G$2:$G$1453,""))</f>
        <v>6-8-2026</v>
      </c>
    </row>
    <row r="167" spans="1:7" x14ac:dyDescent="0.2">
      <c r="A167" s="1">
        <v>20309503506</v>
      </c>
      <c r="B167" t="str" cm="1">
        <f t="array" ref="B167">IFERROR(_xlfn.XLOOKUP(A167,Sheet2!$A$2:$A$1453,Sheet2!$B$2:$B$1453),_xlfn.XLOOKUP(A167,TEXT(Sheet2!$A$2:$A$1453,"0"),Sheet2!$B$2:$B$1453,""))</f>
        <v>ZAYN&amp;MYZA FOAMING FACE WASH-VITAMIN C-3824</v>
      </c>
      <c r="C167" s="2">
        <v>49.75</v>
      </c>
      <c r="D167" s="2" cm="1">
        <f t="array" ref="D167">_xlfn.LET(_xlpm.v,IFERROR(_xlfn.XLOOKUP(A167,Sheet2!$A$2:$A$1453,Sheet2!$D$2:$D$1453),_xlfn.XLOOKUP(A167,TEXT(Sheet2!$A$2:$A$1453,"0"),Sheet2!$D$2:$D$1453,"")),IF(_xlpm.v="","",IF(_xlpm.v&lt;1,_xlpm.v*100,_xlpm.v)))</f>
        <v>20</v>
      </c>
      <c r="E167" s="2">
        <f t="shared" si="2"/>
        <v>39.800000000000004</v>
      </c>
      <c r="F167" s="2" t="str" cm="1">
        <f t="array" ref="F167">IFERROR(_xlfn.XLOOKUP(A167,Sheet2!$A$2:$A$1453,Sheet2!$F$2:$F$1453),_xlfn.XLOOKUP(A167,TEXT(Sheet2!$A$2:$A$1453,"0"),Sheet2!$F$2:$F$1453,""))</f>
        <v>26-7-2026</v>
      </c>
      <c r="G167" s="2" t="str" cm="1">
        <f t="array" ref="G167">IFERROR(_xlfn.XLOOKUP(A167,Sheet2!$A$2:$A$1453,Sheet2!$G$2:$G$1453),_xlfn.XLOOKUP(A167,TEXT(Sheet2!$A$2:$A$1453,"0"),Sheet2!$G$2:$G$1453,""))</f>
        <v>6-8-2026</v>
      </c>
    </row>
    <row r="168" spans="1:7" x14ac:dyDescent="0.2">
      <c r="A168" s="1">
        <v>20309503510</v>
      </c>
      <c r="B168" t="str" cm="1">
        <f t="array" ref="B168">IFERROR(_xlfn.XLOOKUP(A168,Sheet2!$A$2:$A$1453,Sheet2!$B$2:$B$1453),_xlfn.XLOOKUP(A168,TEXT(Sheet2!$A$2:$A$1453,"0"),Sheet2!$B$2:$B$1453,""))</f>
        <v>ZAYN&amp;MYZA FOAMING FACE WASH-TEA TREE&amp;SALICYLIC ACID-3848</v>
      </c>
      <c r="C168" s="2">
        <v>49.75</v>
      </c>
      <c r="D168" s="2" cm="1">
        <f t="array" ref="D168">_xlfn.LET(_xlpm.v,IFERROR(_xlfn.XLOOKUP(A168,Sheet2!$A$2:$A$1453,Sheet2!$D$2:$D$1453),_xlfn.XLOOKUP(A168,TEXT(Sheet2!$A$2:$A$1453,"0"),Sheet2!$D$2:$D$1453,"")),IF(_xlpm.v="","",IF(_xlpm.v&lt;1,_xlpm.v*100,_xlpm.v)))</f>
        <v>20</v>
      </c>
      <c r="E168" s="2">
        <f t="shared" si="2"/>
        <v>39.800000000000004</v>
      </c>
      <c r="F168" s="2" t="str" cm="1">
        <f t="array" ref="F168">IFERROR(_xlfn.XLOOKUP(A168,Sheet2!$A$2:$A$1453,Sheet2!$F$2:$F$1453),_xlfn.XLOOKUP(A168,TEXT(Sheet2!$A$2:$A$1453,"0"),Sheet2!$F$2:$F$1453,""))</f>
        <v>26-7-2026</v>
      </c>
      <c r="G168" s="2" t="str" cm="1">
        <f t="array" ref="G168">IFERROR(_xlfn.XLOOKUP(A168,Sheet2!$A$2:$A$1453,Sheet2!$G$2:$G$1453),_xlfn.XLOOKUP(A168,TEXT(Sheet2!$A$2:$A$1453,"0"),Sheet2!$G$2:$G$1453,""))</f>
        <v>6-8-2026</v>
      </c>
    </row>
    <row r="169" spans="1:7" x14ac:dyDescent="0.2">
      <c r="A169" s="1">
        <v>20309503514</v>
      </c>
      <c r="B169" t="str" cm="1">
        <f t="array" ref="B169">IFERROR(_xlfn.XLOOKUP(A169,Sheet2!$A$2:$A$1453,Sheet2!$B$2:$B$1453),_xlfn.XLOOKUP(A169,TEXT(Sheet2!$A$2:$A$1453,"0"),Sheet2!$B$2:$B$1453,""))</f>
        <v>ZAYN&amp;MYZA FACE SERUM-TEA TREE&amp;SALICYLIC ACID-3725</v>
      </c>
      <c r="C169" s="2">
        <v>64.75</v>
      </c>
      <c r="D169" s="2" cm="1">
        <f t="array" ref="D169">_xlfn.LET(_xlpm.v,IFERROR(_xlfn.XLOOKUP(A169,Sheet2!$A$2:$A$1453,Sheet2!$D$2:$D$1453),_xlfn.XLOOKUP(A169,TEXT(Sheet2!$A$2:$A$1453,"0"),Sheet2!$D$2:$D$1453,"")),IF(_xlpm.v="","",IF(_xlpm.v&lt;1,_xlpm.v*100,_xlpm.v)))</f>
        <v>20</v>
      </c>
      <c r="E169" s="2">
        <f t="shared" si="2"/>
        <v>51.800000000000004</v>
      </c>
      <c r="F169" s="2" t="str" cm="1">
        <f t="array" ref="F169">IFERROR(_xlfn.XLOOKUP(A169,Sheet2!$A$2:$A$1453,Sheet2!$F$2:$F$1453),_xlfn.XLOOKUP(A169,TEXT(Sheet2!$A$2:$A$1453,"0"),Sheet2!$F$2:$F$1453,""))</f>
        <v>26-7-2026</v>
      </c>
      <c r="G169" s="2" t="str" cm="1">
        <f t="array" ref="G169">IFERROR(_xlfn.XLOOKUP(A169,Sheet2!$A$2:$A$1453,Sheet2!$G$2:$G$1453),_xlfn.XLOOKUP(A169,TEXT(Sheet2!$A$2:$A$1453,"0"),Sheet2!$G$2:$G$1453,""))</f>
        <v>6-8-2026</v>
      </c>
    </row>
    <row r="170" spans="1:7" x14ac:dyDescent="0.2">
      <c r="A170" s="1">
        <v>20309503516</v>
      </c>
      <c r="B170" t="str" cm="1">
        <f t="array" ref="B170">IFERROR(_xlfn.XLOOKUP(A170,Sheet2!$A$2:$A$1453,Sheet2!$B$2:$B$1453),_xlfn.XLOOKUP(A170,TEXT(Sheet2!$A$2:$A$1453,"0"),Sheet2!$B$2:$B$1453,""))</f>
        <v>ZAYN&amp;MYZA FACE SERUM-RETINOL-0533</v>
      </c>
      <c r="C170" s="2">
        <v>74.75</v>
      </c>
      <c r="D170" s="2" cm="1">
        <f t="array" ref="D170">_xlfn.LET(_xlpm.v,IFERROR(_xlfn.XLOOKUP(A170,Sheet2!$A$2:$A$1453,Sheet2!$D$2:$D$1453),_xlfn.XLOOKUP(A170,TEXT(Sheet2!$A$2:$A$1453,"0"),Sheet2!$D$2:$D$1453,"")),IF(_xlpm.v="","",IF(_xlpm.v&lt;1,_xlpm.v*100,_xlpm.v)))</f>
        <v>20</v>
      </c>
      <c r="E170" s="2">
        <f t="shared" si="2"/>
        <v>59.800000000000004</v>
      </c>
      <c r="F170" s="2" t="str" cm="1">
        <f t="array" ref="F170">IFERROR(_xlfn.XLOOKUP(A170,Sheet2!$A$2:$A$1453,Sheet2!$F$2:$F$1453),_xlfn.XLOOKUP(A170,TEXT(Sheet2!$A$2:$A$1453,"0"),Sheet2!$F$2:$F$1453,""))</f>
        <v>26-7-2026</v>
      </c>
      <c r="G170" s="2" t="str" cm="1">
        <f t="array" ref="G170">IFERROR(_xlfn.XLOOKUP(A170,Sheet2!$A$2:$A$1453,Sheet2!$G$2:$G$1453),_xlfn.XLOOKUP(A170,TEXT(Sheet2!$A$2:$A$1453,"0"),Sheet2!$G$2:$G$1453,""))</f>
        <v>6-8-2026</v>
      </c>
    </row>
    <row r="171" spans="1:7" x14ac:dyDescent="0.2">
      <c r="A171" s="1">
        <v>20309503515</v>
      </c>
      <c r="B171" t="str" cm="1">
        <f t="array" ref="B171">IFERROR(_xlfn.XLOOKUP(A171,Sheet2!$A$2:$A$1453,Sheet2!$B$2:$B$1453),_xlfn.XLOOKUP(A171,TEXT(Sheet2!$A$2:$A$1453,"0"),Sheet2!$B$2:$B$1453,""))</f>
        <v>ZAYN&amp;MYZA FACE SERUM-NIACINIMIDE 10%-0526</v>
      </c>
      <c r="C171" s="2">
        <v>74.75</v>
      </c>
      <c r="D171" s="2" cm="1">
        <f t="array" ref="D171">_xlfn.LET(_xlpm.v,IFERROR(_xlfn.XLOOKUP(A171,Sheet2!$A$2:$A$1453,Sheet2!$D$2:$D$1453),_xlfn.XLOOKUP(A171,TEXT(Sheet2!$A$2:$A$1453,"0"),Sheet2!$D$2:$D$1453,"")),IF(_xlpm.v="","",IF(_xlpm.v&lt;1,_xlpm.v*100,_xlpm.v)))</f>
        <v>20</v>
      </c>
      <c r="E171" s="2">
        <f t="shared" si="2"/>
        <v>59.800000000000004</v>
      </c>
      <c r="F171" s="2" t="str" cm="1">
        <f t="array" ref="F171">IFERROR(_xlfn.XLOOKUP(A171,Sheet2!$A$2:$A$1453,Sheet2!$F$2:$F$1453),_xlfn.XLOOKUP(A171,TEXT(Sheet2!$A$2:$A$1453,"0"),Sheet2!$F$2:$F$1453,""))</f>
        <v>26-7-2026</v>
      </c>
      <c r="G171" s="2" t="str" cm="1">
        <f t="array" ref="G171">IFERROR(_xlfn.XLOOKUP(A171,Sheet2!$A$2:$A$1453,Sheet2!$G$2:$G$1453),_xlfn.XLOOKUP(A171,TEXT(Sheet2!$A$2:$A$1453,"0"),Sheet2!$G$2:$G$1453,""))</f>
        <v>6-8-2026</v>
      </c>
    </row>
    <row r="172" spans="1:7" x14ac:dyDescent="0.2">
      <c r="A172" s="1">
        <v>20309503518</v>
      </c>
      <c r="B172" t="str" cm="1">
        <f t="array" ref="B172">IFERROR(_xlfn.XLOOKUP(A172,Sheet2!$A$2:$A$1453,Sheet2!$B$2:$B$1453),_xlfn.XLOOKUP(A172,TEXT(Sheet2!$A$2:$A$1453,"0"),Sheet2!$B$2:$B$1453,""))</f>
        <v>ZAYN&amp;MYZA FACE SERUM-HYALURAUNIC ACID 1.5%-0540</v>
      </c>
      <c r="C172" s="2">
        <v>74.75</v>
      </c>
      <c r="D172" s="2" cm="1">
        <f t="array" ref="D172">_xlfn.LET(_xlpm.v,IFERROR(_xlfn.XLOOKUP(A172,Sheet2!$A$2:$A$1453,Sheet2!$D$2:$D$1453),_xlfn.XLOOKUP(A172,TEXT(Sheet2!$A$2:$A$1453,"0"),Sheet2!$D$2:$D$1453,"")),IF(_xlpm.v="","",IF(_xlpm.v&lt;1,_xlpm.v*100,_xlpm.v)))</f>
        <v>20</v>
      </c>
      <c r="E172" s="2">
        <f t="shared" si="2"/>
        <v>59.800000000000004</v>
      </c>
      <c r="F172" s="2" t="str" cm="1">
        <f t="array" ref="F172">IFERROR(_xlfn.XLOOKUP(A172,Sheet2!$A$2:$A$1453,Sheet2!$F$2:$F$1453),_xlfn.XLOOKUP(A172,TEXT(Sheet2!$A$2:$A$1453,"0"),Sheet2!$F$2:$F$1453,""))</f>
        <v>26-7-2026</v>
      </c>
      <c r="G172" s="2" t="str" cm="1">
        <f t="array" ref="G172">IFERROR(_xlfn.XLOOKUP(A172,Sheet2!$A$2:$A$1453,Sheet2!$G$2:$G$1453),_xlfn.XLOOKUP(A172,TEXT(Sheet2!$A$2:$A$1453,"0"),Sheet2!$G$2:$G$1453,""))</f>
        <v>6-8-2026</v>
      </c>
    </row>
    <row r="173" spans="1:7" x14ac:dyDescent="0.2">
      <c r="A173" s="1">
        <v>20309503517</v>
      </c>
      <c r="B173" t="str" cm="1">
        <f t="array" ref="B173">IFERROR(_xlfn.XLOOKUP(A173,Sheet2!$A$2:$A$1453,Sheet2!$B$2:$B$1453),_xlfn.XLOOKUP(A173,TEXT(Sheet2!$A$2:$A$1453,"0"),Sheet2!$B$2:$B$1453,""))</f>
        <v>ZAYN&amp;MYZA FACE SERUM-FRUIT AHA 10%-0519</v>
      </c>
      <c r="C173" s="2">
        <v>74.75</v>
      </c>
      <c r="D173" s="2" cm="1">
        <f t="array" ref="D173">_xlfn.LET(_xlpm.v,IFERROR(_xlfn.XLOOKUP(A173,Sheet2!$A$2:$A$1453,Sheet2!$D$2:$D$1453),_xlfn.XLOOKUP(A173,TEXT(Sheet2!$A$2:$A$1453,"0"),Sheet2!$D$2:$D$1453,"")),IF(_xlpm.v="","",IF(_xlpm.v&lt;1,_xlpm.v*100,_xlpm.v)))</f>
        <v>20</v>
      </c>
      <c r="E173" s="2">
        <f t="shared" si="2"/>
        <v>59.800000000000004</v>
      </c>
      <c r="F173" s="2" t="str" cm="1">
        <f t="array" ref="F173">IFERROR(_xlfn.XLOOKUP(A173,Sheet2!$A$2:$A$1453,Sheet2!$F$2:$F$1453),_xlfn.XLOOKUP(A173,TEXT(Sheet2!$A$2:$A$1453,"0"),Sheet2!$F$2:$F$1453,""))</f>
        <v>26-7-2026</v>
      </c>
      <c r="G173" s="2" t="str" cm="1">
        <f t="array" ref="G173">IFERROR(_xlfn.XLOOKUP(A173,Sheet2!$A$2:$A$1453,Sheet2!$G$2:$G$1453),_xlfn.XLOOKUP(A173,TEXT(Sheet2!$A$2:$A$1453,"0"),Sheet2!$G$2:$G$1453,""))</f>
        <v>6-8-2026</v>
      </c>
    </row>
    <row r="174" spans="1:7" x14ac:dyDescent="0.2">
      <c r="A174" s="1">
        <v>20309503509</v>
      </c>
      <c r="B174" t="str" cm="1">
        <f t="array" ref="B174">IFERROR(_xlfn.XLOOKUP(A174,Sheet2!$A$2:$A$1453,Sheet2!$B$2:$B$1453),_xlfn.XLOOKUP(A174,TEXT(Sheet2!$A$2:$A$1453,"0"),Sheet2!$B$2:$B$1453,""))</f>
        <v>ZAYN&amp;MYZA FACE SERUM- VITAMIN C-3732</v>
      </c>
      <c r="C174" s="2">
        <v>64.75</v>
      </c>
      <c r="D174" s="2" cm="1">
        <f t="array" ref="D174">_xlfn.LET(_xlpm.v,IFERROR(_xlfn.XLOOKUP(A174,Sheet2!$A$2:$A$1453,Sheet2!$D$2:$D$1453),_xlfn.XLOOKUP(A174,TEXT(Sheet2!$A$2:$A$1453,"0"),Sheet2!$D$2:$D$1453,"")),IF(_xlpm.v="","",IF(_xlpm.v&lt;1,_xlpm.v*100,_xlpm.v)))</f>
        <v>20</v>
      </c>
      <c r="E174" s="2">
        <f t="shared" si="2"/>
        <v>51.800000000000004</v>
      </c>
      <c r="F174" s="2" t="str" cm="1">
        <f t="array" ref="F174">IFERROR(_xlfn.XLOOKUP(A174,Sheet2!$A$2:$A$1453,Sheet2!$F$2:$F$1453),_xlfn.XLOOKUP(A174,TEXT(Sheet2!$A$2:$A$1453,"0"),Sheet2!$F$2:$F$1453,""))</f>
        <v>26-7-2026</v>
      </c>
      <c r="G174" s="2" t="str" cm="1">
        <f t="array" ref="G174">IFERROR(_xlfn.XLOOKUP(A174,Sheet2!$A$2:$A$1453,Sheet2!$G$2:$G$1453),_xlfn.XLOOKUP(A174,TEXT(Sheet2!$A$2:$A$1453,"0"),Sheet2!$G$2:$G$1453,""))</f>
        <v>6-8-2026</v>
      </c>
    </row>
    <row r="175" spans="1:7" x14ac:dyDescent="0.2">
      <c r="A175" s="1">
        <v>20309021504</v>
      </c>
      <c r="B175" t="str" cm="1">
        <f t="array" ref="B175">IFERROR(_xlfn.XLOOKUP(A175,Sheet2!$A$2:$A$1453,Sheet2!$B$2:$B$1453),_xlfn.XLOOKUP(A175,TEXT(Sheet2!$A$2:$A$1453,"0"),Sheet2!$B$2:$B$1453,""))</f>
        <v>VASELINE LOTION PERFECT10 VISION 400 ML</v>
      </c>
      <c r="C175" s="2">
        <v>41.69</v>
      </c>
      <c r="D175" s="2" cm="1">
        <f t="array" ref="D175">_xlfn.LET(_xlpm.v,IFERROR(_xlfn.XLOOKUP(A175,Sheet2!$A$2:$A$1453,Sheet2!$D$2:$D$1453),_xlfn.XLOOKUP(A175,TEXT(Sheet2!$A$2:$A$1453,"0"),Sheet2!$D$2:$D$1453,"")),IF(_xlpm.v="","",IF(_xlpm.v&lt;1,_xlpm.v*100,_xlpm.v)))</f>
        <v>15</v>
      </c>
      <c r="E175" s="2">
        <f t="shared" si="2"/>
        <v>35.436499999999995</v>
      </c>
      <c r="F175" s="2" t="str" cm="1">
        <f t="array" ref="F175">IFERROR(_xlfn.XLOOKUP(A175,Sheet2!$A$2:$A$1453,Sheet2!$F$2:$F$1453),_xlfn.XLOOKUP(A175,TEXT(Sheet2!$A$2:$A$1453,"0"),Sheet2!$F$2:$F$1453,""))</f>
        <v>26-7-2026</v>
      </c>
      <c r="G175" s="2" t="str" cm="1">
        <f t="array" ref="G175">IFERROR(_xlfn.XLOOKUP(A175,Sheet2!$A$2:$A$1453,Sheet2!$G$2:$G$1453),_xlfn.XLOOKUP(A175,TEXT(Sheet2!$A$2:$A$1453,"0"),Sheet2!$G$2:$G$1453,""))</f>
        <v>6-8-2026</v>
      </c>
    </row>
    <row r="176" spans="1:7" x14ac:dyDescent="0.2">
      <c r="A176" s="1">
        <v>20309020609</v>
      </c>
      <c r="B176" t="str" cm="1">
        <f t="array" ref="B176">IFERROR(_xlfn.XLOOKUP(A176,Sheet2!$A$2:$A$1453,Sheet2!$B$2:$B$1453),_xlfn.XLOOKUP(A176,TEXT(Sheet2!$A$2:$A$1453,"0"),Sheet2!$B$2:$B$1453,""))</f>
        <v>VASELINE LOTION ESSNTLHEALING INTENSIVE 725ML 208446</v>
      </c>
      <c r="C176" s="2">
        <v>48.76</v>
      </c>
      <c r="D176" s="2" cm="1">
        <f t="array" ref="D176">_xlfn.LET(_xlpm.v,IFERROR(_xlfn.XLOOKUP(A176,Sheet2!$A$2:$A$1453,Sheet2!$D$2:$D$1453),_xlfn.XLOOKUP(A176,TEXT(Sheet2!$A$2:$A$1453,"0"),Sheet2!$D$2:$D$1453,"")),IF(_xlpm.v="","",IF(_xlpm.v&lt;1,_xlpm.v*100,_xlpm.v)))</f>
        <v>15</v>
      </c>
      <c r="E176" s="2">
        <f t="shared" si="2"/>
        <v>41.445999999999998</v>
      </c>
      <c r="F176" s="2" t="str" cm="1">
        <f t="array" ref="F176">IFERROR(_xlfn.XLOOKUP(A176,Sheet2!$A$2:$A$1453,Sheet2!$F$2:$F$1453),_xlfn.XLOOKUP(A176,TEXT(Sheet2!$A$2:$A$1453,"0"),Sheet2!$F$2:$F$1453,""))</f>
        <v>26-7-2026</v>
      </c>
      <c r="G176" s="2" t="str" cm="1">
        <f t="array" ref="G176">IFERROR(_xlfn.XLOOKUP(A176,Sheet2!$A$2:$A$1453,Sheet2!$G$2:$G$1453),_xlfn.XLOOKUP(A176,TEXT(Sheet2!$A$2:$A$1453,"0"),Sheet2!$G$2:$G$1453,""))</f>
        <v>6-8-2026</v>
      </c>
    </row>
    <row r="177" spans="1:7" x14ac:dyDescent="0.2">
      <c r="A177" s="1">
        <v>20309020506</v>
      </c>
      <c r="B177" t="str" cm="1">
        <f t="array" ref="B177">IFERROR(_xlfn.XLOOKUP(A177,Sheet2!$A$2:$A$1453,Sheet2!$B$2:$B$1453),_xlfn.XLOOKUP(A177,TEXT(Sheet2!$A$2:$A$1453,"0"),Sheet2!$B$2:$B$1453,""))</f>
        <v>VASELINE LOTION ESSNTLHEALING INTENSIVE 400ML 208448</v>
      </c>
      <c r="C177" s="2">
        <v>31.05</v>
      </c>
      <c r="D177" s="2" cm="1">
        <f t="array" ref="D177">_xlfn.LET(_xlpm.v,IFERROR(_xlfn.XLOOKUP(A177,Sheet2!$A$2:$A$1453,Sheet2!$D$2:$D$1453),_xlfn.XLOOKUP(A177,TEXT(Sheet2!$A$2:$A$1453,"0"),Sheet2!$D$2:$D$1453,"")),IF(_xlpm.v="","",IF(_xlpm.v&lt;1,_xlpm.v*100,_xlpm.v)))</f>
        <v>15</v>
      </c>
      <c r="E177" s="2">
        <f t="shared" si="2"/>
        <v>26.392499999999998</v>
      </c>
      <c r="F177" s="2" t="str" cm="1">
        <f t="array" ref="F177">IFERROR(_xlfn.XLOOKUP(A177,Sheet2!$A$2:$A$1453,Sheet2!$F$2:$F$1453),_xlfn.XLOOKUP(A177,TEXT(Sheet2!$A$2:$A$1453,"0"),Sheet2!$F$2:$F$1453,""))</f>
        <v>26-7-2026</v>
      </c>
      <c r="G177" s="2" t="str" cm="1">
        <f t="array" ref="G177">IFERROR(_xlfn.XLOOKUP(A177,Sheet2!$A$2:$A$1453,Sheet2!$G$2:$G$1453),_xlfn.XLOOKUP(A177,TEXT(Sheet2!$A$2:$A$1453,"0"),Sheet2!$G$2:$G$1453,""))</f>
        <v>6-8-2026</v>
      </c>
    </row>
    <row r="178" spans="1:7" x14ac:dyDescent="0.2">
      <c r="A178" s="1">
        <v>20309020165</v>
      </c>
      <c r="B178" t="str" cm="1">
        <f t="array" ref="B178">IFERROR(_xlfn.XLOOKUP(A178,Sheet2!$A$2:$A$1453,Sheet2!$B$2:$B$1453),_xlfn.XLOOKUP(A178,TEXT(Sheet2!$A$2:$A$1453,"0"),Sheet2!$B$2:$B$1453,""))</f>
        <v>VASELINE LOTION ALOVERA  400ML208443</v>
      </c>
      <c r="C178" s="2">
        <v>31.05</v>
      </c>
      <c r="D178" s="2" cm="1">
        <f t="array" ref="D178">_xlfn.LET(_xlpm.v,IFERROR(_xlfn.XLOOKUP(A178,Sheet2!$A$2:$A$1453,Sheet2!$D$2:$D$1453),_xlfn.XLOOKUP(A178,TEXT(Sheet2!$A$2:$A$1453,"0"),Sheet2!$D$2:$D$1453,"")),IF(_xlpm.v="","",IF(_xlpm.v&lt;1,_xlpm.v*100,_xlpm.v)))</f>
        <v>15</v>
      </c>
      <c r="E178" s="2">
        <f t="shared" si="2"/>
        <v>26.392499999999998</v>
      </c>
      <c r="F178" s="2" t="str" cm="1">
        <f t="array" ref="F178">IFERROR(_xlfn.XLOOKUP(A178,Sheet2!$A$2:$A$1453,Sheet2!$F$2:$F$1453),_xlfn.XLOOKUP(A178,TEXT(Sheet2!$A$2:$A$1453,"0"),Sheet2!$F$2:$F$1453,""))</f>
        <v>26-7-2026</v>
      </c>
      <c r="G178" s="2" t="str" cm="1">
        <f t="array" ref="G178">IFERROR(_xlfn.XLOOKUP(A178,Sheet2!$A$2:$A$1453,Sheet2!$G$2:$G$1453),_xlfn.XLOOKUP(A178,TEXT(Sheet2!$A$2:$A$1453,"0"),Sheet2!$G$2:$G$1453,""))</f>
        <v>6-8-2026</v>
      </c>
    </row>
    <row r="179" spans="1:7" x14ac:dyDescent="0.2">
      <c r="A179" s="1">
        <v>20309020610</v>
      </c>
      <c r="B179" t="str" cm="1">
        <f t="array" ref="B179">IFERROR(_xlfn.XLOOKUP(A179,Sheet2!$A$2:$A$1453,Sheet2!$B$2:$B$1453),_xlfn.XLOOKUP(A179,TEXT(Sheet2!$A$2:$A$1453,"0"),Sheet2!$B$2:$B$1453,""))</f>
        <v>VASELINE LOT TOTAL MOIST COCOA GLOW 725ML208442</v>
      </c>
      <c r="C179" s="2">
        <v>50.6</v>
      </c>
      <c r="D179" s="2" cm="1">
        <f t="array" ref="D179">_xlfn.LET(_xlpm.v,IFERROR(_xlfn.XLOOKUP(A179,Sheet2!$A$2:$A$1453,Sheet2!$D$2:$D$1453),_xlfn.XLOOKUP(A179,TEXT(Sheet2!$A$2:$A$1453,"0"),Sheet2!$D$2:$D$1453,"")),IF(_xlpm.v="","",IF(_xlpm.v&lt;1,_xlpm.v*100,_xlpm.v)))</f>
        <v>15</v>
      </c>
      <c r="E179" s="2">
        <f t="shared" si="2"/>
        <v>43.01</v>
      </c>
      <c r="F179" s="2" t="str" cm="1">
        <f t="array" ref="F179">IFERROR(_xlfn.XLOOKUP(A179,Sheet2!$A$2:$A$1453,Sheet2!$F$2:$F$1453),_xlfn.XLOOKUP(A179,TEXT(Sheet2!$A$2:$A$1453,"0"),Sheet2!$F$2:$F$1453,""))</f>
        <v>26-7-2026</v>
      </c>
      <c r="G179" s="2" t="str" cm="1">
        <f t="array" ref="G179">IFERROR(_xlfn.XLOOKUP(A179,Sheet2!$A$2:$A$1453,Sheet2!$G$2:$G$1453),_xlfn.XLOOKUP(A179,TEXT(Sheet2!$A$2:$A$1453,"0"),Sheet2!$G$2:$G$1453,""))</f>
        <v>6-8-2026</v>
      </c>
    </row>
    <row r="180" spans="1:7" x14ac:dyDescent="0.2">
      <c r="A180" s="1">
        <v>20309020101</v>
      </c>
      <c r="B180" t="str" cm="1">
        <f t="array" ref="B180">IFERROR(_xlfn.XLOOKUP(A180,Sheet2!$A$2:$A$1453,Sheet2!$B$2:$B$1453),_xlfn.XLOOKUP(A180,TEXT(Sheet2!$A$2:$A$1453,"0"),Sheet2!$B$2:$B$1453,""))</f>
        <v>VASELINE COCOA GLOW LOTION 400ML</v>
      </c>
      <c r="C180" s="2">
        <v>31.05</v>
      </c>
      <c r="D180" s="2" cm="1">
        <f t="array" ref="D180">_xlfn.LET(_xlpm.v,IFERROR(_xlfn.XLOOKUP(A180,Sheet2!$A$2:$A$1453,Sheet2!$D$2:$D$1453),_xlfn.XLOOKUP(A180,TEXT(Sheet2!$A$2:$A$1453,"0"),Sheet2!$D$2:$D$1453,"")),IF(_xlpm.v="","",IF(_xlpm.v&lt;1,_xlpm.v*100,_xlpm.v)))</f>
        <v>15</v>
      </c>
      <c r="E180" s="2">
        <f t="shared" si="2"/>
        <v>26.392499999999998</v>
      </c>
      <c r="F180" s="2" t="str" cm="1">
        <f t="array" ref="F180">IFERROR(_xlfn.XLOOKUP(A180,Sheet2!$A$2:$A$1453,Sheet2!$F$2:$F$1453),_xlfn.XLOOKUP(A180,TEXT(Sheet2!$A$2:$A$1453,"0"),Sheet2!$F$2:$F$1453,""))</f>
        <v>26-7-2026</v>
      </c>
      <c r="G180" s="2" t="str" cm="1">
        <f t="array" ref="G180">IFERROR(_xlfn.XLOOKUP(A180,Sheet2!$A$2:$A$1453,Sheet2!$G$2:$G$1453),_xlfn.XLOOKUP(A180,TEXT(Sheet2!$A$2:$A$1453,"0"),Sheet2!$G$2:$G$1453,""))</f>
        <v>6-8-2026</v>
      </c>
    </row>
    <row r="181" spans="1:7" x14ac:dyDescent="0.2">
      <c r="A181" s="1">
        <v>20309500500</v>
      </c>
      <c r="B181" t="str" cm="1">
        <f t="array" ref="B181">IFERROR(_xlfn.XLOOKUP(A181,Sheet2!$A$2:$A$1453,Sheet2!$B$2:$B$1453),_xlfn.XLOOKUP(A181,TEXT(Sheet2!$A$2:$A$1453,"0"),Sheet2!$B$2:$B$1453,""))</f>
        <v> VEET WAX STRIP NORMAL SKIN  20 WAX STRIPS   </v>
      </c>
      <c r="C181" s="2">
        <v>40.83</v>
      </c>
      <c r="D181" s="2" cm="1">
        <f t="array" ref="D181">_xlfn.LET(_xlpm.v,IFERROR(_xlfn.XLOOKUP(A181,Sheet2!$A$2:$A$1453,Sheet2!$D$2:$D$1453),_xlfn.XLOOKUP(A181,TEXT(Sheet2!$A$2:$A$1453,"0"),Sheet2!$D$2:$D$1453,"")),IF(_xlpm.v="","",IF(_xlpm.v&lt;1,_xlpm.v*100,_xlpm.v)))</f>
        <v>20</v>
      </c>
      <c r="E181" s="2">
        <f t="shared" si="2"/>
        <v>32.664000000000001</v>
      </c>
      <c r="F181" s="2" t="str" cm="1">
        <f t="array" ref="F181">IFERROR(_xlfn.XLOOKUP(A181,Sheet2!$A$2:$A$1453,Sheet2!$F$2:$F$1453),_xlfn.XLOOKUP(A181,TEXT(Sheet2!$A$2:$A$1453,"0"),Sheet2!$F$2:$F$1453,""))</f>
        <v>26-7-2026</v>
      </c>
      <c r="G181" s="2" t="str" cm="1">
        <f t="array" ref="G181">IFERROR(_xlfn.XLOOKUP(A181,Sheet2!$A$2:$A$1453,Sheet2!$G$2:$G$1453),_xlfn.XLOOKUP(A181,TEXT(Sheet2!$A$2:$A$1453,"0"),Sheet2!$G$2:$G$1453,""))</f>
        <v>6-8-2026</v>
      </c>
    </row>
    <row r="182" spans="1:7" x14ac:dyDescent="0.2">
      <c r="A182" s="1">
        <v>20309500498</v>
      </c>
      <c r="B182" t="str" cm="1">
        <f t="array" ref="B182">IFERROR(_xlfn.XLOOKUP(A182,Sheet2!$A$2:$A$1453,Sheet2!$B$2:$B$1453),_xlfn.XLOOKUP(A182,TEXT(Sheet2!$A$2:$A$1453,"0"),Sheet2!$B$2:$B$1453,""))</f>
        <v xml:space="preserve">VEET HAIR REMOVAL CREAM NORMAL SKIN     </v>
      </c>
      <c r="C182" s="2">
        <v>19.78</v>
      </c>
      <c r="D182" s="2" cm="1">
        <f t="array" ref="D182">_xlfn.LET(_xlpm.v,IFERROR(_xlfn.XLOOKUP(A182,Sheet2!$A$2:$A$1453,Sheet2!$D$2:$D$1453),_xlfn.XLOOKUP(A182,TEXT(Sheet2!$A$2:$A$1453,"0"),Sheet2!$D$2:$D$1453,"")),IF(_xlpm.v="","",IF(_xlpm.v&lt;1,_xlpm.v*100,_xlpm.v)))</f>
        <v>25</v>
      </c>
      <c r="E182" s="2">
        <f t="shared" si="2"/>
        <v>14.835000000000001</v>
      </c>
      <c r="F182" s="2" t="str" cm="1">
        <f t="array" ref="F182">IFERROR(_xlfn.XLOOKUP(A182,Sheet2!$A$2:$A$1453,Sheet2!$F$2:$F$1453),_xlfn.XLOOKUP(A182,TEXT(Sheet2!$A$2:$A$1453,"0"),Sheet2!$F$2:$F$1453,""))</f>
        <v>26-7-2026</v>
      </c>
      <c r="G182" s="2" t="str" cm="1">
        <f t="array" ref="G182">IFERROR(_xlfn.XLOOKUP(A182,Sheet2!$A$2:$A$1453,Sheet2!$G$2:$G$1453),_xlfn.XLOOKUP(A182,TEXT(Sheet2!$A$2:$A$1453,"0"),Sheet2!$G$2:$G$1453,""))</f>
        <v>6-8-2026</v>
      </c>
    </row>
    <row r="183" spans="1:7" x14ac:dyDescent="0.2">
      <c r="A183" s="1">
        <v>20309500497</v>
      </c>
      <c r="B183" t="str" cm="1">
        <f t="array" ref="B183">IFERROR(_xlfn.XLOOKUP(A183,Sheet2!$A$2:$A$1453,Sheet2!$B$2:$B$1453),_xlfn.XLOOKUP(A183,TEXT(Sheet2!$A$2:$A$1453,"0"),Sheet2!$B$2:$B$1453,""))</f>
        <v xml:space="preserve">VEET HAIR REMOVAL CREAM DRY SKIN    </v>
      </c>
      <c r="C183" s="2">
        <v>19.78</v>
      </c>
      <c r="D183" s="2" cm="1">
        <f t="array" ref="D183">_xlfn.LET(_xlpm.v,IFERROR(_xlfn.XLOOKUP(A183,Sheet2!$A$2:$A$1453,Sheet2!$D$2:$D$1453),_xlfn.XLOOKUP(A183,TEXT(Sheet2!$A$2:$A$1453,"0"),Sheet2!$D$2:$D$1453,"")),IF(_xlpm.v="","",IF(_xlpm.v&lt;1,_xlpm.v*100,_xlpm.v)))</f>
        <v>25</v>
      </c>
      <c r="E183" s="2">
        <f t="shared" si="2"/>
        <v>14.835000000000001</v>
      </c>
      <c r="F183" s="2" t="str" cm="1">
        <f t="array" ref="F183">IFERROR(_xlfn.XLOOKUP(A183,Sheet2!$A$2:$A$1453,Sheet2!$F$2:$F$1453),_xlfn.XLOOKUP(A183,TEXT(Sheet2!$A$2:$A$1453,"0"),Sheet2!$F$2:$F$1453,""))</f>
        <v>26-7-2026</v>
      </c>
      <c r="G183" s="2" t="str" cm="1">
        <f t="array" ref="G183">IFERROR(_xlfn.XLOOKUP(A183,Sheet2!$A$2:$A$1453,Sheet2!$G$2:$G$1453),_xlfn.XLOOKUP(A183,TEXT(Sheet2!$A$2:$A$1453,"0"),Sheet2!$G$2:$G$1453,""))</f>
        <v>6-8-2026</v>
      </c>
    </row>
    <row r="184" spans="1:7" x14ac:dyDescent="0.2">
      <c r="A184" s="1">
        <v>20309010931</v>
      </c>
      <c r="B184" t="str" cm="1">
        <f t="array" ref="B184">IFERROR(_xlfn.XLOOKUP(A184,Sheet2!$A$2:$A$1453,Sheet2!$B$2:$B$1453),_xlfn.XLOOKUP(A184,TEXT(Sheet2!$A$2:$A$1453,"0"),Sheet2!$B$2:$B$1453,""))</f>
        <v>ULTRA DOUX MYTHIC OLIVE SHAMPOO 600ML 43071</v>
      </c>
      <c r="C184" s="2">
        <v>31.86</v>
      </c>
      <c r="D184" s="2" cm="1">
        <f t="array" ref="D184">_xlfn.LET(_xlpm.v,IFERROR(_xlfn.XLOOKUP(A184,Sheet2!$A$2:$A$1453,Sheet2!$D$2:$D$1453),_xlfn.XLOOKUP(A184,TEXT(Sheet2!$A$2:$A$1453,"0"),Sheet2!$D$2:$D$1453,"")),IF(_xlpm.v="","",IF(_xlpm.v&lt;1,_xlpm.v*100,_xlpm.v)))</f>
        <v>25</v>
      </c>
      <c r="E184" s="2">
        <f t="shared" si="2"/>
        <v>23.895</v>
      </c>
      <c r="F184" s="2" t="str" cm="1">
        <f t="array" ref="F184">IFERROR(_xlfn.XLOOKUP(A184,Sheet2!$A$2:$A$1453,Sheet2!$F$2:$F$1453),_xlfn.XLOOKUP(A184,TEXT(Sheet2!$A$2:$A$1453,"0"),Sheet2!$F$2:$F$1453,""))</f>
        <v>26-7-2026</v>
      </c>
      <c r="G184" s="2" t="str" cm="1">
        <f t="array" ref="G184">IFERROR(_xlfn.XLOOKUP(A184,Sheet2!$A$2:$A$1453,Sheet2!$G$2:$G$1453),_xlfn.XLOOKUP(A184,TEXT(Sheet2!$A$2:$A$1453,"0"),Sheet2!$G$2:$G$1453,""))</f>
        <v>6-8-2026</v>
      </c>
    </row>
    <row r="185" spans="1:7" x14ac:dyDescent="0.2">
      <c r="A185" s="1">
        <v>20309010929</v>
      </c>
      <c r="B185" t="str" cm="1">
        <f t="array" ref="B185">IFERROR(_xlfn.XLOOKUP(A185,Sheet2!$A$2:$A$1453,Sheet2!$B$2:$B$1453),_xlfn.XLOOKUP(A185,TEXT(Sheet2!$A$2:$A$1453,"0"),Sheet2!$B$2:$B$1453,""))</f>
        <v>ULTRA DOUX MYTHIC OLIVE SHAMPOO 400ML 43069</v>
      </c>
      <c r="C185" s="2">
        <v>24.15</v>
      </c>
      <c r="D185" s="2" cm="1">
        <f t="array" ref="D185">_xlfn.LET(_xlpm.v,IFERROR(_xlfn.XLOOKUP(A185,Sheet2!$A$2:$A$1453,Sheet2!$D$2:$D$1453),_xlfn.XLOOKUP(A185,TEXT(Sheet2!$A$2:$A$1453,"0"),Sheet2!$D$2:$D$1453,"")),IF(_xlpm.v="","",IF(_xlpm.v&lt;1,_xlpm.v*100,_xlpm.v)))</f>
        <v>25</v>
      </c>
      <c r="E185" s="2">
        <f t="shared" si="2"/>
        <v>18.112499999999997</v>
      </c>
      <c r="F185" s="2" t="str" cm="1">
        <f t="array" ref="F185">IFERROR(_xlfn.XLOOKUP(A185,Sheet2!$A$2:$A$1453,Sheet2!$F$2:$F$1453),_xlfn.XLOOKUP(A185,TEXT(Sheet2!$A$2:$A$1453,"0"),Sheet2!$F$2:$F$1453,""))</f>
        <v>26-7-2026</v>
      </c>
      <c r="G185" s="2" t="str" cm="1">
        <f t="array" ref="G185">IFERROR(_xlfn.XLOOKUP(A185,Sheet2!$A$2:$A$1453,Sheet2!$G$2:$G$1453),_xlfn.XLOOKUP(A185,TEXT(Sheet2!$A$2:$A$1453,"0"),Sheet2!$G$2:$G$1453,""))</f>
        <v>6-8-2026</v>
      </c>
    </row>
    <row r="186" spans="1:7" x14ac:dyDescent="0.2">
      <c r="A186" s="1">
        <v>20309010742</v>
      </c>
      <c r="B186" t="str" cm="1">
        <f t="array" ref="B186">IFERROR(_xlfn.XLOOKUP(A186,Sheet2!$A$2:$A$1453,Sheet2!$B$2:$B$1453),_xlfn.XLOOKUP(A186,TEXT(Sheet2!$A$2:$A$1453,"0"),Sheet2!$B$2:$B$1453,""))</f>
        <v>ULTRA DOUX HONEY TREASURES SHAMPO 600ML 59480</v>
      </c>
      <c r="C186" s="2">
        <v>31.86</v>
      </c>
      <c r="D186" s="2" cm="1">
        <f t="array" ref="D186">_xlfn.LET(_xlpm.v,IFERROR(_xlfn.XLOOKUP(A186,Sheet2!$A$2:$A$1453,Sheet2!$D$2:$D$1453),_xlfn.XLOOKUP(A186,TEXT(Sheet2!$A$2:$A$1453,"0"),Sheet2!$D$2:$D$1453,"")),IF(_xlpm.v="","",IF(_xlpm.v&lt;1,_xlpm.v*100,_xlpm.v)))</f>
        <v>25</v>
      </c>
      <c r="E186" s="2">
        <f t="shared" si="2"/>
        <v>23.895</v>
      </c>
      <c r="F186" s="2" t="str" cm="1">
        <f t="array" ref="F186">IFERROR(_xlfn.XLOOKUP(A186,Sheet2!$A$2:$A$1453,Sheet2!$F$2:$F$1453),_xlfn.XLOOKUP(A186,TEXT(Sheet2!$A$2:$A$1453,"0"),Sheet2!$F$2:$F$1453,""))</f>
        <v>26-7-2026</v>
      </c>
      <c r="G186" s="2" t="str" cm="1">
        <f t="array" ref="G186">IFERROR(_xlfn.XLOOKUP(A186,Sheet2!$A$2:$A$1453,Sheet2!$G$2:$G$1453),_xlfn.XLOOKUP(A186,TEXT(Sheet2!$A$2:$A$1453,"0"),Sheet2!$G$2:$G$1453,""))</f>
        <v>6-8-2026</v>
      </c>
    </row>
    <row r="187" spans="1:7" x14ac:dyDescent="0.2">
      <c r="A187" s="1">
        <v>20309011830</v>
      </c>
      <c r="B187" t="str" cm="1">
        <f t="array" ref="B187">IFERROR(_xlfn.XLOOKUP(A187,Sheet2!$A$2:$A$1453,Sheet2!$B$2:$B$1453),_xlfn.XLOOKUP(A187,TEXT(Sheet2!$A$2:$A$1453,"0"),Sheet2!$B$2:$B$1453,""))</f>
        <v>ULTRA DOUX HAIR SHAMPO ALMOND MILK 400ML</v>
      </c>
      <c r="C187" s="2">
        <v>24.15</v>
      </c>
      <c r="D187" s="2" cm="1">
        <f t="array" ref="D187">_xlfn.LET(_xlpm.v,IFERROR(_xlfn.XLOOKUP(A187,Sheet2!$A$2:$A$1453,Sheet2!$D$2:$D$1453),_xlfn.XLOOKUP(A187,TEXT(Sheet2!$A$2:$A$1453,"0"),Sheet2!$D$2:$D$1453,"")),IF(_xlpm.v="","",IF(_xlpm.v&lt;1,_xlpm.v*100,_xlpm.v)))</f>
        <v>25</v>
      </c>
      <c r="E187" s="2">
        <f t="shared" si="2"/>
        <v>18.112499999999997</v>
      </c>
      <c r="F187" s="2" t="str" cm="1">
        <f t="array" ref="F187">IFERROR(_xlfn.XLOOKUP(A187,Sheet2!$A$2:$A$1453,Sheet2!$F$2:$F$1453),_xlfn.XLOOKUP(A187,TEXT(Sheet2!$A$2:$A$1453,"0"),Sheet2!$F$2:$F$1453,""))</f>
        <v>26-7-2026</v>
      </c>
      <c r="G187" s="2" t="str" cm="1">
        <f t="array" ref="G187">IFERROR(_xlfn.XLOOKUP(A187,Sheet2!$A$2:$A$1453,Sheet2!$G$2:$G$1453),_xlfn.XLOOKUP(A187,TEXT(Sheet2!$A$2:$A$1453,"0"),Sheet2!$G$2:$G$1453,""))</f>
        <v>6-8-2026</v>
      </c>
    </row>
    <row r="188" spans="1:7" x14ac:dyDescent="0.2">
      <c r="A188" s="1">
        <v>20309010739</v>
      </c>
      <c r="B188" t="str" cm="1">
        <f t="array" ref="B188">IFERROR(_xlfn.XLOOKUP(A188,Sheet2!$A$2:$A$1453,Sheet2!$B$2:$B$1453),_xlfn.XLOOKUP(A188,TEXT(Sheet2!$A$2:$A$1453,"0"),Sheet2!$B$2:$B$1453,""))</f>
        <v>ULTRA DOUX  AVOCADO KARITE SHAMPO 600ML 59472</v>
      </c>
      <c r="C188" s="2">
        <v>31.86</v>
      </c>
      <c r="D188" s="2" cm="1">
        <f t="array" ref="D188">_xlfn.LET(_xlpm.v,IFERROR(_xlfn.XLOOKUP(A188,Sheet2!$A$2:$A$1453,Sheet2!$D$2:$D$1453),_xlfn.XLOOKUP(A188,TEXT(Sheet2!$A$2:$A$1453,"0"),Sheet2!$D$2:$D$1453,"")),IF(_xlpm.v="","",IF(_xlpm.v&lt;1,_xlpm.v*100,_xlpm.v)))</f>
        <v>25</v>
      </c>
      <c r="E188" s="2">
        <f t="shared" si="2"/>
        <v>23.895</v>
      </c>
      <c r="F188" s="2" t="str" cm="1">
        <f t="array" ref="F188">IFERROR(_xlfn.XLOOKUP(A188,Sheet2!$A$2:$A$1453,Sheet2!$F$2:$F$1453),_xlfn.XLOOKUP(A188,TEXT(Sheet2!$A$2:$A$1453,"0"),Sheet2!$F$2:$F$1453,""))</f>
        <v>26-7-2026</v>
      </c>
      <c r="G188" s="2" t="str" cm="1">
        <f t="array" ref="G188">IFERROR(_xlfn.XLOOKUP(A188,Sheet2!$A$2:$A$1453,Sheet2!$G$2:$G$1453),_xlfn.XLOOKUP(A188,TEXT(Sheet2!$A$2:$A$1453,"0"),Sheet2!$G$2:$G$1453,""))</f>
        <v>6-8-2026</v>
      </c>
    </row>
    <row r="189" spans="1:7" x14ac:dyDescent="0.2">
      <c r="A189" s="1">
        <v>20309010231</v>
      </c>
      <c r="B189" t="str" cm="1">
        <f t="array" ref="B189">IFERROR(_xlfn.XLOOKUP(A189,Sheet2!$A$2:$A$1453,Sheet2!$B$2:$B$1453),_xlfn.XLOOKUP(A189,TEXT(Sheet2!$A$2:$A$1453,"0"),Sheet2!$B$2:$B$1453,""))</f>
        <v> SUNSILK SHAMPO STUNNING BLACK SHIN 400 ML 206257</v>
      </c>
      <c r="C189" s="2">
        <v>21.16</v>
      </c>
      <c r="D189" s="2" cm="1">
        <f t="array" ref="D189">_xlfn.LET(_xlpm.v,IFERROR(_xlfn.XLOOKUP(A189,Sheet2!$A$2:$A$1453,Sheet2!$D$2:$D$1453),_xlfn.XLOOKUP(A189,TEXT(Sheet2!$A$2:$A$1453,"0"),Sheet2!$D$2:$D$1453,"")),IF(_xlpm.v="","",IF(_xlpm.v&lt;1,_xlpm.v*100,_xlpm.v)))</f>
        <v>15</v>
      </c>
      <c r="E189" s="2">
        <f t="shared" si="2"/>
        <v>17.986000000000001</v>
      </c>
      <c r="F189" s="2" t="str" cm="1">
        <f t="array" ref="F189">IFERROR(_xlfn.XLOOKUP(A189,Sheet2!$A$2:$A$1453,Sheet2!$F$2:$F$1453),_xlfn.XLOOKUP(A189,TEXT(Sheet2!$A$2:$A$1453,"0"),Sheet2!$F$2:$F$1453,""))</f>
        <v>26-7-2026</v>
      </c>
      <c r="G189" s="2" t="str" cm="1">
        <f t="array" ref="G189">IFERROR(_xlfn.XLOOKUP(A189,Sheet2!$A$2:$A$1453,Sheet2!$G$2:$G$1453),_xlfn.XLOOKUP(A189,TEXT(Sheet2!$A$2:$A$1453,"0"),Sheet2!$G$2:$G$1453,""))</f>
        <v>6-8-2026</v>
      </c>
    </row>
    <row r="190" spans="1:7" x14ac:dyDescent="0.2">
      <c r="A190" s="1">
        <v>20309010054</v>
      </c>
      <c r="B190" t="str" cm="1">
        <f t="array" ref="B190">IFERROR(_xlfn.XLOOKUP(A190,Sheet2!$A$2:$A$1453,Sheet2!$B$2:$B$1453),_xlfn.XLOOKUP(A190,TEXT(Sheet2!$A$2:$A$1453,"0"),Sheet2!$B$2:$B$1453,""))</f>
        <v> SUNSILK SHAMPO NOURISHING SOFT&amp;SMOOTH 700ML 206167</v>
      </c>
      <c r="C190" s="2">
        <v>33.35</v>
      </c>
      <c r="D190" s="2" cm="1">
        <f t="array" ref="D190">_xlfn.LET(_xlpm.v,IFERROR(_xlfn.XLOOKUP(A190,Sheet2!$A$2:$A$1453,Sheet2!$D$2:$D$1453),_xlfn.XLOOKUP(A190,TEXT(Sheet2!$A$2:$A$1453,"0"),Sheet2!$D$2:$D$1453,"")),IF(_xlpm.v="","",IF(_xlpm.v&lt;1,_xlpm.v*100,_xlpm.v)))</f>
        <v>15</v>
      </c>
      <c r="E190" s="2">
        <f t="shared" si="2"/>
        <v>28.3475</v>
      </c>
      <c r="F190" s="2" t="str" cm="1">
        <f t="array" ref="F190">IFERROR(_xlfn.XLOOKUP(A190,Sheet2!$A$2:$A$1453,Sheet2!$F$2:$F$1453),_xlfn.XLOOKUP(A190,TEXT(Sheet2!$A$2:$A$1453,"0"),Sheet2!$F$2:$F$1453,""))</f>
        <v>26-7-2026</v>
      </c>
      <c r="G190" s="2" t="str" cm="1">
        <f t="array" ref="G190">IFERROR(_xlfn.XLOOKUP(A190,Sheet2!$A$2:$A$1453,Sheet2!$G$2:$G$1453),_xlfn.XLOOKUP(A190,TEXT(Sheet2!$A$2:$A$1453,"0"),Sheet2!$G$2:$G$1453,""))</f>
        <v>6-8-2026</v>
      </c>
    </row>
    <row r="191" spans="1:7" x14ac:dyDescent="0.2">
      <c r="A191" s="1">
        <v>20309010224</v>
      </c>
      <c r="B191" t="str" cm="1">
        <f t="array" ref="B191">IFERROR(_xlfn.XLOOKUP(A191,Sheet2!$A$2:$A$1453,Sheet2!$B$2:$B$1453),_xlfn.XLOOKUP(A191,TEXT(Sheet2!$A$2:$A$1453,"0"),Sheet2!$B$2:$B$1453,""))</f>
        <v> SUNSILK SHAMPO INSTANT RESTORE400ML 210726</v>
      </c>
      <c r="C191" s="2">
        <v>21.16</v>
      </c>
      <c r="D191" s="2" cm="1">
        <f t="array" ref="D191">_xlfn.LET(_xlpm.v,IFERROR(_xlfn.XLOOKUP(A191,Sheet2!$A$2:$A$1453,Sheet2!$D$2:$D$1453),_xlfn.XLOOKUP(A191,TEXT(Sheet2!$A$2:$A$1453,"0"),Sheet2!$D$2:$D$1453,"")),IF(_xlpm.v="","",IF(_xlpm.v&lt;1,_xlpm.v*100,_xlpm.v)))</f>
        <v>15</v>
      </c>
      <c r="E191" s="2">
        <f t="shared" si="2"/>
        <v>17.986000000000001</v>
      </c>
      <c r="F191" s="2" t="str" cm="1">
        <f t="array" ref="F191">IFERROR(_xlfn.XLOOKUP(A191,Sheet2!$A$2:$A$1453,Sheet2!$F$2:$F$1453),_xlfn.XLOOKUP(A191,TEXT(Sheet2!$A$2:$A$1453,"0"),Sheet2!$F$2:$F$1453,""))</f>
        <v>26-7-2026</v>
      </c>
      <c r="G191" s="2" t="str" cm="1">
        <f t="array" ref="G191">IFERROR(_xlfn.XLOOKUP(A191,Sheet2!$A$2:$A$1453,Sheet2!$G$2:$G$1453),_xlfn.XLOOKUP(A191,TEXT(Sheet2!$A$2:$A$1453,"0"),Sheet2!$G$2:$G$1453,""))</f>
        <v>6-8-2026</v>
      </c>
    </row>
    <row r="192" spans="1:7" x14ac:dyDescent="0.2">
      <c r="A192" s="1">
        <v>20309010229</v>
      </c>
      <c r="B192" t="str" cm="1">
        <f t="array" ref="B192">IFERROR(_xlfn.XLOOKUP(A192,Sheet2!$A$2:$A$1453,Sheet2!$B$2:$B$1453),_xlfn.XLOOKUP(A192,TEXT(Sheet2!$A$2:$A$1453,"0"),Sheet2!$B$2:$B$1453,""))</f>
        <v> SUNSILK SHAMPO INSTANT RESTORE700 ML 210731</v>
      </c>
      <c r="C192" s="2">
        <v>33.35</v>
      </c>
      <c r="D192" s="2" cm="1">
        <f t="array" ref="D192">_xlfn.LET(_xlpm.v,IFERROR(_xlfn.XLOOKUP(A192,Sheet2!$A$2:$A$1453,Sheet2!$D$2:$D$1453),_xlfn.XLOOKUP(A192,TEXT(Sheet2!$A$2:$A$1453,"0"),Sheet2!$D$2:$D$1453,"")),IF(_xlpm.v="","",IF(_xlpm.v&lt;1,_xlpm.v*100,_xlpm.v)))</f>
        <v>15</v>
      </c>
      <c r="E192" s="2">
        <f t="shared" si="2"/>
        <v>28.3475</v>
      </c>
      <c r="F192" s="2" t="str" cm="1">
        <f t="array" ref="F192">IFERROR(_xlfn.XLOOKUP(A192,Sheet2!$A$2:$A$1453,Sheet2!$F$2:$F$1453),_xlfn.XLOOKUP(A192,TEXT(Sheet2!$A$2:$A$1453,"0"),Sheet2!$F$2:$F$1453,""))</f>
        <v>26-7-2026</v>
      </c>
      <c r="G192" s="2" t="str" cm="1">
        <f t="array" ref="G192">IFERROR(_xlfn.XLOOKUP(A192,Sheet2!$A$2:$A$1453,Sheet2!$G$2:$G$1453),_xlfn.XLOOKUP(A192,TEXT(Sheet2!$A$2:$A$1453,"0"),Sheet2!$G$2:$G$1453,""))</f>
        <v>6-8-2026</v>
      </c>
    </row>
    <row r="193" spans="1:7" x14ac:dyDescent="0.2">
      <c r="A193" s="1">
        <v>20309011733</v>
      </c>
      <c r="B193" t="str" cm="1">
        <f t="array" ref="B193">IFERROR(_xlfn.XLOOKUP(A193,Sheet2!$A$2:$A$1453,Sheet2!$B$2:$B$1453),_xlfn.XLOOKUP(A193,TEXT(Sheet2!$A$2:$A$1453,"0"),Sheet2!$B$2:$B$1453,""))</f>
        <v> SUNSILK SHAMPO HAIR FALL SOLUTION 400ML 203900</v>
      </c>
      <c r="C193" s="2">
        <v>21.16</v>
      </c>
      <c r="D193" s="2" cm="1">
        <f t="array" ref="D193">_xlfn.LET(_xlpm.v,IFERROR(_xlfn.XLOOKUP(A193,Sheet2!$A$2:$A$1453,Sheet2!$D$2:$D$1453),_xlfn.XLOOKUP(A193,TEXT(Sheet2!$A$2:$A$1453,"0"),Sheet2!$D$2:$D$1453,"")),IF(_xlpm.v="","",IF(_xlpm.v&lt;1,_xlpm.v*100,_xlpm.v)))</f>
        <v>15</v>
      </c>
      <c r="E193" s="2">
        <f t="shared" si="2"/>
        <v>17.986000000000001</v>
      </c>
      <c r="F193" s="2" t="str" cm="1">
        <f t="array" ref="F193">IFERROR(_xlfn.XLOOKUP(A193,Sheet2!$A$2:$A$1453,Sheet2!$F$2:$F$1453),_xlfn.XLOOKUP(A193,TEXT(Sheet2!$A$2:$A$1453,"0"),Sheet2!$F$2:$F$1453,""))</f>
        <v>26-7-2026</v>
      </c>
      <c r="G193" s="2" t="str" cm="1">
        <f t="array" ref="G193">IFERROR(_xlfn.XLOOKUP(A193,Sheet2!$A$2:$A$1453,Sheet2!$G$2:$G$1453),_xlfn.XLOOKUP(A193,TEXT(Sheet2!$A$2:$A$1453,"0"),Sheet2!$G$2:$G$1453,""))</f>
        <v>6-8-2026</v>
      </c>
    </row>
    <row r="194" spans="1:7" x14ac:dyDescent="0.2">
      <c r="A194" s="1">
        <v>20309010372</v>
      </c>
      <c r="B194" t="str" cm="1">
        <f t="array" ref="B194">IFERROR(_xlfn.XLOOKUP(A194,Sheet2!$A$2:$A$1453,Sheet2!$B$2:$B$1453),_xlfn.XLOOKUP(A194,TEXT(Sheet2!$A$2:$A$1453,"0"),Sheet2!$B$2:$B$1453,""))</f>
        <v> SUNSILK SHAMPO HAIR FALL SOLUTION 700ML 203913</v>
      </c>
      <c r="C194" s="2">
        <v>33.35</v>
      </c>
      <c r="D194" s="2" cm="1">
        <f t="array" ref="D194">_xlfn.LET(_xlpm.v,IFERROR(_xlfn.XLOOKUP(A194,Sheet2!$A$2:$A$1453,Sheet2!$D$2:$D$1453),_xlfn.XLOOKUP(A194,TEXT(Sheet2!$A$2:$A$1453,"0"),Sheet2!$D$2:$D$1453,"")),IF(_xlpm.v="","",IF(_xlpm.v&lt;1,_xlpm.v*100,_xlpm.v)))</f>
        <v>15</v>
      </c>
      <c r="E194" s="2">
        <f t="shared" si="2"/>
        <v>28.3475</v>
      </c>
      <c r="F194" s="2" t="str" cm="1">
        <f t="array" ref="F194">IFERROR(_xlfn.XLOOKUP(A194,Sheet2!$A$2:$A$1453,Sheet2!$F$2:$F$1453),_xlfn.XLOOKUP(A194,TEXT(Sheet2!$A$2:$A$1453,"0"),Sheet2!$F$2:$F$1453,""))</f>
        <v>26-7-2026</v>
      </c>
      <c r="G194" s="2" t="str" cm="1">
        <f t="array" ref="G194">IFERROR(_xlfn.XLOOKUP(A194,Sheet2!$A$2:$A$1453,Sheet2!$G$2:$G$1453),_xlfn.XLOOKUP(A194,TEXT(Sheet2!$A$2:$A$1453,"0"),Sheet2!$G$2:$G$1453,""))</f>
        <v>6-8-2026</v>
      </c>
    </row>
    <row r="195" spans="1:7" x14ac:dyDescent="0.2">
      <c r="A195" s="1">
        <v>20309010048</v>
      </c>
      <c r="B195" t="str" cm="1">
        <f t="array" ref="B195">IFERROR(_xlfn.XLOOKUP(A195,Sheet2!$A$2:$A$1453,Sheet2!$B$2:$B$1453),_xlfn.XLOOKUP(A195,TEXT(Sheet2!$A$2:$A$1453,"0"),Sheet2!$B$2:$B$1453,""))</f>
        <v> SUNSILK SHAM STUNNING BLACK SHINE 700ML-206258</v>
      </c>
      <c r="C195" s="2">
        <v>33.35</v>
      </c>
      <c r="D195" s="2" cm="1">
        <f t="array" ref="D195">_xlfn.LET(_xlpm.v,IFERROR(_xlfn.XLOOKUP(A195,Sheet2!$A$2:$A$1453,Sheet2!$D$2:$D$1453),_xlfn.XLOOKUP(A195,TEXT(Sheet2!$A$2:$A$1453,"0"),Sheet2!$D$2:$D$1453,"")),IF(_xlpm.v="","",IF(_xlpm.v&lt;1,_xlpm.v*100,_xlpm.v)))</f>
        <v>15</v>
      </c>
      <c r="E195" s="2">
        <f t="shared" ref="E195:E258" si="3">IF(D195="","",C195*(1-D195/100))</f>
        <v>28.3475</v>
      </c>
      <c r="F195" s="2" t="str" cm="1">
        <f t="array" ref="F195">IFERROR(_xlfn.XLOOKUP(A195,Sheet2!$A$2:$A$1453,Sheet2!$F$2:$F$1453),_xlfn.XLOOKUP(A195,TEXT(Sheet2!$A$2:$A$1453,"0"),Sheet2!$F$2:$F$1453,""))</f>
        <v>26-7-2026</v>
      </c>
      <c r="G195" s="2" t="str" cm="1">
        <f t="array" ref="G195">IFERROR(_xlfn.XLOOKUP(A195,Sheet2!$A$2:$A$1453,Sheet2!$G$2:$G$1453),_xlfn.XLOOKUP(A195,TEXT(Sheet2!$A$2:$A$1453,"0"),Sheet2!$G$2:$G$1453,""))</f>
        <v>6-8-2026</v>
      </c>
    </row>
    <row r="196" spans="1:7" x14ac:dyDescent="0.2">
      <c r="A196" s="1">
        <v>30420013269</v>
      </c>
      <c r="B196" t="str" cm="1">
        <f t="array" ref="B196">IFERROR(_xlfn.XLOOKUP(A196,Sheet2!$A$2:$A$1453,Sheet2!$B$2:$B$1453),_xlfn.XLOOKUP(A196,TEXT(Sheet2!$A$2:$A$1453,"0"),Sheet2!$B$2:$B$1453,""))</f>
        <v>SASMAR PINA COLADA PERSONAL LUBRICANT 60ML PUMP</v>
      </c>
      <c r="C196" s="2">
        <v>44</v>
      </c>
      <c r="D196" s="2" cm="1">
        <f t="array" ref="D196">_xlfn.LET(_xlpm.v,IFERROR(_xlfn.XLOOKUP(A196,Sheet2!$A$2:$A$1453,Sheet2!$D$2:$D$1453),_xlfn.XLOOKUP(A196,TEXT(Sheet2!$A$2:$A$1453,"0"),Sheet2!$D$2:$D$1453,"")),IF(_xlpm.v="","",IF(_xlpm.v&lt;1,_xlpm.v*100,_xlpm.v)))</f>
        <v>25</v>
      </c>
      <c r="E196" s="2">
        <f t="shared" si="3"/>
        <v>33</v>
      </c>
      <c r="F196" s="2" t="str" cm="1">
        <f t="array" ref="F196">IFERROR(_xlfn.XLOOKUP(A196,Sheet2!$A$2:$A$1453,Sheet2!$F$2:$F$1453),_xlfn.XLOOKUP(A196,TEXT(Sheet2!$A$2:$A$1453,"0"),Sheet2!$F$2:$F$1453,""))</f>
        <v>26-7-2026</v>
      </c>
      <c r="G196" s="2" t="str" cm="1">
        <f t="array" ref="G196">IFERROR(_xlfn.XLOOKUP(A196,Sheet2!$A$2:$A$1453,Sheet2!$G$2:$G$1453),_xlfn.XLOOKUP(A196,TEXT(Sheet2!$A$2:$A$1453,"0"),Sheet2!$G$2:$G$1453,""))</f>
        <v>6-8-2026</v>
      </c>
    </row>
    <row r="197" spans="1:7" x14ac:dyDescent="0.2">
      <c r="A197" s="1" t="s">
        <v>19</v>
      </c>
      <c r="B197" t="str" cm="1">
        <f t="array" ref="B197">IFERROR(_xlfn.XLOOKUP(A197,Sheet2!$A$2:$A$1453,Sheet2!$B$2:$B$1453),_xlfn.XLOOKUP(A197,TEXT(Sheet2!$A$2:$A$1453,"0"),Sheet2!$B$2:$B$1453,""))</f>
        <v>SALMON OIL 1000MG OMEGA3 60CAP</v>
      </c>
      <c r="C197" s="2">
        <v>160</v>
      </c>
      <c r="D197" s="2" cm="1">
        <f t="array" ref="D197">_xlfn.LET(_xlpm.v,IFERROR(_xlfn.XLOOKUP(A197,Sheet2!$A$2:$A$1453,Sheet2!$D$2:$D$1453),_xlfn.XLOOKUP(A197,TEXT(Sheet2!$A$2:$A$1453,"0"),Sheet2!$D$2:$D$1453,"")),IF(_xlpm.v="","",IF(_xlpm.v&lt;1,_xlpm.v*100,_xlpm.v)))</f>
        <v>50</v>
      </c>
      <c r="E197" s="2">
        <f t="shared" si="3"/>
        <v>80</v>
      </c>
      <c r="F197" s="2" t="str" cm="1">
        <f t="array" ref="F197">IFERROR(_xlfn.XLOOKUP(A197,Sheet2!$A$2:$A$1453,Sheet2!$F$2:$F$1453),_xlfn.XLOOKUP(A197,TEXT(Sheet2!$A$2:$A$1453,"0"),Sheet2!$F$2:$F$1453,""))</f>
        <v>26-7-2026</v>
      </c>
      <c r="G197" s="2" t="str" cm="1">
        <f t="array" ref="G197">IFERROR(_xlfn.XLOOKUP(A197,Sheet2!$A$2:$A$1453,Sheet2!$G$2:$G$1453),_xlfn.XLOOKUP(A197,TEXT(Sheet2!$A$2:$A$1453,"0"),Sheet2!$G$2:$G$1453,""))</f>
        <v>6-8-2026</v>
      </c>
    </row>
    <row r="198" spans="1:7" x14ac:dyDescent="0.2">
      <c r="A198" s="1" t="s">
        <v>20</v>
      </c>
      <c r="B198" t="str" cm="1">
        <f t="array" ref="B198">IFERROR(_xlfn.XLOOKUP(A198,Sheet2!$A$2:$A$1453,Sheet2!$B$2:$B$1453),_xlfn.XLOOKUP(A198,TEXT(Sheet2!$A$2:$A$1453,"0"),Sheet2!$B$2:$B$1453,""))</f>
        <v>ROYAL JELLY 1000 mg/capsule, 30 CAPSULE/BOX</v>
      </c>
      <c r="C198" s="2">
        <v>195</v>
      </c>
      <c r="D198" s="2" cm="1">
        <f t="array" ref="D198">_xlfn.LET(_xlpm.v,IFERROR(_xlfn.XLOOKUP(A198,Sheet2!$A$2:$A$1453,Sheet2!$D$2:$D$1453),_xlfn.XLOOKUP(A198,TEXT(Sheet2!$A$2:$A$1453,"0"),Sheet2!$D$2:$D$1453,"")),IF(_xlpm.v="","",IF(_xlpm.v&lt;1,_xlpm.v*100,_xlpm.v)))</f>
        <v>50</v>
      </c>
      <c r="E198" s="2">
        <f t="shared" si="3"/>
        <v>97.5</v>
      </c>
      <c r="F198" s="2" t="str" cm="1">
        <f t="array" ref="F198">IFERROR(_xlfn.XLOOKUP(A198,Sheet2!$A$2:$A$1453,Sheet2!$F$2:$F$1453),_xlfn.XLOOKUP(A198,TEXT(Sheet2!$A$2:$A$1453,"0"),Sheet2!$F$2:$F$1453,""))</f>
        <v>26-7-2026</v>
      </c>
      <c r="G198" s="2" t="str" cm="1">
        <f t="array" ref="G198">IFERROR(_xlfn.XLOOKUP(A198,Sheet2!$A$2:$A$1453,Sheet2!$G$2:$G$1453),_xlfn.XLOOKUP(A198,TEXT(Sheet2!$A$2:$A$1453,"0"),Sheet2!$G$2:$G$1453,""))</f>
        <v>6-8-2026</v>
      </c>
    </row>
    <row r="199" spans="1:7" x14ac:dyDescent="0.2">
      <c r="A199" s="1">
        <v>30420010301</v>
      </c>
      <c r="B199" t="str" cm="1">
        <f t="array" ref="B199">IFERROR(_xlfn.XLOOKUP(A199,Sheet2!$A$2:$A$1453,Sheet2!$B$2:$B$1453),_xlfn.XLOOKUP(A199,TEXT(Sheet2!$A$2:$A$1453,"0"),Sheet2!$B$2:$B$1453,""))</f>
        <v>MASCULAN GOLD LUXURY EDITIO</v>
      </c>
      <c r="C199" s="2">
        <v>22</v>
      </c>
      <c r="D199" s="2" cm="1">
        <f t="array" ref="D199">_xlfn.LET(_xlpm.v,IFERROR(_xlfn.XLOOKUP(A199,Sheet2!$A$2:$A$1453,Sheet2!$D$2:$D$1453),_xlfn.XLOOKUP(A199,TEXT(Sheet2!$A$2:$A$1453,"0"),Sheet2!$D$2:$D$1453,"")),IF(_xlpm.v="","",IF(_xlpm.v&lt;1,_xlpm.v*100,_xlpm.v)))</f>
        <v>15</v>
      </c>
      <c r="E199" s="2">
        <f t="shared" si="3"/>
        <v>18.7</v>
      </c>
      <c r="F199" s="2" t="str" cm="1">
        <f t="array" ref="F199">IFERROR(_xlfn.XLOOKUP(A199,Sheet2!$A$2:$A$1453,Sheet2!$F$2:$F$1453),_xlfn.XLOOKUP(A199,TEXT(Sheet2!$A$2:$A$1453,"0"),Sheet2!$F$2:$F$1453,""))</f>
        <v>26-7-2026</v>
      </c>
      <c r="G199" s="2" t="str" cm="1">
        <f t="array" ref="G199">IFERROR(_xlfn.XLOOKUP(A199,Sheet2!$A$2:$A$1453,Sheet2!$G$2:$G$1453),_xlfn.XLOOKUP(A199,TEXT(Sheet2!$A$2:$A$1453,"0"),Sheet2!$G$2:$G$1453,""))</f>
        <v>6-8-2026</v>
      </c>
    </row>
    <row r="200" spans="1:7" x14ac:dyDescent="0.2">
      <c r="A200" s="1">
        <v>30420010295</v>
      </c>
      <c r="B200" t="str" cm="1">
        <f t="array" ref="B200">IFERROR(_xlfn.XLOOKUP(A200,Sheet2!$A$2:$A$1453,Sheet2!$B$2:$B$1453),_xlfn.XLOOKUP(A200,TEXT(Sheet2!$A$2:$A$1453,"0"),Sheet2!$B$2:$B$1453,""))</f>
        <v>MASCULAN CONDOM 3PCS RIBBED</v>
      </c>
      <c r="C200" s="2">
        <v>17</v>
      </c>
      <c r="D200" s="2" cm="1">
        <f t="array" ref="D200">_xlfn.LET(_xlpm.v,IFERROR(_xlfn.XLOOKUP(A200,Sheet2!$A$2:$A$1453,Sheet2!$D$2:$D$1453),_xlfn.XLOOKUP(A200,TEXT(Sheet2!$A$2:$A$1453,"0"),Sheet2!$D$2:$D$1453,"")),IF(_xlpm.v="","",IF(_xlpm.v&lt;1,_xlpm.v*100,_xlpm.v)))</f>
        <v>15</v>
      </c>
      <c r="E200" s="2">
        <f t="shared" si="3"/>
        <v>14.45</v>
      </c>
      <c r="F200" s="2" t="str" cm="1">
        <f t="array" ref="F200">IFERROR(_xlfn.XLOOKUP(A200,Sheet2!$A$2:$A$1453,Sheet2!$F$2:$F$1453),_xlfn.XLOOKUP(A200,TEXT(Sheet2!$A$2:$A$1453,"0"),Sheet2!$F$2:$F$1453,""))</f>
        <v>26-7-2026</v>
      </c>
      <c r="G200" s="2" t="str" cm="1">
        <f t="array" ref="G200">IFERROR(_xlfn.XLOOKUP(A200,Sheet2!$A$2:$A$1453,Sheet2!$G$2:$G$1453),_xlfn.XLOOKUP(A200,TEXT(Sheet2!$A$2:$A$1453,"0"),Sheet2!$G$2:$G$1453,""))</f>
        <v>6-8-2026</v>
      </c>
    </row>
    <row r="201" spans="1:7" x14ac:dyDescent="0.2">
      <c r="A201" s="1">
        <v>30420010297</v>
      </c>
      <c r="B201" t="str" cm="1">
        <f t="array" ref="B201">IFERROR(_xlfn.XLOOKUP(A201,Sheet2!$A$2:$A$1453,Sheet2!$B$2:$B$1453),_xlfn.XLOOKUP(A201,TEXT(Sheet2!$A$2:$A$1453,"0"),Sheet2!$B$2:$B$1453,""))</f>
        <v>MASCULAN CONDOM 3 PCS.FRUIT </v>
      </c>
      <c r="C201" s="2">
        <v>18.329999999999998</v>
      </c>
      <c r="D201" s="2" cm="1">
        <f t="array" ref="D201">_xlfn.LET(_xlpm.v,IFERROR(_xlfn.XLOOKUP(A201,Sheet2!$A$2:$A$1453,Sheet2!$D$2:$D$1453),_xlfn.XLOOKUP(A201,TEXT(Sheet2!$A$2:$A$1453,"0"),Sheet2!$D$2:$D$1453,"")),IF(_xlpm.v="","",IF(_xlpm.v&lt;1,_xlpm.v*100,_xlpm.v)))</f>
        <v>15</v>
      </c>
      <c r="E201" s="2">
        <f t="shared" si="3"/>
        <v>15.580499999999999</v>
      </c>
      <c r="F201" s="2" t="str" cm="1">
        <f t="array" ref="F201">IFERROR(_xlfn.XLOOKUP(A201,Sheet2!$A$2:$A$1453,Sheet2!$F$2:$F$1453),_xlfn.XLOOKUP(A201,TEXT(Sheet2!$A$2:$A$1453,"0"),Sheet2!$F$2:$F$1453,""))</f>
        <v>26-7-2026</v>
      </c>
      <c r="G201" s="2" t="str" cm="1">
        <f t="array" ref="G201">IFERROR(_xlfn.XLOOKUP(A201,Sheet2!$A$2:$A$1453,Sheet2!$G$2:$G$1453),_xlfn.XLOOKUP(A201,TEXT(Sheet2!$A$2:$A$1453,"0"),Sheet2!$G$2:$G$1453,""))</f>
        <v>6-8-2026</v>
      </c>
    </row>
    <row r="202" spans="1:7" x14ac:dyDescent="0.2">
      <c r="A202" s="1">
        <v>30420011948</v>
      </c>
      <c r="B202" t="str" cm="1">
        <f t="array" ref="B202">IFERROR(_xlfn.XLOOKUP(A202,Sheet2!$A$2:$A$1453,Sheet2!$B$2:$B$1453),_xlfn.XLOOKUP(A202,TEXT(Sheet2!$A$2:$A$1453,"0"),Sheet2!$B$2:$B$1453,""))</f>
        <v>MASCULAN 3 CONDOM ANATOMIC</v>
      </c>
      <c r="C202" s="2">
        <v>17</v>
      </c>
      <c r="D202" s="2" cm="1">
        <f t="array" ref="D202">_xlfn.LET(_xlpm.v,IFERROR(_xlfn.XLOOKUP(A202,Sheet2!$A$2:$A$1453,Sheet2!$D$2:$D$1453),_xlfn.XLOOKUP(A202,TEXT(Sheet2!$A$2:$A$1453,"0"),Sheet2!$D$2:$D$1453,"")),IF(_xlpm.v="","",IF(_xlpm.v&lt;1,_xlpm.v*100,_xlpm.v)))</f>
        <v>15</v>
      </c>
      <c r="E202" s="2">
        <f t="shared" si="3"/>
        <v>14.45</v>
      </c>
      <c r="F202" s="2" t="str" cm="1">
        <f t="array" ref="F202">IFERROR(_xlfn.XLOOKUP(A202,Sheet2!$A$2:$A$1453,Sheet2!$F$2:$F$1453),_xlfn.XLOOKUP(A202,TEXT(Sheet2!$A$2:$A$1453,"0"),Sheet2!$F$2:$F$1453,""))</f>
        <v>26-7-2026</v>
      </c>
      <c r="G202" s="2" t="str" cm="1">
        <f t="array" ref="G202">IFERROR(_xlfn.XLOOKUP(A202,Sheet2!$A$2:$A$1453,Sheet2!$G$2:$G$1453),_xlfn.XLOOKUP(A202,TEXT(Sheet2!$A$2:$A$1453,"0"),Sheet2!$G$2:$G$1453,""))</f>
        <v>6-8-2026</v>
      </c>
    </row>
    <row r="203" spans="1:7" x14ac:dyDescent="0.2">
      <c r="A203" s="1">
        <v>20309501378</v>
      </c>
      <c r="B203" t="str" cm="1">
        <f t="array" ref="B203">IFERROR(_xlfn.XLOOKUP(A203,Sheet2!$A$2:$A$1453,Sheet2!$B$2:$B$1453),_xlfn.XLOOKUP(A203,TEXT(Sheet2!$A$2:$A$1453,"0"),Sheet2!$B$2:$B$1453,""))</f>
        <v>Masculan  Condom Gold 10PCS. 114180</v>
      </c>
      <c r="C203" s="2">
        <v>32</v>
      </c>
      <c r="D203" s="2" cm="1">
        <f t="array" ref="D203">_xlfn.LET(_xlpm.v,IFERROR(_xlfn.XLOOKUP(A203,Sheet2!$A$2:$A$1453,Sheet2!$D$2:$D$1453),_xlfn.XLOOKUP(A203,TEXT(Sheet2!$A$2:$A$1453,"0"),Sheet2!$D$2:$D$1453,"")),IF(_xlpm.v="","",IF(_xlpm.v&lt;1,_xlpm.v*100,_xlpm.v)))</f>
        <v>15</v>
      </c>
      <c r="E203" s="2">
        <f t="shared" si="3"/>
        <v>27.2</v>
      </c>
      <c r="F203" s="2" t="str" cm="1">
        <f t="array" ref="F203">IFERROR(_xlfn.XLOOKUP(A203,Sheet2!$A$2:$A$1453,Sheet2!$F$2:$F$1453),_xlfn.XLOOKUP(A203,TEXT(Sheet2!$A$2:$A$1453,"0"),Sheet2!$F$2:$F$1453,""))</f>
        <v>26-7-2026</v>
      </c>
      <c r="G203" s="2" t="str" cm="1">
        <f t="array" ref="G203">IFERROR(_xlfn.XLOOKUP(A203,Sheet2!$A$2:$A$1453,Sheet2!$G$2:$G$1453),_xlfn.XLOOKUP(A203,TEXT(Sheet2!$A$2:$A$1453,"0"),Sheet2!$G$2:$G$1453,""))</f>
        <v>6-8-2026</v>
      </c>
    </row>
    <row r="204" spans="1:7" x14ac:dyDescent="0.2">
      <c r="A204" s="1">
        <v>30420010292</v>
      </c>
      <c r="B204" t="str" cm="1">
        <f t="array" ref="B204">IFERROR(_xlfn.XLOOKUP(A204,Sheet2!$A$2:$A$1453,Sheet2!$B$2:$B$1453),_xlfn.XLOOKUP(A204,TEXT(Sheet2!$A$2:$A$1453,"0"),Sheet2!$B$2:$B$1453,""))</f>
        <v>MASCULAN  CONDOM  FRUIT 10PCS</v>
      </c>
      <c r="C204" s="2">
        <v>28</v>
      </c>
      <c r="D204" s="2" cm="1">
        <f t="array" ref="D204">_xlfn.LET(_xlpm.v,IFERROR(_xlfn.XLOOKUP(A204,Sheet2!$A$2:$A$1453,Sheet2!$D$2:$D$1453),_xlfn.XLOOKUP(A204,TEXT(Sheet2!$A$2:$A$1453,"0"),Sheet2!$D$2:$D$1453,"")),IF(_xlpm.v="","",IF(_xlpm.v&lt;1,_xlpm.v*100,_xlpm.v)))</f>
        <v>15</v>
      </c>
      <c r="E204" s="2">
        <f t="shared" si="3"/>
        <v>23.8</v>
      </c>
      <c r="F204" s="2" t="str" cm="1">
        <f t="array" ref="F204">IFERROR(_xlfn.XLOOKUP(A204,Sheet2!$A$2:$A$1453,Sheet2!$F$2:$F$1453),_xlfn.XLOOKUP(A204,TEXT(Sheet2!$A$2:$A$1453,"0"),Sheet2!$F$2:$F$1453,""))</f>
        <v>26-7-2026</v>
      </c>
      <c r="G204" s="2" t="str" cm="1">
        <f t="array" ref="G204">IFERROR(_xlfn.XLOOKUP(A204,Sheet2!$A$2:$A$1453,Sheet2!$G$2:$G$1453),_xlfn.XLOOKUP(A204,TEXT(Sheet2!$A$2:$A$1453,"0"),Sheet2!$G$2:$G$1453,""))</f>
        <v>6-8-2026</v>
      </c>
    </row>
    <row r="205" spans="1:7" x14ac:dyDescent="0.2">
      <c r="A205" s="1" t="s">
        <v>21</v>
      </c>
      <c r="B205" t="str" cm="1">
        <f t="array" ref="B205">IFERROR(_xlfn.XLOOKUP(A205,Sheet2!$A$2:$A$1453,Sheet2!$B$2:$B$1453),_xlfn.XLOOKUP(A205,TEXT(Sheet2!$A$2:$A$1453,"0"),Sheet2!$B$2:$B$1453,""))</f>
        <v>NERVAN 500 mg/tablet, 30 TABLET/BOX</v>
      </c>
      <c r="C205" s="2">
        <v>39.75</v>
      </c>
      <c r="D205" s="2" cm="1">
        <f t="array" ref="D205">_xlfn.LET(_xlpm.v,IFERROR(_xlfn.XLOOKUP(A205,Sheet2!$A$2:$A$1453,Sheet2!$D$2:$D$1453),_xlfn.XLOOKUP(A205,TEXT(Sheet2!$A$2:$A$1453,"0"),Sheet2!$D$2:$D$1453,"")),IF(_xlpm.v="","",IF(_xlpm.v&lt;1,_xlpm.v*100,_xlpm.v)))</f>
        <v>50</v>
      </c>
      <c r="E205" s="2">
        <f t="shared" si="3"/>
        <v>19.875</v>
      </c>
      <c r="F205" s="2" t="str" cm="1">
        <f t="array" ref="F205">IFERROR(_xlfn.XLOOKUP(A205,Sheet2!$A$2:$A$1453,Sheet2!$F$2:$F$1453),_xlfn.XLOOKUP(A205,TEXT(Sheet2!$A$2:$A$1453,"0"),Sheet2!$F$2:$F$1453,""))</f>
        <v>26-7-2026</v>
      </c>
      <c r="G205" s="2" t="str" cm="1">
        <f t="array" ref="G205">IFERROR(_xlfn.XLOOKUP(A205,Sheet2!$A$2:$A$1453,Sheet2!$G$2:$G$1453),_xlfn.XLOOKUP(A205,TEXT(Sheet2!$A$2:$A$1453,"0"),Sheet2!$G$2:$G$1453,""))</f>
        <v>6-8-2026</v>
      </c>
    </row>
    <row r="206" spans="1:7" x14ac:dyDescent="0.2">
      <c r="A206" s="1" t="s">
        <v>22</v>
      </c>
      <c r="B206" t="str" cm="1">
        <f t="array" ref="B206">IFERROR(_xlfn.XLOOKUP(A206,Sheet2!$A$2:$A$1453,Sheet2!$B$2:$B$1453),_xlfn.XLOOKUP(A206,TEXT(Sheet2!$A$2:$A$1453,"0"),Sheet2!$B$2:$B$1453,""))</f>
        <v>ROYAL DRINK (20 VIAL*10ML)</v>
      </c>
      <c r="C206" s="2">
        <v>115</v>
      </c>
      <c r="D206" s="2" cm="1">
        <f t="array" ref="D206">_xlfn.LET(_xlpm.v,IFERROR(_xlfn.XLOOKUP(A206,Sheet2!$A$2:$A$1453,Sheet2!$D$2:$D$1453),_xlfn.XLOOKUP(A206,TEXT(Sheet2!$A$2:$A$1453,"0"),Sheet2!$D$2:$D$1453,"")),IF(_xlpm.v="","",IF(_xlpm.v&lt;1,_xlpm.v*100,_xlpm.v)))</f>
        <v>33</v>
      </c>
      <c r="E206" s="2">
        <f t="shared" si="3"/>
        <v>77.05</v>
      </c>
      <c r="F206" s="2" t="str" cm="1">
        <f t="array" ref="F206">IFERROR(_xlfn.XLOOKUP(A206,Sheet2!$A$2:$A$1453,Sheet2!$F$2:$F$1453),_xlfn.XLOOKUP(A206,TEXT(Sheet2!$A$2:$A$1453,"0"),Sheet2!$F$2:$F$1453,""))</f>
        <v>26-7-2026</v>
      </c>
      <c r="G206" s="2" t="str" cm="1">
        <f t="array" ref="G206">IFERROR(_xlfn.XLOOKUP(A206,Sheet2!$A$2:$A$1453,Sheet2!$G$2:$G$1453),_xlfn.XLOOKUP(A206,TEXT(Sheet2!$A$2:$A$1453,"0"),Sheet2!$G$2:$G$1453,""))</f>
        <v>6-8-2026</v>
      </c>
    </row>
    <row r="207" spans="1:7" x14ac:dyDescent="0.2">
      <c r="A207" s="1" t="s">
        <v>23</v>
      </c>
      <c r="B207" t="str" cm="1">
        <f t="array" ref="B207">IFERROR(_xlfn.XLOOKUP(A207,Sheet2!$A$2:$A$1453,Sheet2!$B$2:$B$1453),_xlfn.XLOOKUP(A207,TEXT(Sheet2!$A$2:$A$1453,"0"),Sheet2!$B$2:$B$1453,""))</f>
        <v>MARNYS EXOTIQUE PLUS Capsule 1000MG/1Capsule, 30Capsule/Box</v>
      </c>
      <c r="C207" s="2">
        <v>190</v>
      </c>
      <c r="D207" s="2" cm="1">
        <f t="array" ref="D207">_xlfn.LET(_xlpm.v,IFERROR(_xlfn.XLOOKUP(A207,Sheet2!$A$2:$A$1453,Sheet2!$D$2:$D$1453),_xlfn.XLOOKUP(A207,TEXT(Sheet2!$A$2:$A$1453,"0"),Sheet2!$D$2:$D$1453,"")),IF(_xlpm.v="","",IF(_xlpm.v&lt;1,_xlpm.v*100,_xlpm.v)))</f>
        <v>50</v>
      </c>
      <c r="E207" s="2">
        <f t="shared" si="3"/>
        <v>95</v>
      </c>
      <c r="F207" s="2" t="str" cm="1">
        <f t="array" ref="F207">IFERROR(_xlfn.XLOOKUP(A207,Sheet2!$A$2:$A$1453,Sheet2!$F$2:$F$1453),_xlfn.XLOOKUP(A207,TEXT(Sheet2!$A$2:$A$1453,"0"),Sheet2!$F$2:$F$1453,""))</f>
        <v>26-7-2026</v>
      </c>
      <c r="G207" s="2" t="str" cm="1">
        <f t="array" ref="G207">IFERROR(_xlfn.XLOOKUP(A207,Sheet2!$A$2:$A$1453,Sheet2!$G$2:$G$1453),_xlfn.XLOOKUP(A207,TEXT(Sheet2!$A$2:$A$1453,"0"),Sheet2!$G$2:$G$1453,""))</f>
        <v>6-8-2026</v>
      </c>
    </row>
    <row r="208" spans="1:7" x14ac:dyDescent="0.2">
      <c r="A208" s="1">
        <v>20309030191</v>
      </c>
      <c r="B208" t="str" cm="1">
        <f t="array" ref="B208">IFERROR(_xlfn.XLOOKUP(A208,Sheet2!$A$2:$A$1453,Sheet2!$B$2:$B$1453),_xlfn.XLOOKUP(A208,TEXT(Sheet2!$A$2:$A$1453,"0"),Sheet2!$B$2:$B$1453,""))</f>
        <v>LUX HAND WASH VELVET TOUCH 250ML 206695</v>
      </c>
      <c r="C208" s="2">
        <v>14.95</v>
      </c>
      <c r="D208" s="2" cm="1">
        <f t="array" ref="D208">_xlfn.LET(_xlpm.v,IFERROR(_xlfn.XLOOKUP(A208,Sheet2!$A$2:$A$1453,Sheet2!$D$2:$D$1453),_xlfn.XLOOKUP(A208,TEXT(Sheet2!$A$2:$A$1453,"0"),Sheet2!$D$2:$D$1453,"")),IF(_xlpm.v="","",IF(_xlpm.v&lt;1,_xlpm.v*100,_xlpm.v)))</f>
        <v>15</v>
      </c>
      <c r="E208" s="2">
        <f t="shared" si="3"/>
        <v>12.7075</v>
      </c>
      <c r="F208" s="2" t="str" cm="1">
        <f t="array" ref="F208">IFERROR(_xlfn.XLOOKUP(A208,Sheet2!$A$2:$A$1453,Sheet2!$F$2:$F$1453),_xlfn.XLOOKUP(A208,TEXT(Sheet2!$A$2:$A$1453,"0"),Sheet2!$F$2:$F$1453,""))</f>
        <v>26-7-2026</v>
      </c>
      <c r="G208" s="2" t="str" cm="1">
        <f t="array" ref="G208">IFERROR(_xlfn.XLOOKUP(A208,Sheet2!$A$2:$A$1453,Sheet2!$G$2:$G$1453),_xlfn.XLOOKUP(A208,TEXT(Sheet2!$A$2:$A$1453,"0"),Sheet2!$G$2:$G$1453,""))</f>
        <v>6-8-2026</v>
      </c>
    </row>
    <row r="209" spans="1:7" x14ac:dyDescent="0.2">
      <c r="A209" s="1">
        <v>20309030736</v>
      </c>
      <c r="B209" t="str" cm="1">
        <f t="array" ref="B209">IFERROR(_xlfn.XLOOKUP(A209,Sheet2!$A$2:$A$1453,Sheet2!$B$2:$B$1453),_xlfn.XLOOKUP(A209,TEXT(Sheet2!$A$2:$A$1453,"0"),Sheet2!$B$2:$B$1453,""))</f>
        <v>LUX HAND WASH VELVET JASMINE (LABO) 500ML</v>
      </c>
      <c r="C209" s="2">
        <v>27.03</v>
      </c>
      <c r="D209" s="2" cm="1">
        <f t="array" ref="D209">_xlfn.LET(_xlpm.v,IFERROR(_xlfn.XLOOKUP(A209,Sheet2!$A$2:$A$1453,Sheet2!$D$2:$D$1453),_xlfn.XLOOKUP(A209,TEXT(Sheet2!$A$2:$A$1453,"0"),Sheet2!$D$2:$D$1453,"")),IF(_xlpm.v="","",IF(_xlpm.v&lt;1,_xlpm.v*100,_xlpm.v)))</f>
        <v>15</v>
      </c>
      <c r="E209" s="2">
        <f t="shared" si="3"/>
        <v>22.9755</v>
      </c>
      <c r="F209" s="2" t="str" cm="1">
        <f t="array" ref="F209">IFERROR(_xlfn.XLOOKUP(A209,Sheet2!$A$2:$A$1453,Sheet2!$F$2:$F$1453),_xlfn.XLOOKUP(A209,TEXT(Sheet2!$A$2:$A$1453,"0"),Sheet2!$F$2:$F$1453,""))</f>
        <v>26-7-2026</v>
      </c>
      <c r="G209" s="2" t="str" cm="1">
        <f t="array" ref="G209">IFERROR(_xlfn.XLOOKUP(A209,Sheet2!$A$2:$A$1453,Sheet2!$G$2:$G$1453),_xlfn.XLOOKUP(A209,TEXT(Sheet2!$A$2:$A$1453,"0"),Sheet2!$G$2:$G$1453,""))</f>
        <v>6-8-2026</v>
      </c>
    </row>
    <row r="210" spans="1:7" x14ac:dyDescent="0.2">
      <c r="A210" s="1">
        <v>20309030159</v>
      </c>
      <c r="B210" t="str" cm="1">
        <f t="array" ref="B210">IFERROR(_xlfn.XLOOKUP(A210,Sheet2!$A$2:$A$1453,Sheet2!$B$2:$B$1453),_xlfn.XLOOKUP(A210,TEXT(Sheet2!$A$2:$A$1453,"0"),Sheet2!$B$2:$B$1453,""))</f>
        <v>LUX HAND WASH SOFT TOUCH 500ML 206699</v>
      </c>
      <c r="C210" s="2">
        <v>27.03</v>
      </c>
      <c r="D210" s="2" cm="1">
        <f t="array" ref="D210">_xlfn.LET(_xlpm.v,IFERROR(_xlfn.XLOOKUP(A210,Sheet2!$A$2:$A$1453,Sheet2!$D$2:$D$1453),_xlfn.XLOOKUP(A210,TEXT(Sheet2!$A$2:$A$1453,"0"),Sheet2!$D$2:$D$1453,"")),IF(_xlpm.v="","",IF(_xlpm.v&lt;1,_xlpm.v*100,_xlpm.v)))</f>
        <v>15</v>
      </c>
      <c r="E210" s="2">
        <f t="shared" si="3"/>
        <v>22.9755</v>
      </c>
      <c r="F210" s="2" t="str" cm="1">
        <f t="array" ref="F210">IFERROR(_xlfn.XLOOKUP(A210,Sheet2!$A$2:$A$1453,Sheet2!$F$2:$F$1453),_xlfn.XLOOKUP(A210,TEXT(Sheet2!$A$2:$A$1453,"0"),Sheet2!$F$2:$F$1453,""))</f>
        <v>26-7-2026</v>
      </c>
      <c r="G210" s="2" t="str" cm="1">
        <f t="array" ref="G210">IFERROR(_xlfn.XLOOKUP(A210,Sheet2!$A$2:$A$1453,Sheet2!$G$2:$G$1453),_xlfn.XLOOKUP(A210,TEXT(Sheet2!$A$2:$A$1453,"0"),Sheet2!$G$2:$G$1453,""))</f>
        <v>6-8-2026</v>
      </c>
    </row>
    <row r="211" spans="1:7" x14ac:dyDescent="0.2">
      <c r="A211" s="1">
        <v>20309030124</v>
      </c>
      <c r="B211" t="str" cm="1">
        <f t="array" ref="B211">IFERROR(_xlfn.XLOOKUP(A211,Sheet2!$A$2:$A$1453,Sheet2!$B$2:$B$1453),_xlfn.XLOOKUP(A211,TEXT(Sheet2!$A$2:$A$1453,"0"),Sheet2!$B$2:$B$1453,""))</f>
        <v>LUX HAND WASH SOFT TOUCH 250ML 206696</v>
      </c>
      <c r="C211" s="2">
        <v>14.95</v>
      </c>
      <c r="D211" s="2" cm="1">
        <f t="array" ref="D211">_xlfn.LET(_xlpm.v,IFERROR(_xlfn.XLOOKUP(A211,Sheet2!$A$2:$A$1453,Sheet2!$D$2:$D$1453),_xlfn.XLOOKUP(A211,TEXT(Sheet2!$A$2:$A$1453,"0"),Sheet2!$D$2:$D$1453,"")),IF(_xlpm.v="","",IF(_xlpm.v&lt;1,_xlpm.v*100,_xlpm.v)))</f>
        <v>15</v>
      </c>
      <c r="E211" s="2">
        <f t="shared" si="3"/>
        <v>12.7075</v>
      </c>
      <c r="F211" s="2" t="str" cm="1">
        <f t="array" ref="F211">IFERROR(_xlfn.XLOOKUP(A211,Sheet2!$A$2:$A$1453,Sheet2!$F$2:$F$1453),_xlfn.XLOOKUP(A211,TEXT(Sheet2!$A$2:$A$1453,"0"),Sheet2!$F$2:$F$1453,""))</f>
        <v>26-7-2026</v>
      </c>
      <c r="G211" s="2" t="str" cm="1">
        <f t="array" ref="G211">IFERROR(_xlfn.XLOOKUP(A211,Sheet2!$A$2:$A$1453,Sheet2!$G$2:$G$1453),_xlfn.XLOOKUP(A211,TEXT(Sheet2!$A$2:$A$1453,"0"),Sheet2!$G$2:$G$1453,""))</f>
        <v>6-8-2026</v>
      </c>
    </row>
    <row r="212" spans="1:7" x14ac:dyDescent="0.2">
      <c r="A212" s="1">
        <v>20309030125</v>
      </c>
      <c r="B212" t="str" cm="1">
        <f t="array" ref="B212">IFERROR(_xlfn.XLOOKUP(A212,Sheet2!$A$2:$A$1453,Sheet2!$B$2:$B$1453),_xlfn.XLOOKUP(A212,TEXT(Sheet2!$A$2:$A$1453,"0"),Sheet2!$B$2:$B$1453,""))</f>
        <v>LUX HAND WASH MAGICAL BEAUTY 250ML 205017</v>
      </c>
      <c r="C212" s="2">
        <v>14.95</v>
      </c>
      <c r="D212" s="2" cm="1">
        <f t="array" ref="D212">_xlfn.LET(_xlpm.v,IFERROR(_xlfn.XLOOKUP(A212,Sheet2!$A$2:$A$1453,Sheet2!$D$2:$D$1453),_xlfn.XLOOKUP(A212,TEXT(Sheet2!$A$2:$A$1453,"0"),Sheet2!$D$2:$D$1453,"")),IF(_xlpm.v="","",IF(_xlpm.v&lt;1,_xlpm.v*100,_xlpm.v)))</f>
        <v>15</v>
      </c>
      <c r="E212" s="2">
        <f t="shared" si="3"/>
        <v>12.7075</v>
      </c>
      <c r="F212" s="2" t="str" cm="1">
        <f t="array" ref="F212">IFERROR(_xlfn.XLOOKUP(A212,Sheet2!$A$2:$A$1453,Sheet2!$F$2:$F$1453),_xlfn.XLOOKUP(A212,TEXT(Sheet2!$A$2:$A$1453,"0"),Sheet2!$F$2:$F$1453,""))</f>
        <v>26-7-2026</v>
      </c>
      <c r="G212" s="2" t="str" cm="1">
        <f t="array" ref="G212">IFERROR(_xlfn.XLOOKUP(A212,Sheet2!$A$2:$A$1453,Sheet2!$G$2:$G$1453),_xlfn.XLOOKUP(A212,TEXT(Sheet2!$A$2:$A$1453,"0"),Sheet2!$G$2:$G$1453,""))</f>
        <v>6-8-2026</v>
      </c>
    </row>
    <row r="213" spans="1:7" x14ac:dyDescent="0.2">
      <c r="A213" s="1">
        <v>20309030160</v>
      </c>
      <c r="B213" t="str" cm="1">
        <f t="array" ref="B213">IFERROR(_xlfn.XLOOKUP(A213,Sheet2!$A$2:$A$1453,Sheet2!$B$2:$B$1453),_xlfn.XLOOKUP(A213,TEXT(Sheet2!$A$2:$A$1453,"0"),Sheet2!$B$2:$B$1453,""))</f>
        <v>LUX HAND WASH MAGICAL BEAUTY 500ML 205022</v>
      </c>
      <c r="C213" s="2">
        <v>27.03</v>
      </c>
      <c r="D213" s="2" cm="1">
        <f t="array" ref="D213">_xlfn.LET(_xlpm.v,IFERROR(_xlfn.XLOOKUP(A213,Sheet2!$A$2:$A$1453,Sheet2!$D$2:$D$1453),_xlfn.XLOOKUP(A213,TEXT(Sheet2!$A$2:$A$1453,"0"),Sheet2!$D$2:$D$1453,"")),IF(_xlpm.v="","",IF(_xlpm.v&lt;1,_xlpm.v*100,_xlpm.v)))</f>
        <v>15</v>
      </c>
      <c r="E213" s="2">
        <f t="shared" si="3"/>
        <v>22.9755</v>
      </c>
      <c r="F213" s="2" t="str" cm="1">
        <f t="array" ref="F213">IFERROR(_xlfn.XLOOKUP(A213,Sheet2!$A$2:$A$1453,Sheet2!$F$2:$F$1453),_xlfn.XLOOKUP(A213,TEXT(Sheet2!$A$2:$A$1453,"0"),Sheet2!$F$2:$F$1453,""))</f>
        <v>26-7-2026</v>
      </c>
      <c r="G213" s="2" t="str" cm="1">
        <f t="array" ref="G213">IFERROR(_xlfn.XLOOKUP(A213,Sheet2!$A$2:$A$1453,Sheet2!$G$2:$G$1453),_xlfn.XLOOKUP(A213,TEXT(Sheet2!$A$2:$A$1453,"0"),Sheet2!$G$2:$G$1453,""))</f>
        <v>6-8-2026</v>
      </c>
    </row>
    <row r="214" spans="1:7" x14ac:dyDescent="0.2">
      <c r="A214" s="1">
        <v>20309030815</v>
      </c>
      <c r="B214" t="str" cm="1">
        <f t="array" ref="B214">IFERROR(_xlfn.XLOOKUP(A214,Sheet2!$A$2:$A$1453,Sheet2!$B$2:$B$1453),_xlfn.XLOOKUP(A214,TEXT(Sheet2!$A$2:$A$1453,"0"),Sheet2!$B$2:$B$1453,""))</f>
        <v>LUX HAND WASH FIG EXTRACT VETIVER 250 ML</v>
      </c>
      <c r="C214" s="2">
        <v>18.399999999999999</v>
      </c>
      <c r="D214" s="2" cm="1">
        <f t="array" ref="D214">_xlfn.LET(_xlpm.v,IFERROR(_xlfn.XLOOKUP(A214,Sheet2!$A$2:$A$1453,Sheet2!$D$2:$D$1453),_xlfn.XLOOKUP(A214,TEXT(Sheet2!$A$2:$A$1453,"0"),Sheet2!$D$2:$D$1453,"")),IF(_xlpm.v="","",IF(_xlpm.v&lt;1,_xlpm.v*100,_xlpm.v)))</f>
        <v>15</v>
      </c>
      <c r="E214" s="2">
        <f t="shared" si="3"/>
        <v>15.639999999999999</v>
      </c>
      <c r="F214" s="2" t="str" cm="1">
        <f t="array" ref="F214">IFERROR(_xlfn.XLOOKUP(A214,Sheet2!$A$2:$A$1453,Sheet2!$F$2:$F$1453),_xlfn.XLOOKUP(A214,TEXT(Sheet2!$A$2:$A$1453,"0"),Sheet2!$F$2:$F$1453,""))</f>
        <v>26-7-2026</v>
      </c>
      <c r="G214" s="2" t="str" cm="1">
        <f t="array" ref="G214">IFERROR(_xlfn.XLOOKUP(A214,Sheet2!$A$2:$A$1453,Sheet2!$G$2:$G$1453),_xlfn.XLOOKUP(A214,TEXT(Sheet2!$A$2:$A$1453,"0"),Sheet2!$G$2:$G$1453,""))</f>
        <v>6-8-2026</v>
      </c>
    </row>
    <row r="215" spans="1:7" x14ac:dyDescent="0.2">
      <c r="A215" s="1">
        <v>20309030364</v>
      </c>
      <c r="B215" t="str" cm="1">
        <f t="array" ref="B215">IFERROR(_xlfn.XLOOKUP(A215,Sheet2!$A$2:$A$1453,Sheet2!$B$2:$B$1453),_xlfn.XLOOKUP(A215,TEXT(Sheet2!$A$2:$A$1453,"0"),Sheet2!$B$2:$B$1453,""))</f>
        <v>LUX BODY WASH VELVET TOUCH 700ML 208095</v>
      </c>
      <c r="C215" s="2">
        <v>44.85</v>
      </c>
      <c r="D215" s="2" cm="1">
        <f t="array" ref="D215">_xlfn.LET(_xlpm.v,IFERROR(_xlfn.XLOOKUP(A215,Sheet2!$A$2:$A$1453,Sheet2!$D$2:$D$1453),_xlfn.XLOOKUP(A215,TEXT(Sheet2!$A$2:$A$1453,"0"),Sheet2!$D$2:$D$1453,"")),IF(_xlpm.v="","",IF(_xlpm.v&lt;1,_xlpm.v*100,_xlpm.v)))</f>
        <v>15</v>
      </c>
      <c r="E215" s="2">
        <f t="shared" si="3"/>
        <v>38.122500000000002</v>
      </c>
      <c r="F215" s="2" t="str" cm="1">
        <f t="array" ref="F215">IFERROR(_xlfn.XLOOKUP(A215,Sheet2!$A$2:$A$1453,Sheet2!$F$2:$F$1453),_xlfn.XLOOKUP(A215,TEXT(Sheet2!$A$2:$A$1453,"0"),Sheet2!$F$2:$F$1453,""))</f>
        <v>26-7-2026</v>
      </c>
      <c r="G215" s="2" t="str" cm="1">
        <f t="array" ref="G215">IFERROR(_xlfn.XLOOKUP(A215,Sheet2!$A$2:$A$1453,Sheet2!$G$2:$G$1453),_xlfn.XLOOKUP(A215,TEXT(Sheet2!$A$2:$A$1453,"0"),Sheet2!$G$2:$G$1453,""))</f>
        <v>6-8-2026</v>
      </c>
    </row>
    <row r="216" spans="1:7" x14ac:dyDescent="0.2">
      <c r="A216" s="1">
        <v>20309030034</v>
      </c>
      <c r="B216" t="str" cm="1">
        <f t="array" ref="B216">IFERROR(_xlfn.XLOOKUP(A216,Sheet2!$A$2:$A$1453,Sheet2!$B$2:$B$1453),_xlfn.XLOOKUP(A216,TEXT(Sheet2!$A$2:$A$1453,"0"),Sheet2!$B$2:$B$1453,""))</f>
        <v>LUX BODY WASH SOFT TOUCH 700 ML 208096</v>
      </c>
      <c r="C216" s="2">
        <v>44.85</v>
      </c>
      <c r="D216" s="2" cm="1">
        <f t="array" ref="D216">_xlfn.LET(_xlpm.v,IFERROR(_xlfn.XLOOKUP(A216,Sheet2!$A$2:$A$1453,Sheet2!$D$2:$D$1453),_xlfn.XLOOKUP(A216,TEXT(Sheet2!$A$2:$A$1453,"0"),Sheet2!$D$2:$D$1453,"")),IF(_xlpm.v="","",IF(_xlpm.v&lt;1,_xlpm.v*100,_xlpm.v)))</f>
        <v>15</v>
      </c>
      <c r="E216" s="2">
        <f t="shared" si="3"/>
        <v>38.122500000000002</v>
      </c>
      <c r="F216" s="2" t="str" cm="1">
        <f t="array" ref="F216">IFERROR(_xlfn.XLOOKUP(A216,Sheet2!$A$2:$A$1453,Sheet2!$F$2:$F$1453),_xlfn.XLOOKUP(A216,TEXT(Sheet2!$A$2:$A$1453,"0"),Sheet2!$F$2:$F$1453,""))</f>
        <v>26-7-2026</v>
      </c>
      <c r="G216" s="2" t="str" cm="1">
        <f t="array" ref="G216">IFERROR(_xlfn.XLOOKUP(A216,Sheet2!$A$2:$A$1453,Sheet2!$G$2:$G$1453),_xlfn.XLOOKUP(A216,TEXT(Sheet2!$A$2:$A$1453,"0"),Sheet2!$G$2:$G$1453,""))</f>
        <v>6-8-2026</v>
      </c>
    </row>
    <row r="217" spans="1:7" x14ac:dyDescent="0.2">
      <c r="A217" s="1">
        <v>20309030302</v>
      </c>
      <c r="B217" t="str" cm="1">
        <f t="array" ref="B217">IFERROR(_xlfn.XLOOKUP(A217,Sheet2!$A$2:$A$1453,Sheet2!$B$2:$B$1453),_xlfn.XLOOKUP(A217,TEXT(Sheet2!$A$2:$A$1453,"0"),Sheet2!$B$2:$B$1453,""))</f>
        <v>LUX BODY WASH SOFT TOUCH 500 ML 208103</v>
      </c>
      <c r="C217" s="2">
        <v>43.13</v>
      </c>
      <c r="D217" s="2" cm="1">
        <f t="array" ref="D217">_xlfn.LET(_xlpm.v,IFERROR(_xlfn.XLOOKUP(A217,Sheet2!$A$2:$A$1453,Sheet2!$D$2:$D$1453),_xlfn.XLOOKUP(A217,TEXT(Sheet2!$A$2:$A$1453,"0"),Sheet2!$D$2:$D$1453,"")),IF(_xlpm.v="","",IF(_xlpm.v&lt;1,_xlpm.v*100,_xlpm.v)))</f>
        <v>15</v>
      </c>
      <c r="E217" s="2">
        <f t="shared" si="3"/>
        <v>36.660499999999999</v>
      </c>
      <c r="F217" s="2" t="str" cm="1">
        <f t="array" ref="F217">IFERROR(_xlfn.XLOOKUP(A217,Sheet2!$A$2:$A$1453,Sheet2!$F$2:$F$1453),_xlfn.XLOOKUP(A217,TEXT(Sheet2!$A$2:$A$1453,"0"),Sheet2!$F$2:$F$1453,""))</f>
        <v>26-7-2026</v>
      </c>
      <c r="G217" s="2" t="str" cm="1">
        <f t="array" ref="G217">IFERROR(_xlfn.XLOOKUP(A217,Sheet2!$A$2:$A$1453,Sheet2!$G$2:$G$1453),_xlfn.XLOOKUP(A217,TEXT(Sheet2!$A$2:$A$1453,"0"),Sheet2!$G$2:$G$1453,""))</f>
        <v>6-8-2026</v>
      </c>
    </row>
    <row r="218" spans="1:7" x14ac:dyDescent="0.2">
      <c r="A218" s="1">
        <v>20309030700</v>
      </c>
      <c r="B218" t="str" cm="1">
        <f t="array" ref="B218">IFERROR(_xlfn.XLOOKUP(A218,Sheet2!$A$2:$A$1453,Sheet2!$B$2:$B$1453),_xlfn.XLOOKUP(A218,TEXT(Sheet2!$A$2:$A$1453,"0"),Sheet2!$B$2:$B$1453,""))</f>
        <v>LUX BODY WASH ROMANTIC HIBISCUS 700ML</v>
      </c>
      <c r="C218" s="2">
        <v>44.85</v>
      </c>
      <c r="D218" s="2" cm="1">
        <f t="array" ref="D218">_xlfn.LET(_xlpm.v,IFERROR(_xlfn.XLOOKUP(A218,Sheet2!$A$2:$A$1453,Sheet2!$D$2:$D$1453),_xlfn.XLOOKUP(A218,TEXT(Sheet2!$A$2:$A$1453,"0"),Sheet2!$D$2:$D$1453,"")),IF(_xlpm.v="","",IF(_xlpm.v&lt;1,_xlpm.v*100,_xlpm.v)))</f>
        <v>15</v>
      </c>
      <c r="E218" s="2">
        <f t="shared" si="3"/>
        <v>38.122500000000002</v>
      </c>
      <c r="F218" s="2" t="str" cm="1">
        <f t="array" ref="F218">IFERROR(_xlfn.XLOOKUP(A218,Sheet2!$A$2:$A$1453,Sheet2!$F$2:$F$1453),_xlfn.XLOOKUP(A218,TEXT(Sheet2!$A$2:$A$1453,"0"),Sheet2!$F$2:$F$1453,""))</f>
        <v>26-7-2026</v>
      </c>
      <c r="G218" s="2" t="str" cm="1">
        <f t="array" ref="G218">IFERROR(_xlfn.XLOOKUP(A218,Sheet2!$A$2:$A$1453,Sheet2!$G$2:$G$1453),_xlfn.XLOOKUP(A218,TEXT(Sheet2!$A$2:$A$1453,"0"),Sheet2!$G$2:$G$1453,""))</f>
        <v>6-8-2026</v>
      </c>
    </row>
    <row r="219" spans="1:7" x14ac:dyDescent="0.2">
      <c r="A219" s="1">
        <v>20309030699</v>
      </c>
      <c r="B219" t="str" cm="1">
        <f t="array" ref="B219">IFERROR(_xlfn.XLOOKUP(A219,Sheet2!$A$2:$A$1453,Sheet2!$B$2:$B$1453),_xlfn.XLOOKUP(A219,TEXT(Sheet2!$A$2:$A$1453,"0"),Sheet2!$B$2:$B$1453,""))</f>
        <v>LUX BODY WASH ROMANTIC HIBISCUS 500ML</v>
      </c>
      <c r="C219" s="2">
        <v>43.13</v>
      </c>
      <c r="D219" s="2" cm="1">
        <f t="array" ref="D219">_xlfn.LET(_xlpm.v,IFERROR(_xlfn.XLOOKUP(A219,Sheet2!$A$2:$A$1453,Sheet2!$D$2:$D$1453),_xlfn.XLOOKUP(A219,TEXT(Sheet2!$A$2:$A$1453,"0"),Sheet2!$D$2:$D$1453,"")),IF(_xlpm.v="","",IF(_xlpm.v&lt;1,_xlpm.v*100,_xlpm.v)))</f>
        <v>15</v>
      </c>
      <c r="E219" s="2">
        <f t="shared" si="3"/>
        <v>36.660499999999999</v>
      </c>
      <c r="F219" s="2" t="str" cm="1">
        <f t="array" ref="F219">IFERROR(_xlfn.XLOOKUP(A219,Sheet2!$A$2:$A$1453,Sheet2!$F$2:$F$1453),_xlfn.XLOOKUP(A219,TEXT(Sheet2!$A$2:$A$1453,"0"),Sheet2!$F$2:$F$1453,""))</f>
        <v>26-7-2026</v>
      </c>
      <c r="G219" s="2" t="str" cm="1">
        <f t="array" ref="G219">IFERROR(_xlfn.XLOOKUP(A219,Sheet2!$A$2:$A$1453,Sheet2!$G$2:$G$1453),_xlfn.XLOOKUP(A219,TEXT(Sheet2!$A$2:$A$1453,"0"),Sheet2!$G$2:$G$1453,""))</f>
        <v>6-8-2026</v>
      </c>
    </row>
    <row r="220" spans="1:7" x14ac:dyDescent="0.2">
      <c r="A220" s="1">
        <v>20309030786</v>
      </c>
      <c r="B220" t="str" cm="1">
        <f t="array" ref="B220">IFERROR(_xlfn.XLOOKUP(A220,Sheet2!$A$2:$A$1453,Sheet2!$B$2:$B$1453),_xlfn.XLOOKUP(A220,TEXT(Sheet2!$A$2:$A$1453,"0"),Sheet2!$B$2:$B$1453,""))</f>
        <v>LUX BODY WASH MAGICAL ORCHID (EUPHORIA) 500ML</v>
      </c>
      <c r="C220" s="2">
        <v>43.13</v>
      </c>
      <c r="D220" s="2" cm="1">
        <f t="array" ref="D220">_xlfn.LET(_xlpm.v,IFERROR(_xlfn.XLOOKUP(A220,Sheet2!$A$2:$A$1453,Sheet2!$D$2:$D$1453),_xlfn.XLOOKUP(A220,TEXT(Sheet2!$A$2:$A$1453,"0"),Sheet2!$D$2:$D$1453,"")),IF(_xlpm.v="","",IF(_xlpm.v&lt;1,_xlpm.v*100,_xlpm.v)))</f>
        <v>15</v>
      </c>
      <c r="E220" s="2">
        <f t="shared" si="3"/>
        <v>36.660499999999999</v>
      </c>
      <c r="F220" s="2" t="str" cm="1">
        <f t="array" ref="F220">IFERROR(_xlfn.XLOOKUP(A220,Sheet2!$A$2:$A$1453,Sheet2!$F$2:$F$1453),_xlfn.XLOOKUP(A220,TEXT(Sheet2!$A$2:$A$1453,"0"),Sheet2!$F$2:$F$1453,""))</f>
        <v>26-7-2026</v>
      </c>
      <c r="G220" s="2" t="str" cm="1">
        <f t="array" ref="G220">IFERROR(_xlfn.XLOOKUP(A220,Sheet2!$A$2:$A$1453,Sheet2!$G$2:$G$1453),_xlfn.XLOOKUP(A220,TEXT(Sheet2!$A$2:$A$1453,"0"),Sheet2!$G$2:$G$1453,""))</f>
        <v>6-8-2026</v>
      </c>
    </row>
    <row r="221" spans="1:7" x14ac:dyDescent="0.2">
      <c r="A221" s="1">
        <v>20309010534</v>
      </c>
      <c r="B221" t="str" cm="1">
        <f t="array" ref="B221">IFERROR(_xlfn.XLOOKUP(A221,Sheet2!$A$2:$A$1453,Sheet2!$B$2:$B$1453),_xlfn.XLOOKUP(A221,TEXT(Sheet2!$A$2:$A$1453,"0"),Sheet2!$B$2:$B$1453,""))</f>
        <v>KOLESTONE MAXI 307/2 NATT MEDIUM</v>
      </c>
      <c r="C221" s="2">
        <v>17.95</v>
      </c>
      <c r="D221" s="2" cm="1">
        <f t="array" ref="D221">_xlfn.LET(_xlpm.v,IFERROR(_xlfn.XLOOKUP(A221,Sheet2!$A$2:$A$1453,Sheet2!$D$2:$D$1453),_xlfn.XLOOKUP(A221,TEXT(Sheet2!$A$2:$A$1453,"0"),Sheet2!$D$2:$D$1453,"")),IF(_xlpm.v="","",IF(_xlpm.v&lt;1,_xlpm.v*100,_xlpm.v)))</f>
        <v>10</v>
      </c>
      <c r="E221" s="2">
        <f t="shared" si="3"/>
        <v>16.155000000000001</v>
      </c>
      <c r="F221" s="2" t="str" cm="1">
        <f t="array" ref="F221">IFERROR(_xlfn.XLOOKUP(A221,Sheet2!$A$2:$A$1453,Sheet2!$F$2:$F$1453),_xlfn.XLOOKUP(A221,TEXT(Sheet2!$A$2:$A$1453,"0"),Sheet2!$F$2:$F$1453,""))</f>
        <v>26-7-2026</v>
      </c>
      <c r="G221" s="2" t="str" cm="1">
        <f t="array" ref="G221">IFERROR(_xlfn.XLOOKUP(A221,Sheet2!$A$2:$A$1453,Sheet2!$G$2:$G$1453),_xlfn.XLOOKUP(A221,TEXT(Sheet2!$A$2:$A$1453,"0"),Sheet2!$G$2:$G$1453,""))</f>
        <v>6-8-2026</v>
      </c>
    </row>
    <row r="222" spans="1:7" x14ac:dyDescent="0.2">
      <c r="A222" s="1">
        <v>20309501044</v>
      </c>
      <c r="B222" t="str" cm="1">
        <f t="array" ref="B222">IFERROR(_xlfn.XLOOKUP(A222,Sheet2!$A$2:$A$1453,Sheet2!$B$2:$B$1453),_xlfn.XLOOKUP(A222,TEXT(Sheet2!$A$2:$A$1453,"0"),Sheet2!$B$2:$B$1453,""))</f>
        <v>KOLESTON MAXI 303/4 DARK CHESTN</v>
      </c>
      <c r="C222" s="2">
        <v>17.95</v>
      </c>
      <c r="D222" s="2" cm="1">
        <f t="array" ref="D222">_xlfn.LET(_xlpm.v,IFERROR(_xlfn.XLOOKUP(A222,Sheet2!$A$2:$A$1453,Sheet2!$D$2:$D$1453),_xlfn.XLOOKUP(A222,TEXT(Sheet2!$A$2:$A$1453,"0"),Sheet2!$D$2:$D$1453,"")),IF(_xlpm.v="","",IF(_xlpm.v&lt;1,_xlpm.v*100,_xlpm.v)))</f>
        <v>10</v>
      </c>
      <c r="E222" s="2">
        <f t="shared" si="3"/>
        <v>16.155000000000001</v>
      </c>
      <c r="F222" s="2" t="str" cm="1">
        <f t="array" ref="F222">IFERROR(_xlfn.XLOOKUP(A222,Sheet2!$A$2:$A$1453,Sheet2!$F$2:$F$1453),_xlfn.XLOOKUP(A222,TEXT(Sheet2!$A$2:$A$1453,"0"),Sheet2!$F$2:$F$1453,""))</f>
        <v>26-7-2026</v>
      </c>
      <c r="G222" s="2" t="str" cm="1">
        <f t="array" ref="G222">IFERROR(_xlfn.XLOOKUP(A222,Sheet2!$A$2:$A$1453,Sheet2!$G$2:$G$1453),_xlfn.XLOOKUP(A222,TEXT(Sheet2!$A$2:$A$1453,"0"),Sheet2!$G$2:$G$1453,""))</f>
        <v>6-8-2026</v>
      </c>
    </row>
    <row r="223" spans="1:7" x14ac:dyDescent="0.2">
      <c r="A223" s="1">
        <v>20309011901</v>
      </c>
      <c r="B223" t="str" cm="1">
        <f t="array" ref="B223">IFERROR(_xlfn.XLOOKUP(A223,Sheet2!$A$2:$A$1453,Sheet2!$B$2:$B$1453),_xlfn.XLOOKUP(A223,TEXT(Sheet2!$A$2:$A$1453,"0"),Sheet2!$B$2:$B$1453,""))</f>
        <v>KOLESTON  WR MAXI 310/81 ULTRA LIGHT 110ML</v>
      </c>
      <c r="C223" s="2">
        <v>17.95</v>
      </c>
      <c r="D223" s="2" cm="1">
        <f t="array" ref="D223">_xlfn.LET(_xlpm.v,IFERROR(_xlfn.XLOOKUP(A223,Sheet2!$A$2:$A$1453,Sheet2!$D$2:$D$1453),_xlfn.XLOOKUP(A223,TEXT(Sheet2!$A$2:$A$1453,"0"),Sheet2!$D$2:$D$1453,"")),IF(_xlpm.v="","",IF(_xlpm.v&lt;1,_xlpm.v*100,_xlpm.v)))</f>
        <v>10</v>
      </c>
      <c r="E223" s="2">
        <f t="shared" si="3"/>
        <v>16.155000000000001</v>
      </c>
      <c r="F223" s="2" t="str" cm="1">
        <f t="array" ref="F223">IFERROR(_xlfn.XLOOKUP(A223,Sheet2!$A$2:$A$1453,Sheet2!$F$2:$F$1453),_xlfn.XLOOKUP(A223,TEXT(Sheet2!$A$2:$A$1453,"0"),Sheet2!$F$2:$F$1453,""))</f>
        <v>26-7-2026</v>
      </c>
      <c r="G223" s="2" t="str" cm="1">
        <f t="array" ref="G223">IFERROR(_xlfn.XLOOKUP(A223,Sheet2!$A$2:$A$1453,Sheet2!$G$2:$G$1453),_xlfn.XLOOKUP(A223,TEXT(Sheet2!$A$2:$A$1453,"0"),Sheet2!$G$2:$G$1453,""))</f>
        <v>6-8-2026</v>
      </c>
    </row>
    <row r="224" spans="1:7" x14ac:dyDescent="0.2">
      <c r="A224" s="1">
        <v>20309011898</v>
      </c>
      <c r="B224" t="str" cm="1">
        <f t="array" ref="B224">IFERROR(_xlfn.XLOOKUP(A224,Sheet2!$A$2:$A$1453,Sheet2!$B$2:$B$1453),_xlfn.XLOOKUP(A224,TEXT(Sheet2!$A$2:$A$1453,"0"),Sheet2!$B$2:$B$1453,""))</f>
        <v>KOLESTON  WR MAXI 308/11 DEEP ASH 110ML</v>
      </c>
      <c r="C224" s="2">
        <v>17.95</v>
      </c>
      <c r="D224" s="2" cm="1">
        <f t="array" ref="D224">_xlfn.LET(_xlpm.v,IFERROR(_xlfn.XLOOKUP(A224,Sheet2!$A$2:$A$1453,Sheet2!$D$2:$D$1453),_xlfn.XLOOKUP(A224,TEXT(Sheet2!$A$2:$A$1453,"0"),Sheet2!$D$2:$D$1453,"")),IF(_xlpm.v="","",IF(_xlpm.v&lt;1,_xlpm.v*100,_xlpm.v)))</f>
        <v>10</v>
      </c>
      <c r="E224" s="2">
        <f t="shared" si="3"/>
        <v>16.155000000000001</v>
      </c>
      <c r="F224" s="2" t="str" cm="1">
        <f t="array" ref="F224">IFERROR(_xlfn.XLOOKUP(A224,Sheet2!$A$2:$A$1453,Sheet2!$F$2:$F$1453),_xlfn.XLOOKUP(A224,TEXT(Sheet2!$A$2:$A$1453,"0"),Sheet2!$F$2:$F$1453,""))</f>
        <v>26-7-2026</v>
      </c>
      <c r="G224" s="2" t="str" cm="1">
        <f t="array" ref="G224">IFERROR(_xlfn.XLOOKUP(A224,Sheet2!$A$2:$A$1453,Sheet2!$G$2:$G$1453),_xlfn.XLOOKUP(A224,TEXT(Sheet2!$A$2:$A$1453,"0"),Sheet2!$G$2:$G$1453,""))</f>
        <v>6-8-2026</v>
      </c>
    </row>
    <row r="225" spans="1:7" x14ac:dyDescent="0.2">
      <c r="A225" s="1">
        <v>20309011902</v>
      </c>
      <c r="B225" t="str" cm="1">
        <f t="array" ref="B225">IFERROR(_xlfn.XLOOKUP(A225,Sheet2!$A$2:$A$1453,Sheet2!$B$2:$B$1453),_xlfn.XLOOKUP(A225,TEXT(Sheet2!$A$2:$A$1453,"0"),Sheet2!$B$2:$B$1453,""))</f>
        <v>KOLESTON  WR MAXI 307/17 FROSTED CHOCO 110ML</v>
      </c>
      <c r="C225" s="2">
        <v>17.95</v>
      </c>
      <c r="D225" s="2" cm="1">
        <f t="array" ref="D225">_xlfn.LET(_xlpm.v,IFERROR(_xlfn.XLOOKUP(A225,Sheet2!$A$2:$A$1453,Sheet2!$D$2:$D$1453),_xlfn.XLOOKUP(A225,TEXT(Sheet2!$A$2:$A$1453,"0"),Sheet2!$D$2:$D$1453,"")),IF(_xlpm.v="","",IF(_xlpm.v&lt;1,_xlpm.v*100,_xlpm.v)))</f>
        <v>10</v>
      </c>
      <c r="E225" s="2">
        <f t="shared" si="3"/>
        <v>16.155000000000001</v>
      </c>
      <c r="F225" s="2" t="str" cm="1">
        <f t="array" ref="F225">IFERROR(_xlfn.XLOOKUP(A225,Sheet2!$A$2:$A$1453,Sheet2!$F$2:$F$1453),_xlfn.XLOOKUP(A225,TEXT(Sheet2!$A$2:$A$1453,"0"),Sheet2!$F$2:$F$1453,""))</f>
        <v>26-7-2026</v>
      </c>
      <c r="G225" s="2" t="str" cm="1">
        <f t="array" ref="G225">IFERROR(_xlfn.XLOOKUP(A225,Sheet2!$A$2:$A$1453,Sheet2!$G$2:$G$1453),_xlfn.XLOOKUP(A225,TEXT(Sheet2!$A$2:$A$1453,"0"),Sheet2!$G$2:$G$1453,""))</f>
        <v>6-8-2026</v>
      </c>
    </row>
    <row r="226" spans="1:7" x14ac:dyDescent="0.2">
      <c r="A226" s="1">
        <v>20309501836</v>
      </c>
      <c r="B226" t="str" cm="1">
        <f t="array" ref="B226">IFERROR(_xlfn.XLOOKUP(A226,Sheet2!$A$2:$A$1453,Sheet2!$B$2:$B$1453),_xlfn.XLOOKUP(A226,TEXT(Sheet2!$A$2:$A$1453,"0"),Sheet2!$B$2:$B$1453,""))</f>
        <v>KOLE MAXI 307/3HAZELNUT 81383915</v>
      </c>
      <c r="C226" s="2">
        <v>17.95</v>
      </c>
      <c r="D226" s="2" cm="1">
        <f t="array" ref="D226">_xlfn.LET(_xlpm.v,IFERROR(_xlfn.XLOOKUP(A226,Sheet2!$A$2:$A$1453,Sheet2!$D$2:$D$1453),_xlfn.XLOOKUP(A226,TEXT(Sheet2!$A$2:$A$1453,"0"),Sheet2!$D$2:$D$1453,"")),IF(_xlpm.v="","",IF(_xlpm.v&lt;1,_xlpm.v*100,_xlpm.v)))</f>
        <v>10</v>
      </c>
      <c r="E226" s="2">
        <f t="shared" si="3"/>
        <v>16.155000000000001</v>
      </c>
      <c r="F226" s="2" t="str" cm="1">
        <f t="array" ref="F226">IFERROR(_xlfn.XLOOKUP(A226,Sheet2!$A$2:$A$1453,Sheet2!$F$2:$F$1453),_xlfn.XLOOKUP(A226,TEXT(Sheet2!$A$2:$A$1453,"0"),Sheet2!$F$2:$F$1453,""))</f>
        <v>26-7-2026</v>
      </c>
      <c r="G226" s="2" t="str" cm="1">
        <f t="array" ref="G226">IFERROR(_xlfn.XLOOKUP(A226,Sheet2!$A$2:$A$1453,Sheet2!$G$2:$G$1453),_xlfn.XLOOKUP(A226,TEXT(Sheet2!$A$2:$A$1453,"0"),Sheet2!$G$2:$G$1453,""))</f>
        <v>6-8-2026</v>
      </c>
    </row>
    <row r="227" spans="1:7" x14ac:dyDescent="0.2">
      <c r="A227" s="1">
        <v>20309500699</v>
      </c>
      <c r="B227" t="str" cm="1">
        <f t="array" ref="B227">IFERROR(_xlfn.XLOOKUP(A227,Sheet2!$A$2:$A$1453,Sheet2!$B$2:$B$1453),_xlfn.XLOOKUP(A227,TEXT(Sheet2!$A$2:$A$1453,"0"),Sheet2!$B$2:$B$1453,""))</f>
        <v>KOLE MAXI 307/0 MEDIUM BLOND 654</v>
      </c>
      <c r="C227" s="2">
        <v>17.95</v>
      </c>
      <c r="D227" s="2" cm="1">
        <f t="array" ref="D227">_xlfn.LET(_xlpm.v,IFERROR(_xlfn.XLOOKUP(A227,Sheet2!$A$2:$A$1453,Sheet2!$D$2:$D$1453),_xlfn.XLOOKUP(A227,TEXT(Sheet2!$A$2:$A$1453,"0"),Sheet2!$D$2:$D$1453,"")),IF(_xlpm.v="","",IF(_xlpm.v&lt;1,_xlpm.v*100,_xlpm.v)))</f>
        <v>10</v>
      </c>
      <c r="E227" s="2">
        <f t="shared" si="3"/>
        <v>16.155000000000001</v>
      </c>
      <c r="F227" s="2" t="str" cm="1">
        <f t="array" ref="F227">IFERROR(_xlfn.XLOOKUP(A227,Sheet2!$A$2:$A$1453,Sheet2!$F$2:$F$1453),_xlfn.XLOOKUP(A227,TEXT(Sheet2!$A$2:$A$1453,"0"),Sheet2!$F$2:$F$1453,""))</f>
        <v>26-7-2026</v>
      </c>
      <c r="G227" s="2" t="str" cm="1">
        <f t="array" ref="G227">IFERROR(_xlfn.XLOOKUP(A227,Sheet2!$A$2:$A$1453,Sheet2!$G$2:$G$1453),_xlfn.XLOOKUP(A227,TEXT(Sheet2!$A$2:$A$1453,"0"),Sheet2!$G$2:$G$1453,""))</f>
        <v>6-8-2026</v>
      </c>
    </row>
    <row r="228" spans="1:7" x14ac:dyDescent="0.2">
      <c r="A228" s="1" t="s">
        <v>25</v>
      </c>
      <c r="B228" t="str" cm="1">
        <f t="array" ref="B228">IFERROR(_xlfn.XLOOKUP(A228,Sheet2!$A$2:$A$1453,Sheet2!$B$2:$B$1453),_xlfn.XLOOKUP(A228,TEXT(Sheet2!$A$2:$A$1453,"0"),Sheet2!$B$2:$B$1453,""))</f>
        <v>JP OMEGA-3 1000 mg/capsule, 60 CAPSULE/BOX</v>
      </c>
      <c r="C228" s="2">
        <v>160</v>
      </c>
      <c r="D228" s="2" cm="1">
        <f t="array" ref="D228">_xlfn.LET(_xlpm.v,IFERROR(_xlfn.XLOOKUP(A228,Sheet2!$A$2:$A$1453,Sheet2!$D$2:$D$1453),_xlfn.XLOOKUP(A228,TEXT(Sheet2!$A$2:$A$1453,"0"),Sheet2!$D$2:$D$1453,"")),IF(_xlpm.v="","",IF(_xlpm.v&lt;1,_xlpm.v*100,_xlpm.v)))</f>
        <v>50</v>
      </c>
      <c r="E228" s="2">
        <f t="shared" si="3"/>
        <v>80</v>
      </c>
      <c r="F228" s="2" t="str" cm="1">
        <f t="array" ref="F228">IFERROR(_xlfn.XLOOKUP(A228,Sheet2!$A$2:$A$1453,Sheet2!$F$2:$F$1453),_xlfn.XLOOKUP(A228,TEXT(Sheet2!$A$2:$A$1453,"0"),Sheet2!$F$2:$F$1453,""))</f>
        <v>26-7-2026</v>
      </c>
      <c r="G228" s="2" t="str" cm="1">
        <f t="array" ref="G228">IFERROR(_xlfn.XLOOKUP(A228,Sheet2!$A$2:$A$1453,Sheet2!$G$2:$G$1453),_xlfn.XLOOKUP(A228,TEXT(Sheet2!$A$2:$A$1453,"0"),Sheet2!$G$2:$G$1453,""))</f>
        <v>6-8-2026</v>
      </c>
    </row>
    <row r="229" spans="1:7" x14ac:dyDescent="0.2">
      <c r="A229" s="1" t="s">
        <v>26</v>
      </c>
      <c r="B229" t="str" cm="1">
        <f t="array" ref="B229">IFERROR(_xlfn.XLOOKUP(A229,Sheet2!$A$2:$A$1453,Sheet2!$B$2:$B$1453),_xlfn.XLOOKUP(A229,TEXT(Sheet2!$A$2:$A$1453,"0"),Sheet2!$B$2:$B$1453,""))</f>
        <v>JP OMEGA 3 567 MG 60 CAP</v>
      </c>
      <c r="C229" s="2">
        <v>126.5</v>
      </c>
      <c r="D229" s="2" cm="1">
        <f t="array" ref="D229">_xlfn.LET(_xlpm.v,IFERROR(_xlfn.XLOOKUP(A229,Sheet2!$A$2:$A$1453,Sheet2!$D$2:$D$1453),_xlfn.XLOOKUP(A229,TEXT(Sheet2!$A$2:$A$1453,"0"),Sheet2!$D$2:$D$1453,"")),IF(_xlpm.v="","",IF(_xlpm.v&lt;1,_xlpm.v*100,_xlpm.v)))</f>
        <v>50</v>
      </c>
      <c r="E229" s="2">
        <f t="shared" si="3"/>
        <v>63.25</v>
      </c>
      <c r="F229" s="2" t="str" cm="1">
        <f t="array" ref="F229">IFERROR(_xlfn.XLOOKUP(A229,Sheet2!$A$2:$A$1453,Sheet2!$F$2:$F$1453),_xlfn.XLOOKUP(A229,TEXT(Sheet2!$A$2:$A$1453,"0"),Sheet2!$F$2:$F$1453,""))</f>
        <v>26-7-2026</v>
      </c>
      <c r="G229" s="2" t="str" cm="1">
        <f t="array" ref="G229">IFERROR(_xlfn.XLOOKUP(A229,Sheet2!$A$2:$A$1453,Sheet2!$G$2:$G$1453),_xlfn.XLOOKUP(A229,TEXT(Sheet2!$A$2:$A$1453,"0"),Sheet2!$G$2:$G$1453,""))</f>
        <v>6-8-2026</v>
      </c>
    </row>
    <row r="230" spans="1:7" x14ac:dyDescent="0.2">
      <c r="A230" s="1">
        <v>20309010324</v>
      </c>
      <c r="B230" t="str" cm="1">
        <f t="array" ref="B230">IFERROR(_xlfn.XLOOKUP(A230,Sheet2!$A$2:$A$1453,Sheet2!$B$2:$B$1453),_xlfn.XLOOKUP(A230,TEXT(Sheet2!$A$2:$A$1453,"0"),Sheet2!$B$2:$B$1453,""))</f>
        <v>HOBBY PROTEIN SHAMPO WITH ALMO</v>
      </c>
      <c r="C230" s="2">
        <v>14</v>
      </c>
      <c r="D230" s="2" cm="1">
        <f t="array" ref="D230">_xlfn.LET(_xlpm.v,IFERROR(_xlfn.XLOOKUP(A230,Sheet2!$A$2:$A$1453,Sheet2!$D$2:$D$1453),_xlfn.XLOOKUP(A230,TEXT(Sheet2!$A$2:$A$1453,"0"),Sheet2!$D$2:$D$1453,"")),IF(_xlpm.v="","",IF(_xlpm.v&lt;1,_xlpm.v*100,_xlpm.v)))</f>
        <v>30</v>
      </c>
      <c r="E230" s="2">
        <f t="shared" si="3"/>
        <v>9.7999999999999989</v>
      </c>
      <c r="F230" s="2" t="str" cm="1">
        <f t="array" ref="F230">IFERROR(_xlfn.XLOOKUP(A230,Sheet2!$A$2:$A$1453,Sheet2!$F$2:$F$1453),_xlfn.XLOOKUP(A230,TEXT(Sheet2!$A$2:$A$1453,"0"),Sheet2!$F$2:$F$1453,""))</f>
        <v>26-7-2026</v>
      </c>
      <c r="G230" s="2" t="str" cm="1">
        <f t="array" ref="G230">IFERROR(_xlfn.XLOOKUP(A230,Sheet2!$A$2:$A$1453,Sheet2!$G$2:$G$1453),_xlfn.XLOOKUP(A230,TEXT(Sheet2!$A$2:$A$1453,"0"),Sheet2!$G$2:$G$1453,""))</f>
        <v>6-8-2026</v>
      </c>
    </row>
    <row r="231" spans="1:7" x14ac:dyDescent="0.2">
      <c r="A231" s="1">
        <v>20309010328</v>
      </c>
      <c r="B231" t="str" cm="1">
        <f t="array" ref="B231">IFERROR(_xlfn.XLOOKUP(A231,Sheet2!$A$2:$A$1453,Sheet2!$B$2:$B$1453),_xlfn.XLOOKUP(A231,TEXT(Sheet2!$A$2:$A$1453,"0"),Sheet2!$B$2:$B$1453,""))</f>
        <v>HOBBY PROTEIN SHAMPO GARLIC EXT</v>
      </c>
      <c r="C231" s="2">
        <v>14</v>
      </c>
      <c r="D231" s="2" cm="1">
        <f t="array" ref="D231">_xlfn.LET(_xlpm.v,IFERROR(_xlfn.XLOOKUP(A231,Sheet2!$A$2:$A$1453,Sheet2!$D$2:$D$1453),_xlfn.XLOOKUP(A231,TEXT(Sheet2!$A$2:$A$1453,"0"),Sheet2!$D$2:$D$1453,"")),IF(_xlpm.v="","",IF(_xlpm.v&lt;1,_xlpm.v*100,_xlpm.v)))</f>
        <v>30</v>
      </c>
      <c r="E231" s="2">
        <f t="shared" si="3"/>
        <v>9.7999999999999989</v>
      </c>
      <c r="F231" s="2" t="str" cm="1">
        <f t="array" ref="F231">IFERROR(_xlfn.XLOOKUP(A231,Sheet2!$A$2:$A$1453,Sheet2!$F$2:$F$1453),_xlfn.XLOOKUP(A231,TEXT(Sheet2!$A$2:$A$1453,"0"),Sheet2!$F$2:$F$1453,""))</f>
        <v>26-7-2026</v>
      </c>
      <c r="G231" s="2" t="str" cm="1">
        <f t="array" ref="G231">IFERROR(_xlfn.XLOOKUP(A231,Sheet2!$A$2:$A$1453,Sheet2!$G$2:$G$1453),_xlfn.XLOOKUP(A231,TEXT(Sheet2!$A$2:$A$1453,"0"),Sheet2!$G$2:$G$1453,""))</f>
        <v>6-8-2026</v>
      </c>
    </row>
    <row r="232" spans="1:7" x14ac:dyDescent="0.2">
      <c r="A232" s="1">
        <v>20309503249</v>
      </c>
      <c r="B232" t="str" cm="1">
        <f t="array" ref="B232">IFERROR(_xlfn.XLOOKUP(A232,Sheet2!$A$2:$A$1453,Sheet2!$B$2:$B$1453),_xlfn.XLOOKUP(A232,TEXT(Sheet2!$A$2:$A$1453,"0"),Sheet2!$B$2:$B$1453,""))</f>
        <v>HIMALAYA SENSITIVE BABY W</v>
      </c>
      <c r="C232" s="2">
        <v>31.2</v>
      </c>
      <c r="D232" s="2" cm="1">
        <f t="array" ref="D232">_xlfn.LET(_xlpm.v,IFERROR(_xlfn.XLOOKUP(A232,Sheet2!$A$2:$A$1453,Sheet2!$D$2:$D$1453),_xlfn.XLOOKUP(A232,TEXT(Sheet2!$A$2:$A$1453,"0"),Sheet2!$D$2:$D$1453,"")),IF(_xlpm.v="","",IF(_xlpm.v&lt;1,_xlpm.v*100,_xlpm.v)))</f>
        <v>25</v>
      </c>
      <c r="E232" s="2">
        <f t="shared" si="3"/>
        <v>23.4</v>
      </c>
      <c r="F232" s="2" t="str" cm="1">
        <f t="array" ref="F232">IFERROR(_xlfn.XLOOKUP(A232,Sheet2!$A$2:$A$1453,Sheet2!$F$2:$F$1453),_xlfn.XLOOKUP(A232,TEXT(Sheet2!$A$2:$A$1453,"0"),Sheet2!$F$2:$F$1453,""))</f>
        <v>26-7-2026</v>
      </c>
      <c r="G232" s="2" t="str" cm="1">
        <f t="array" ref="G232">IFERROR(_xlfn.XLOOKUP(A232,Sheet2!$A$2:$A$1453,Sheet2!$G$2:$G$1453),_xlfn.XLOOKUP(A232,TEXT(Sheet2!$A$2:$A$1453,"0"),Sheet2!$G$2:$G$1453,""))</f>
        <v>6-8-2026</v>
      </c>
    </row>
    <row r="233" spans="1:7" x14ac:dyDescent="0.2">
      <c r="A233" s="1">
        <v>20309020765</v>
      </c>
      <c r="B233" t="str" cm="1">
        <f t="array" ref="B233">IFERROR(_xlfn.XLOOKUP(A233,Sheet2!$A$2:$A$1453,Sheet2!$B$2:$B$1453),_xlfn.XLOOKUP(A233,TEXT(Sheet2!$A$2:$A$1453,"0"),Sheet2!$B$2:$B$1453,""))</f>
        <v>Himalaya BRIGHTENING VITAM</v>
      </c>
      <c r="C233" s="2">
        <v>27.37</v>
      </c>
      <c r="D233" s="2" cm="1">
        <f t="array" ref="D233">_xlfn.LET(_xlpm.v,IFERROR(_xlfn.XLOOKUP(A233,Sheet2!$A$2:$A$1453,Sheet2!$D$2:$D$1453),_xlfn.XLOOKUP(A233,TEXT(Sheet2!$A$2:$A$1453,"0"),Sheet2!$D$2:$D$1453,"")),IF(_xlpm.v="","",IF(_xlpm.v&lt;1,_xlpm.v*100,_xlpm.v)))</f>
        <v>25</v>
      </c>
      <c r="E233" s="2">
        <f t="shared" si="3"/>
        <v>20.5275</v>
      </c>
      <c r="F233" s="2" t="str" cm="1">
        <f t="array" ref="F233">IFERROR(_xlfn.XLOOKUP(A233,Sheet2!$A$2:$A$1453,Sheet2!$F$2:$F$1453),_xlfn.XLOOKUP(A233,TEXT(Sheet2!$A$2:$A$1453,"0"),Sheet2!$F$2:$F$1453,""))</f>
        <v>26-7-2026</v>
      </c>
      <c r="G233" s="2" t="str" cm="1">
        <f t="array" ref="G233">IFERROR(_xlfn.XLOOKUP(A233,Sheet2!$A$2:$A$1453,Sheet2!$G$2:$G$1453),_xlfn.XLOOKUP(A233,TEXT(Sheet2!$A$2:$A$1453,"0"),Sheet2!$G$2:$G$1453,""))</f>
        <v>6-8-2026</v>
      </c>
    </row>
    <row r="234" spans="1:7" x14ac:dyDescent="0.2">
      <c r="A234" s="1">
        <v>20309503203</v>
      </c>
      <c r="B234" t="str" cm="1">
        <f t="array" ref="B234">IFERROR(_xlfn.XLOOKUP(A234,Sheet2!$A$2:$A$1453,Sheet2!$B$2:$B$1453),_xlfn.XLOOKUP(A234,TEXT(Sheet2!$A$2:$A$1453,"0"),Sheet2!$B$2:$B$1453,""))</f>
        <v>HIMALAYA ANTI HAIR FALL CR</v>
      </c>
      <c r="C234" s="2">
        <v>10.42</v>
      </c>
      <c r="D234" s="2" cm="1">
        <f t="array" ref="D234">_xlfn.LET(_xlpm.v,IFERROR(_xlfn.XLOOKUP(A234,Sheet2!$A$2:$A$1453,Sheet2!$D$2:$D$1453),_xlfn.XLOOKUP(A234,TEXT(Sheet2!$A$2:$A$1453,"0"),Sheet2!$D$2:$D$1453,"")),IF(_xlpm.v="","",IF(_xlpm.v&lt;1,_xlpm.v*100,_xlpm.v)))</f>
        <v>25</v>
      </c>
      <c r="E234" s="2">
        <f t="shared" si="3"/>
        <v>7.8149999999999995</v>
      </c>
      <c r="F234" s="2" t="str" cm="1">
        <f t="array" ref="F234">IFERROR(_xlfn.XLOOKUP(A234,Sheet2!$A$2:$A$1453,Sheet2!$F$2:$F$1453),_xlfn.XLOOKUP(A234,TEXT(Sheet2!$A$2:$A$1453,"0"),Sheet2!$F$2:$F$1453,""))</f>
        <v>26-7-2026</v>
      </c>
      <c r="G234" s="2" t="str" cm="1">
        <f t="array" ref="G234">IFERROR(_xlfn.XLOOKUP(A234,Sheet2!$A$2:$A$1453,Sheet2!$G$2:$G$1453),_xlfn.XLOOKUP(A234,TEXT(Sheet2!$A$2:$A$1453,"0"),Sheet2!$G$2:$G$1453,""))</f>
        <v>6-8-2026</v>
      </c>
    </row>
    <row r="235" spans="1:7" x14ac:dyDescent="0.2">
      <c r="A235" s="1">
        <v>20309503205</v>
      </c>
      <c r="B235" t="str" cm="1">
        <f t="array" ref="B235">IFERROR(_xlfn.XLOOKUP(A235,Sheet2!$A$2:$A$1453,Sheet2!$B$2:$B$1453),_xlfn.XLOOKUP(A235,TEXT(Sheet2!$A$2:$A$1453,"0"),Sheet2!$B$2:$B$1453,""))</f>
        <v>HIMALAYA PROTEIN HAIRCREA</v>
      </c>
      <c r="C235" s="2">
        <v>10.42</v>
      </c>
      <c r="D235" s="2" cm="1">
        <f t="array" ref="D235">_xlfn.LET(_xlpm.v,IFERROR(_xlfn.XLOOKUP(A235,Sheet2!$A$2:$A$1453,Sheet2!$D$2:$D$1453),_xlfn.XLOOKUP(A235,TEXT(Sheet2!$A$2:$A$1453,"0"),Sheet2!$D$2:$D$1453,"")),IF(_xlpm.v="","",IF(_xlpm.v&lt;1,_xlpm.v*100,_xlpm.v)))</f>
        <v>25</v>
      </c>
      <c r="E235" s="2">
        <f t="shared" si="3"/>
        <v>7.8149999999999995</v>
      </c>
      <c r="F235" s="2" t="str" cm="1">
        <f t="array" ref="F235">IFERROR(_xlfn.XLOOKUP(A235,Sheet2!$A$2:$A$1453,Sheet2!$F$2:$F$1453),_xlfn.XLOOKUP(A235,TEXT(Sheet2!$A$2:$A$1453,"0"),Sheet2!$F$2:$F$1453,""))</f>
        <v>26-7-2026</v>
      </c>
      <c r="G235" s="2" t="str" cm="1">
        <f t="array" ref="G235">IFERROR(_xlfn.XLOOKUP(A235,Sheet2!$A$2:$A$1453,Sheet2!$G$2:$G$1453),_xlfn.XLOOKUP(A235,TEXT(Sheet2!$A$2:$A$1453,"0"),Sheet2!$G$2:$G$1453,""))</f>
        <v>6-8-2026</v>
      </c>
    </row>
    <row r="236" spans="1:7" x14ac:dyDescent="0.2">
      <c r="A236" s="1">
        <v>20309501596</v>
      </c>
      <c r="B236" t="str" cm="1">
        <f t="array" ref="B236">IFERROR(_xlfn.XLOOKUP(A236,Sheet2!$A$2:$A$1453,Sheet2!$B$2:$B$1453),_xlfn.XLOOKUP(A236,TEXT(Sheet2!$A$2:$A$1453,"0"),Sheet2!$B$2:$B$1453,""))</f>
        <v>HIMALAYA HERBALS PURIFYIN</v>
      </c>
      <c r="C236" s="2">
        <v>37.43</v>
      </c>
      <c r="D236" s="2" cm="1">
        <f t="array" ref="D236">_xlfn.LET(_xlpm.v,IFERROR(_xlfn.XLOOKUP(A236,Sheet2!$A$2:$A$1453,Sheet2!$D$2:$D$1453),_xlfn.XLOOKUP(A236,TEXT(Sheet2!$A$2:$A$1453,"0"),Sheet2!$D$2:$D$1453,"")),IF(_xlpm.v="","",IF(_xlpm.v&lt;1,_xlpm.v*100,_xlpm.v)))</f>
        <v>25</v>
      </c>
      <c r="E236" s="2">
        <f t="shared" si="3"/>
        <v>28.072499999999998</v>
      </c>
      <c r="F236" s="2" t="str" cm="1">
        <f t="array" ref="F236">IFERROR(_xlfn.XLOOKUP(A236,Sheet2!$A$2:$A$1453,Sheet2!$F$2:$F$1453),_xlfn.XLOOKUP(A236,TEXT(Sheet2!$A$2:$A$1453,"0"),Sheet2!$F$2:$F$1453,""))</f>
        <v>26-7-2026</v>
      </c>
      <c r="G236" s="2" t="str" cm="1">
        <f t="array" ref="G236">IFERROR(_xlfn.XLOOKUP(A236,Sheet2!$A$2:$A$1453,Sheet2!$G$2:$G$1453),_xlfn.XLOOKUP(A236,TEXT(Sheet2!$A$2:$A$1453,"0"),Sheet2!$G$2:$G$1453,""))</f>
        <v>6-8-2026</v>
      </c>
    </row>
    <row r="237" spans="1:7" x14ac:dyDescent="0.2">
      <c r="A237" s="1">
        <v>20309021813</v>
      </c>
      <c r="B237" t="str" cm="1">
        <f t="array" ref="B237">IFERROR(_xlfn.XLOOKUP(A237,Sheet2!$A$2:$A$1453,Sheet2!$B$2:$B$1453),_xlfn.XLOOKUP(A237,TEXT(Sheet2!$A$2:$A$1453,"0"),Sheet2!$B$2:$B$1453,""))</f>
        <v>HIMALAYA ALOE VERA FACE&amp;</v>
      </c>
      <c r="C237" s="2">
        <v>13.47</v>
      </c>
      <c r="D237" s="2" cm="1">
        <f t="array" ref="D237">_xlfn.LET(_xlpm.v,IFERROR(_xlfn.XLOOKUP(A237,Sheet2!$A$2:$A$1453,Sheet2!$D$2:$D$1453),_xlfn.XLOOKUP(A237,TEXT(Sheet2!$A$2:$A$1453,"0"),Sheet2!$D$2:$D$1453,"")),IF(_xlpm.v="","",IF(_xlpm.v&lt;1,_xlpm.v*100,_xlpm.v)))</f>
        <v>25</v>
      </c>
      <c r="E237" s="2">
        <f t="shared" si="3"/>
        <v>10.102500000000001</v>
      </c>
      <c r="F237" s="2" t="str" cm="1">
        <f t="array" ref="F237">IFERROR(_xlfn.XLOOKUP(A237,Sheet2!$A$2:$A$1453,Sheet2!$F$2:$F$1453),_xlfn.XLOOKUP(A237,TEXT(Sheet2!$A$2:$A$1453,"0"),Sheet2!$F$2:$F$1453,""))</f>
        <v>26-7-2026</v>
      </c>
      <c r="G237" s="2" t="str" cm="1">
        <f t="array" ref="G237">IFERROR(_xlfn.XLOOKUP(A237,Sheet2!$A$2:$A$1453,Sheet2!$G$2:$G$1453),_xlfn.XLOOKUP(A237,TEXT(Sheet2!$A$2:$A$1453,"0"),Sheet2!$G$2:$G$1453,""))</f>
        <v>6-8-2026</v>
      </c>
    </row>
    <row r="238" spans="1:7" x14ac:dyDescent="0.2">
      <c r="A238" s="1">
        <v>20309010628</v>
      </c>
      <c r="B238" t="str" cm="1">
        <f t="array" ref="B238">IFERROR(_xlfn.XLOOKUP(A238,Sheet2!$A$2:$A$1453,Sheet2!$B$2:$B$1453),_xlfn.XLOOKUP(A238,TEXT(Sheet2!$A$2:$A$1453,"0"),Sheet2!$B$2:$B$1453,""))</f>
        <v>HIMALAYA ALOE VERA FACE&amp;</v>
      </c>
      <c r="C238" s="2">
        <v>21.98</v>
      </c>
      <c r="D238" s="2" cm="1">
        <f t="array" ref="D238">_xlfn.LET(_xlpm.v,IFERROR(_xlfn.XLOOKUP(A238,Sheet2!$A$2:$A$1453,Sheet2!$D$2:$D$1453),_xlfn.XLOOKUP(A238,TEXT(Sheet2!$A$2:$A$1453,"0"),Sheet2!$D$2:$D$1453,"")),IF(_xlpm.v="","",IF(_xlpm.v&lt;1,_xlpm.v*100,_xlpm.v)))</f>
        <v>25</v>
      </c>
      <c r="E238" s="2">
        <f t="shared" si="3"/>
        <v>16.484999999999999</v>
      </c>
      <c r="F238" s="2" t="str" cm="1">
        <f t="array" ref="F238">IFERROR(_xlfn.XLOOKUP(A238,Sheet2!$A$2:$A$1453,Sheet2!$F$2:$F$1453),_xlfn.XLOOKUP(A238,TEXT(Sheet2!$A$2:$A$1453,"0"),Sheet2!$F$2:$F$1453,""))</f>
        <v>26-7-2026</v>
      </c>
      <c r="G238" s="2" t="str" cm="1">
        <f t="array" ref="G238">IFERROR(_xlfn.XLOOKUP(A238,Sheet2!$A$2:$A$1453,Sheet2!$G$2:$G$1453),_xlfn.XLOOKUP(A238,TEXT(Sheet2!$A$2:$A$1453,"0"),Sheet2!$G$2:$G$1453,""))</f>
        <v>6-8-2026</v>
      </c>
    </row>
    <row r="239" spans="1:7" x14ac:dyDescent="0.2">
      <c r="A239" s="1">
        <v>20309011762</v>
      </c>
      <c r="B239" t="str" cm="1">
        <f t="array" ref="B239">IFERROR(_xlfn.XLOOKUP(A239,Sheet2!$A$2:$A$1453,Sheet2!$B$2:$B$1453),_xlfn.XLOOKUP(A239,TEXT(Sheet2!$A$2:$A$1453,"0"),Sheet2!$B$2:$B$1453,""))</f>
        <v> DOVE SHAMPOO THICK RIT LAVANDER 400 ML 211301</v>
      </c>
      <c r="C239" s="2">
        <v>23.17</v>
      </c>
      <c r="D239" s="2" cm="1">
        <f t="array" ref="D239">_xlfn.LET(_xlpm.v,IFERROR(_xlfn.XLOOKUP(A239,Sheet2!$A$2:$A$1453,Sheet2!$D$2:$D$1453),_xlfn.XLOOKUP(A239,TEXT(Sheet2!$A$2:$A$1453,"0"),Sheet2!$D$2:$D$1453,"")),IF(_xlpm.v="","",IF(_xlpm.v&lt;1,_xlpm.v*100,_xlpm.v)))</f>
        <v>15</v>
      </c>
      <c r="E239" s="2">
        <f t="shared" si="3"/>
        <v>19.694500000000001</v>
      </c>
      <c r="F239" s="2" t="str" cm="1">
        <f t="array" ref="F239">IFERROR(_xlfn.XLOOKUP(A239,Sheet2!$A$2:$A$1453,Sheet2!$F$2:$F$1453),_xlfn.XLOOKUP(A239,TEXT(Sheet2!$A$2:$A$1453,"0"),Sheet2!$F$2:$F$1453,""))</f>
        <v>26-7-2026</v>
      </c>
      <c r="G239" s="2" t="str" cm="1">
        <f t="array" ref="G239">IFERROR(_xlfn.XLOOKUP(A239,Sheet2!$A$2:$A$1453,Sheet2!$G$2:$G$1453),_xlfn.XLOOKUP(A239,TEXT(Sheet2!$A$2:$A$1453,"0"),Sheet2!$G$2:$G$1453,""))</f>
        <v>6-8-2026</v>
      </c>
    </row>
    <row r="240" spans="1:7" x14ac:dyDescent="0.2">
      <c r="A240" s="1" t="s">
        <v>29</v>
      </c>
      <c r="B240" t="str" cm="1">
        <f t="array" ref="B240">IFERROR(_xlfn.XLOOKUP(A240,Sheet2!$A$2:$A$1453,Sheet2!$B$2:$B$1453),_xlfn.XLOOKUP(A240,TEXT(Sheet2!$A$2:$A$1453,"0"),Sheet2!$B$2:$B$1453,""))</f>
        <v>CO-Q Soft Gel Cap 100MG/1Capsule, 30Capsule/Box</v>
      </c>
      <c r="C240" s="2">
        <v>112</v>
      </c>
      <c r="D240" s="2" cm="1">
        <f t="array" ref="D240">_xlfn.LET(_xlpm.v,IFERROR(_xlfn.XLOOKUP(A240,Sheet2!$A$2:$A$1453,Sheet2!$D$2:$D$1453),_xlfn.XLOOKUP(A240,TEXT(Sheet2!$A$2:$A$1453,"0"),Sheet2!$D$2:$D$1453,"")),IF(_xlpm.v="","",IF(_xlpm.v&lt;1,_xlpm.v*100,_xlpm.v)))</f>
        <v>50</v>
      </c>
      <c r="E240" s="2">
        <f t="shared" si="3"/>
        <v>56</v>
      </c>
      <c r="F240" s="2" t="str" cm="1">
        <f t="array" ref="F240">IFERROR(_xlfn.XLOOKUP(A240,Sheet2!$A$2:$A$1453,Sheet2!$F$2:$F$1453),_xlfn.XLOOKUP(A240,TEXT(Sheet2!$A$2:$A$1453,"0"),Sheet2!$F$2:$F$1453,""))</f>
        <v>26-7-2026</v>
      </c>
      <c r="G240" s="2" t="str" cm="1">
        <f t="array" ref="G240">IFERROR(_xlfn.XLOOKUP(A240,Sheet2!$A$2:$A$1453,Sheet2!$G$2:$G$1453),_xlfn.XLOOKUP(A240,TEXT(Sheet2!$A$2:$A$1453,"0"),Sheet2!$G$2:$G$1453,""))</f>
        <v>6-8-2026</v>
      </c>
    </row>
    <row r="241" spans="1:7" x14ac:dyDescent="0.2">
      <c r="A241" s="1">
        <v>20309012358</v>
      </c>
      <c r="B241" t="str" cm="1">
        <f t="array" ref="B241">IFERROR(_xlfn.XLOOKUP(A241,Sheet2!$A$2:$A$1453,Sheet2!$B$2:$B$1453),_xlfn.XLOOKUP(A241,TEXT(Sheet2!$A$2:$A$1453,"0"),Sheet2!$B$2:$B$1453,""))</f>
        <v>CANTU WAVE WHIP CURLING MOUSSE STYLE 248 ML 15700</v>
      </c>
      <c r="C241" s="2">
        <v>33.65</v>
      </c>
      <c r="D241" s="2" cm="1">
        <f t="array" ref="D241">_xlfn.LET(_xlpm.v,IFERROR(_xlfn.XLOOKUP(A241,Sheet2!$A$2:$A$1453,Sheet2!$D$2:$D$1453),_xlfn.XLOOKUP(A241,TEXT(Sheet2!$A$2:$A$1453,"0"),Sheet2!$D$2:$D$1453,"")),IF(_xlpm.v="","",IF(_xlpm.v&lt;1,_xlpm.v*100,_xlpm.v)))</f>
        <v>10</v>
      </c>
      <c r="E241" s="2">
        <f t="shared" si="3"/>
        <v>30.285</v>
      </c>
      <c r="F241" s="2" t="str" cm="1">
        <f t="array" ref="F241">IFERROR(_xlfn.XLOOKUP(A241,Sheet2!$A$2:$A$1453,Sheet2!$F$2:$F$1453),_xlfn.XLOOKUP(A241,TEXT(Sheet2!$A$2:$A$1453,"0"),Sheet2!$F$2:$F$1453,""))</f>
        <v>26-7-2026</v>
      </c>
      <c r="G241" s="2" t="str" cm="1">
        <f t="array" ref="G241">IFERROR(_xlfn.XLOOKUP(A241,Sheet2!$A$2:$A$1453,Sheet2!$G$2:$G$1453),_xlfn.XLOOKUP(A241,TEXT(Sheet2!$A$2:$A$1453,"0"),Sheet2!$G$2:$G$1453,""))</f>
        <v>6-8-2026</v>
      </c>
    </row>
    <row r="242" spans="1:7" x14ac:dyDescent="0.2">
      <c r="A242" s="1">
        <v>20309012355</v>
      </c>
      <c r="B242" t="str" cm="1">
        <f t="array" ref="B242">IFERROR(_xlfn.XLOOKUP(A242,Sheet2!$A$2:$A$1453,Sheet2!$B$2:$B$1453),_xlfn.XLOOKUP(A242,TEXT(Sheet2!$A$2:$A$1453,"0"),Sheet2!$B$2:$B$1453,""))</f>
        <v>CANTU THERMAL SHIELD HEAT PROTECTANT 151 ML 15588</v>
      </c>
      <c r="C242" s="2">
        <v>28.34</v>
      </c>
      <c r="D242" s="2" cm="1">
        <f t="array" ref="D242">_xlfn.LET(_xlpm.v,IFERROR(_xlfn.XLOOKUP(A242,Sheet2!$A$2:$A$1453,Sheet2!$D$2:$D$1453),_xlfn.XLOOKUP(A242,TEXT(Sheet2!$A$2:$A$1453,"0"),Sheet2!$D$2:$D$1453,"")),IF(_xlpm.v="","",IF(_xlpm.v&lt;1,_xlpm.v*100,_xlpm.v)))</f>
        <v>10</v>
      </c>
      <c r="E242" s="2">
        <f t="shared" si="3"/>
        <v>25.506</v>
      </c>
      <c r="F242" s="2" t="str" cm="1">
        <f t="array" ref="F242">IFERROR(_xlfn.XLOOKUP(A242,Sheet2!$A$2:$A$1453,Sheet2!$F$2:$F$1453),_xlfn.XLOOKUP(A242,TEXT(Sheet2!$A$2:$A$1453,"0"),Sheet2!$F$2:$F$1453,""))</f>
        <v>26-7-2026</v>
      </c>
      <c r="G242" s="2" t="str" cm="1">
        <f t="array" ref="G242">IFERROR(_xlfn.XLOOKUP(A242,Sheet2!$A$2:$A$1453,Sheet2!$G$2:$G$1453),_xlfn.XLOOKUP(A242,TEXT(Sheet2!$A$2:$A$1453,"0"),Sheet2!$G$2:$G$1453,""))</f>
        <v>6-8-2026</v>
      </c>
    </row>
    <row r="243" spans="1:7" x14ac:dyDescent="0.2">
      <c r="A243" s="1">
        <v>20309012036</v>
      </c>
      <c r="B243" t="str" cm="1">
        <f t="array" ref="B243">IFERROR(_xlfn.XLOOKUP(A243,Sheet2!$A$2:$A$1453,Sheet2!$B$2:$B$1453),_xlfn.XLOOKUP(A243,TEXT(Sheet2!$A$2:$A$1453,"0"),Sheet2!$B$2:$B$1453,""))</f>
        <v>CANTU SMOOTHING LEAVE-IN CONDIT HAIR LOTION 284 GM 6219</v>
      </c>
      <c r="C243" s="2">
        <v>33.65</v>
      </c>
      <c r="D243" s="2" cm="1">
        <f t="array" ref="D243">_xlfn.LET(_xlpm.v,IFERROR(_xlfn.XLOOKUP(A243,Sheet2!$A$2:$A$1453,Sheet2!$D$2:$D$1453),_xlfn.XLOOKUP(A243,TEXT(Sheet2!$A$2:$A$1453,"0"),Sheet2!$D$2:$D$1453,"")),IF(_xlpm.v="","",IF(_xlpm.v&lt;1,_xlpm.v*100,_xlpm.v)))</f>
        <v>10</v>
      </c>
      <c r="E243" s="2">
        <f t="shared" si="3"/>
        <v>30.285</v>
      </c>
      <c r="F243" s="2" t="str" cm="1">
        <f t="array" ref="F243">IFERROR(_xlfn.XLOOKUP(A243,Sheet2!$A$2:$A$1453,Sheet2!$F$2:$F$1453),_xlfn.XLOOKUP(A243,TEXT(Sheet2!$A$2:$A$1453,"0"),Sheet2!$F$2:$F$1453,""))</f>
        <v>26-7-2026</v>
      </c>
      <c r="G243" s="2" t="str" cm="1">
        <f t="array" ref="G243">IFERROR(_xlfn.XLOOKUP(A243,Sheet2!$A$2:$A$1453,Sheet2!$G$2:$G$1453),_xlfn.XLOOKUP(A243,TEXT(Sheet2!$A$2:$A$1453,"0"),Sheet2!$G$2:$G$1453,""))</f>
        <v>6-8-2026</v>
      </c>
    </row>
    <row r="244" spans="1:7" x14ac:dyDescent="0.2">
      <c r="A244" s="1">
        <v>20309503427</v>
      </c>
      <c r="B244" t="str" cm="1">
        <f t="array" ref="B244">IFERROR(_xlfn.XLOOKUP(A244,Sheet2!$A$2:$A$1453,Sheet2!$B$2:$B$1453),_xlfn.XLOOKUP(A244,TEXT(Sheet2!$A$2:$A$1453,"0"),Sheet2!$B$2:$B$1453,""))</f>
        <v>CANTU SHEA BUTTER  HAIR DRESSING POMADE 113GM -2685</v>
      </c>
      <c r="C244" s="2">
        <v>26.57</v>
      </c>
      <c r="D244" s="2" cm="1">
        <f t="array" ref="D244">_xlfn.LET(_xlpm.v,IFERROR(_xlfn.XLOOKUP(A244,Sheet2!$A$2:$A$1453,Sheet2!$D$2:$D$1453),_xlfn.XLOOKUP(A244,TEXT(Sheet2!$A$2:$A$1453,"0"),Sheet2!$D$2:$D$1453,"")),IF(_xlpm.v="","",IF(_xlpm.v&lt;1,_xlpm.v*100,_xlpm.v)))</f>
        <v>10</v>
      </c>
      <c r="E244" s="2">
        <f t="shared" si="3"/>
        <v>23.913</v>
      </c>
      <c r="F244" s="2" t="str" cm="1">
        <f t="array" ref="F244">IFERROR(_xlfn.XLOOKUP(A244,Sheet2!$A$2:$A$1453,Sheet2!$F$2:$F$1453),_xlfn.XLOOKUP(A244,TEXT(Sheet2!$A$2:$A$1453,"0"),Sheet2!$F$2:$F$1453,""))</f>
        <v>26-7-2026</v>
      </c>
      <c r="G244" s="2" t="str" cm="1">
        <f t="array" ref="G244">IFERROR(_xlfn.XLOOKUP(A244,Sheet2!$A$2:$A$1453,Sheet2!$G$2:$G$1453),_xlfn.XLOOKUP(A244,TEXT(Sheet2!$A$2:$A$1453,"0"),Sheet2!$G$2:$G$1453,""))</f>
        <v>6-8-2026</v>
      </c>
    </row>
    <row r="245" spans="1:7" x14ac:dyDescent="0.2">
      <c r="A245" s="1">
        <v>20309012354</v>
      </c>
      <c r="B245" t="str" cm="1">
        <f t="array" ref="B245">IFERROR(_xlfn.XLOOKUP(A245,Sheet2!$A$2:$A$1453,Sheet2!$B$2:$B$1453),_xlfn.XLOOKUP(A245,TEXT(Sheet2!$A$2:$A$1453,"0"),Sheet2!$B$2:$B$1453,""))</f>
        <v>CANTU MOISTURIZING TWIST LOC CURL GEL 369 GM 10057</v>
      </c>
      <c r="C245" s="2">
        <v>37.19</v>
      </c>
      <c r="D245" s="2" cm="1">
        <f t="array" ref="D245">_xlfn.LET(_xlpm.v,IFERROR(_xlfn.XLOOKUP(A245,Sheet2!$A$2:$A$1453,Sheet2!$D$2:$D$1453),_xlfn.XLOOKUP(A245,TEXT(Sheet2!$A$2:$A$1453,"0"),Sheet2!$D$2:$D$1453,"")),IF(_xlpm.v="","",IF(_xlpm.v&lt;1,_xlpm.v*100,_xlpm.v)))</f>
        <v>10</v>
      </c>
      <c r="E245" s="2">
        <f t="shared" si="3"/>
        <v>33.470999999999997</v>
      </c>
      <c r="F245" s="2" t="str" cm="1">
        <f t="array" ref="F245">IFERROR(_xlfn.XLOOKUP(A245,Sheet2!$A$2:$A$1453,Sheet2!$F$2:$F$1453),_xlfn.XLOOKUP(A245,TEXT(Sheet2!$A$2:$A$1453,"0"),Sheet2!$F$2:$F$1453,""))</f>
        <v>26-7-2026</v>
      </c>
      <c r="G245" s="2" t="str" cm="1">
        <f t="array" ref="G245">IFERROR(_xlfn.XLOOKUP(A245,Sheet2!$A$2:$A$1453,Sheet2!$G$2:$G$1453),_xlfn.XLOOKUP(A245,TEXT(Sheet2!$A$2:$A$1453,"0"),Sheet2!$G$2:$G$1453,""))</f>
        <v>6-8-2026</v>
      </c>
    </row>
    <row r="246" spans="1:7" x14ac:dyDescent="0.2">
      <c r="A246" s="1">
        <v>20309503417</v>
      </c>
      <c r="B246" t="str" cm="1">
        <f t="array" ref="B246">IFERROR(_xlfn.XLOOKUP(A246,Sheet2!$A$2:$A$1453,Sheet2!$B$2:$B$1453),_xlfn.XLOOKUP(A246,TEXT(Sheet2!$A$2:$A$1453,"0"),Sheet2!$B$2:$B$1453,""))</f>
        <v>CANTU HAIR SPRAY COMEBACK CURL NEXT DAY CURL REVITALIZER 355ML-5656</v>
      </c>
      <c r="C246" s="2">
        <v>33.65</v>
      </c>
      <c r="D246" s="2" cm="1">
        <f t="array" ref="D246">_xlfn.LET(_xlpm.v,IFERROR(_xlfn.XLOOKUP(A246,Sheet2!$A$2:$A$1453,Sheet2!$D$2:$D$1453),_xlfn.XLOOKUP(A246,TEXT(Sheet2!$A$2:$A$1453,"0"),Sheet2!$D$2:$D$1453,"")),IF(_xlpm.v="","",IF(_xlpm.v&lt;1,_xlpm.v*100,_xlpm.v)))</f>
        <v>10</v>
      </c>
      <c r="E246" s="2">
        <f t="shared" si="3"/>
        <v>30.285</v>
      </c>
      <c r="F246" s="2" t="str" cm="1">
        <f t="array" ref="F246">IFERROR(_xlfn.XLOOKUP(A246,Sheet2!$A$2:$A$1453,Sheet2!$F$2:$F$1453),_xlfn.XLOOKUP(A246,TEXT(Sheet2!$A$2:$A$1453,"0"),Sheet2!$F$2:$F$1453,""))</f>
        <v>26-7-2026</v>
      </c>
      <c r="G246" s="2" t="str" cm="1">
        <f t="array" ref="G246">IFERROR(_xlfn.XLOOKUP(A246,Sheet2!$A$2:$A$1453,Sheet2!$G$2:$G$1453),_xlfn.XLOOKUP(A246,TEXT(Sheet2!$A$2:$A$1453,"0"),Sheet2!$G$2:$G$1453,""))</f>
        <v>6-8-2026</v>
      </c>
    </row>
    <row r="247" spans="1:7" x14ac:dyDescent="0.2">
      <c r="A247" s="1">
        <v>20309012002</v>
      </c>
      <c r="B247" t="str" cm="1">
        <f t="array" ref="B247">IFERROR(_xlfn.XLOOKUP(A247,Sheet2!$A$2:$A$1453,Sheet2!$B$2:$B$1453),_xlfn.XLOOKUP(A247,TEXT(Sheet2!$A$2:$A$1453,"0"),Sheet2!$B$2:$B$1453,""))</f>
        <v>CANTU FOR KIDS NOURISHING HAIR SHAMPO 237 ML 5465</v>
      </c>
      <c r="C247" s="2">
        <v>26.57</v>
      </c>
      <c r="D247" s="2" cm="1">
        <f t="array" ref="D247">_xlfn.LET(_xlpm.v,IFERROR(_xlfn.XLOOKUP(A247,Sheet2!$A$2:$A$1453,Sheet2!$D$2:$D$1453),_xlfn.XLOOKUP(A247,TEXT(Sheet2!$A$2:$A$1453,"0"),Sheet2!$D$2:$D$1453,"")),IF(_xlpm.v="","",IF(_xlpm.v&lt;1,_xlpm.v*100,_xlpm.v)))</f>
        <v>10</v>
      </c>
      <c r="E247" s="2">
        <f t="shared" si="3"/>
        <v>23.913</v>
      </c>
      <c r="F247" s="2" t="str" cm="1">
        <f t="array" ref="F247">IFERROR(_xlfn.XLOOKUP(A247,Sheet2!$A$2:$A$1453,Sheet2!$F$2:$F$1453),_xlfn.XLOOKUP(A247,TEXT(Sheet2!$A$2:$A$1453,"0"),Sheet2!$F$2:$F$1453,""))</f>
        <v>26-7-2026</v>
      </c>
      <c r="G247" s="2" t="str" cm="1">
        <f t="array" ref="G247">IFERROR(_xlfn.XLOOKUP(A247,Sheet2!$A$2:$A$1453,Sheet2!$G$2:$G$1453),_xlfn.XLOOKUP(A247,TEXT(Sheet2!$A$2:$A$1453,"0"),Sheet2!$G$2:$G$1453,""))</f>
        <v>6-8-2026</v>
      </c>
    </row>
    <row r="248" spans="1:7" x14ac:dyDescent="0.2">
      <c r="A248" s="1">
        <v>20309012001</v>
      </c>
      <c r="B248" t="str" cm="1">
        <f t="array" ref="B248">IFERROR(_xlfn.XLOOKUP(A248,Sheet2!$A$2:$A$1453,Sheet2!$B$2:$B$1453),_xlfn.XLOOKUP(A248,TEXT(Sheet2!$A$2:$A$1453,"0"),Sheet2!$B$2:$B$1453,""))</f>
        <v>CANTU FOR KIDS NOURISHING HAIR CONDITIONER 237 ML 5472</v>
      </c>
      <c r="C248" s="2">
        <v>26.57</v>
      </c>
      <c r="D248" s="2" cm="1">
        <f t="array" ref="D248">_xlfn.LET(_xlpm.v,IFERROR(_xlfn.XLOOKUP(A248,Sheet2!$A$2:$A$1453,Sheet2!$D$2:$D$1453),_xlfn.XLOOKUP(A248,TEXT(Sheet2!$A$2:$A$1453,"0"),Sheet2!$D$2:$D$1453,"")),IF(_xlpm.v="","",IF(_xlpm.v&lt;1,_xlpm.v*100,_xlpm.v)))</f>
        <v>10</v>
      </c>
      <c r="E248" s="2">
        <f t="shared" si="3"/>
        <v>23.913</v>
      </c>
      <c r="F248" s="2" t="str" cm="1">
        <f t="array" ref="F248">IFERROR(_xlfn.XLOOKUP(A248,Sheet2!$A$2:$A$1453,Sheet2!$F$2:$F$1453),_xlfn.XLOOKUP(A248,TEXT(Sheet2!$A$2:$A$1453,"0"),Sheet2!$F$2:$F$1453,""))</f>
        <v>26-7-2026</v>
      </c>
      <c r="G248" s="2" t="str" cm="1">
        <f t="array" ref="G248">IFERROR(_xlfn.XLOOKUP(A248,Sheet2!$A$2:$A$1453,Sheet2!$G$2:$G$1453),_xlfn.XLOOKUP(A248,TEXT(Sheet2!$A$2:$A$1453,"0"),Sheet2!$G$2:$G$1453,""))</f>
        <v>6-8-2026</v>
      </c>
    </row>
    <row r="249" spans="1:7" x14ac:dyDescent="0.2">
      <c r="A249" s="1">
        <v>20309012033</v>
      </c>
      <c r="B249" t="str" cm="1">
        <f t="array" ref="B249">IFERROR(_xlfn.XLOOKUP(A249,Sheet2!$A$2:$A$1453,Sheet2!$B$2:$B$1453),_xlfn.XLOOKUP(A249,TEXT(Sheet2!$A$2:$A$1453,"0"),Sheet2!$B$2:$B$1453,""))</f>
        <v>CANTU DEEP TREATMENT MASQUE DRY DAMAGED 340 G 10040</v>
      </c>
      <c r="C249" s="2">
        <v>38.96</v>
      </c>
      <c r="D249" s="2" cm="1">
        <f t="array" ref="D249">_xlfn.LET(_xlpm.v,IFERROR(_xlfn.XLOOKUP(A249,Sheet2!$A$2:$A$1453,Sheet2!$D$2:$D$1453),_xlfn.XLOOKUP(A249,TEXT(Sheet2!$A$2:$A$1453,"0"),Sheet2!$D$2:$D$1453,"")),IF(_xlpm.v="","",IF(_xlpm.v&lt;1,_xlpm.v*100,_xlpm.v)))</f>
        <v>10</v>
      </c>
      <c r="E249" s="2">
        <f t="shared" si="3"/>
        <v>35.064</v>
      </c>
      <c r="F249" s="2" t="str" cm="1">
        <f t="array" ref="F249">IFERROR(_xlfn.XLOOKUP(A249,Sheet2!$A$2:$A$1453,Sheet2!$F$2:$F$1453),_xlfn.XLOOKUP(A249,TEXT(Sheet2!$A$2:$A$1453,"0"),Sheet2!$F$2:$F$1453,""))</f>
        <v>26-7-2026</v>
      </c>
      <c r="G249" s="2" t="str" cm="1">
        <f t="array" ref="G249">IFERROR(_xlfn.XLOOKUP(A249,Sheet2!$A$2:$A$1453,Sheet2!$G$2:$G$1453),_xlfn.XLOOKUP(A249,TEXT(Sheet2!$A$2:$A$1453,"0"),Sheet2!$G$2:$G$1453,""))</f>
        <v>6-8-2026</v>
      </c>
    </row>
    <row r="250" spans="1:7" x14ac:dyDescent="0.2">
      <c r="A250" s="1">
        <v>20309504157</v>
      </c>
      <c r="B250" t="str" cm="1">
        <f t="array" ref="B250">IFERROR(_xlfn.XLOOKUP(A250,Sheet2!$A$2:$A$1453,Sheet2!$B$2:$B$1453),_xlfn.XLOOKUP(A250,TEXT(Sheet2!$A$2:$A$1453,"0"),Sheet2!$B$2:$B$1453,""))</f>
        <v>CANTU BIOTIN INFUSED HAIR SCALP OIL 59 ML 2439</v>
      </c>
      <c r="C250" s="2">
        <v>33.65</v>
      </c>
      <c r="D250" s="2" cm="1">
        <f t="array" ref="D250">_xlfn.LET(_xlpm.v,IFERROR(_xlfn.XLOOKUP(A250,Sheet2!$A$2:$A$1453,Sheet2!$D$2:$D$1453),_xlfn.XLOOKUP(A250,TEXT(Sheet2!$A$2:$A$1453,"0"),Sheet2!$D$2:$D$1453,"")),IF(_xlpm.v="","",IF(_xlpm.v&lt;1,_xlpm.v*100,_xlpm.v)))</f>
        <v>10</v>
      </c>
      <c r="E250" s="2">
        <f t="shared" si="3"/>
        <v>30.285</v>
      </c>
      <c r="F250" s="2" t="str" cm="1">
        <f t="array" ref="F250">IFERROR(_xlfn.XLOOKUP(A250,Sheet2!$A$2:$A$1453,Sheet2!$F$2:$F$1453),_xlfn.XLOOKUP(A250,TEXT(Sheet2!$A$2:$A$1453,"0"),Sheet2!$F$2:$F$1453,""))</f>
        <v>26-7-2026</v>
      </c>
      <c r="G250" s="2" t="str" cm="1">
        <f t="array" ref="G250">IFERROR(_xlfn.XLOOKUP(A250,Sheet2!$A$2:$A$1453,Sheet2!$G$2:$G$1453),_xlfn.XLOOKUP(A250,TEXT(Sheet2!$A$2:$A$1453,"0"),Sheet2!$G$2:$G$1453,""))</f>
        <v>6-8-2026</v>
      </c>
    </row>
    <row r="251" spans="1:7" x14ac:dyDescent="0.2">
      <c r="A251" s="1">
        <v>20309012359</v>
      </c>
      <c r="B251" t="str" cm="1">
        <f t="array" ref="B251">IFERROR(_xlfn.XLOOKUP(A251,Sheet2!$A$2:$A$1453,Sheet2!$B$2:$B$1453),_xlfn.XLOOKUP(A251,TEXT(Sheet2!$A$2:$A$1453,"0"),Sheet2!$B$2:$B$1453,""))</f>
        <v>CANTU AVOCADO HYDRATING STYLING MOUSSE 248 ML 2460</v>
      </c>
      <c r="C251" s="2">
        <v>35.42</v>
      </c>
      <c r="D251" s="2" cm="1">
        <f t="array" ref="D251">_xlfn.LET(_xlpm.v,IFERROR(_xlfn.XLOOKUP(A251,Sheet2!$A$2:$A$1453,Sheet2!$D$2:$D$1453),_xlfn.XLOOKUP(A251,TEXT(Sheet2!$A$2:$A$1453,"0"),Sheet2!$D$2:$D$1453,"")),IF(_xlpm.v="","",IF(_xlpm.v&lt;1,_xlpm.v*100,_xlpm.v)))</f>
        <v>10</v>
      </c>
      <c r="E251" s="2">
        <f t="shared" si="3"/>
        <v>31.878000000000004</v>
      </c>
      <c r="F251" s="2" t="str" cm="1">
        <f t="array" ref="F251">IFERROR(_xlfn.XLOOKUP(A251,Sheet2!$A$2:$A$1453,Sheet2!$F$2:$F$1453),_xlfn.XLOOKUP(A251,TEXT(Sheet2!$A$2:$A$1453,"0"),Sheet2!$F$2:$F$1453,""))</f>
        <v>26-7-2026</v>
      </c>
      <c r="G251" s="2" t="str" cm="1">
        <f t="array" ref="G251">IFERROR(_xlfn.XLOOKUP(A251,Sheet2!$A$2:$A$1453,Sheet2!$G$2:$G$1453),_xlfn.XLOOKUP(A251,TEXT(Sheet2!$A$2:$A$1453,"0"),Sheet2!$G$2:$G$1453,""))</f>
        <v>6-8-2026</v>
      </c>
    </row>
    <row r="252" spans="1:7" x14ac:dyDescent="0.2">
      <c r="A252" s="1">
        <v>20309021924</v>
      </c>
      <c r="B252" t="str" cm="1">
        <f t="array" ref="B252">IFERROR(_xlfn.XLOOKUP(A252,Sheet2!$A$2:$A$1453,Sheet2!$B$2:$B$1453),_xlfn.XLOOKUP(A252,TEXT(Sheet2!$A$2:$A$1453,"0"),Sheet2!$B$2:$B$1453,""))</f>
        <v>CANTU ALOE SOOMTHING BODY LOTION DRY SKIN 473 ML 40565</v>
      </c>
      <c r="C252" s="2">
        <v>31.88</v>
      </c>
      <c r="D252" s="2" cm="1">
        <f t="array" ref="D252">_xlfn.LET(_xlpm.v,IFERROR(_xlfn.XLOOKUP(A252,Sheet2!$A$2:$A$1453,Sheet2!$D$2:$D$1453),_xlfn.XLOOKUP(A252,TEXT(Sheet2!$A$2:$A$1453,"0"),Sheet2!$D$2:$D$1453,"")),IF(_xlpm.v="","",IF(_xlpm.v&lt;1,_xlpm.v*100,_xlpm.v)))</f>
        <v>10</v>
      </c>
      <c r="E252" s="2">
        <f t="shared" si="3"/>
        <v>28.692</v>
      </c>
      <c r="F252" s="2" t="str" cm="1">
        <f t="array" ref="F252">IFERROR(_xlfn.XLOOKUP(A252,Sheet2!$A$2:$A$1453,Sheet2!$F$2:$F$1453),_xlfn.XLOOKUP(A252,TEXT(Sheet2!$A$2:$A$1453,"0"),Sheet2!$F$2:$F$1453,""))</f>
        <v>26-7-2026</v>
      </c>
      <c r="G252" s="2" t="str" cm="1">
        <f t="array" ref="G252">IFERROR(_xlfn.XLOOKUP(A252,Sheet2!$A$2:$A$1453,Sheet2!$G$2:$G$1453),_xlfn.XLOOKUP(A252,TEXT(Sheet2!$A$2:$A$1453,"0"),Sheet2!$G$2:$G$1453,""))</f>
        <v>6-8-2026</v>
      </c>
    </row>
    <row r="253" spans="1:7" x14ac:dyDescent="0.2">
      <c r="A253" s="1">
        <v>20309503418</v>
      </c>
      <c r="B253" t="str" cm="1">
        <f t="array" ref="B253">IFERROR(_xlfn.XLOOKUP(A253,Sheet2!$A$2:$A$1453,Sheet2!$B$2:$B$1453),_xlfn.XLOOKUP(A253,TEXT(Sheet2!$A$2:$A$1453,"0"),Sheet2!$B$2:$B$1453,""))</f>
        <v>CANTU  COCONUT CURLING CREAM STYLE 340 GM 0033</v>
      </c>
      <c r="C253" s="2">
        <v>42.5</v>
      </c>
      <c r="D253" s="2" cm="1">
        <f t="array" ref="D253">_xlfn.LET(_xlpm.v,IFERROR(_xlfn.XLOOKUP(A253,Sheet2!$A$2:$A$1453,Sheet2!$D$2:$D$1453),_xlfn.XLOOKUP(A253,TEXT(Sheet2!$A$2:$A$1453,"0"),Sheet2!$D$2:$D$1453,"")),IF(_xlpm.v="","",IF(_xlpm.v&lt;1,_xlpm.v*100,_xlpm.v)))</f>
        <v>10</v>
      </c>
      <c r="E253" s="2">
        <f t="shared" si="3"/>
        <v>38.25</v>
      </c>
      <c r="F253" s="2" t="str" cm="1">
        <f t="array" ref="F253">IFERROR(_xlfn.XLOOKUP(A253,Sheet2!$A$2:$A$1453,Sheet2!$F$2:$F$1453),_xlfn.XLOOKUP(A253,TEXT(Sheet2!$A$2:$A$1453,"0"),Sheet2!$F$2:$F$1453,""))</f>
        <v>26-7-2026</v>
      </c>
      <c r="G253" s="2" t="str" cm="1">
        <f t="array" ref="G253">IFERROR(_xlfn.XLOOKUP(A253,Sheet2!$A$2:$A$1453,Sheet2!$G$2:$G$1453),_xlfn.XLOOKUP(A253,TEXT(Sheet2!$A$2:$A$1453,"0"),Sheet2!$G$2:$G$1453,""))</f>
        <v>6-8-2026</v>
      </c>
    </row>
    <row r="254" spans="1:7" x14ac:dyDescent="0.2">
      <c r="A254" s="1">
        <v>20309060648</v>
      </c>
      <c r="B254" t="str" cm="1">
        <f t="array" ref="B254">IFERROR(_xlfn.XLOOKUP(A254,Sheet2!$A$2:$A$1453,Sheet2!$B$2:$B$1453),_xlfn.XLOOKUP(A254,TEXT(Sheet2!$A$2:$A$1453,"0"),Sheet2!$B$2:$B$1453,""))</f>
        <v>AXE AER LEATHER &amp; COOKIES (ROCK) 150 ML</v>
      </c>
      <c r="C254" s="2">
        <v>28.75</v>
      </c>
      <c r="D254" s="2" cm="1">
        <f t="array" ref="D254">_xlfn.LET(_xlpm.v,IFERROR(_xlfn.XLOOKUP(A254,Sheet2!$A$2:$A$1453,Sheet2!$D$2:$D$1453),_xlfn.XLOOKUP(A254,TEXT(Sheet2!$A$2:$A$1453,"0"),Sheet2!$D$2:$D$1453,"")),IF(_xlpm.v="","",IF(_xlpm.v&lt;1,_xlpm.v*100,_xlpm.v)))</f>
        <v>15</v>
      </c>
      <c r="E254" s="2">
        <f t="shared" si="3"/>
        <v>24.4375</v>
      </c>
      <c r="F254" s="2" t="str" cm="1">
        <f t="array" ref="F254">IFERROR(_xlfn.XLOOKUP(A254,Sheet2!$A$2:$A$1453,Sheet2!$F$2:$F$1453),_xlfn.XLOOKUP(A254,TEXT(Sheet2!$A$2:$A$1453,"0"),Sheet2!$F$2:$F$1453,""))</f>
        <v>26-7-2026</v>
      </c>
      <c r="G254" s="2" t="str" cm="1">
        <f t="array" ref="G254">IFERROR(_xlfn.XLOOKUP(A254,Sheet2!$A$2:$A$1453,Sheet2!$G$2:$G$1453),_xlfn.XLOOKUP(A254,TEXT(Sheet2!$A$2:$A$1453,"0"),Sheet2!$G$2:$G$1453,""))</f>
        <v>6-8-2026</v>
      </c>
    </row>
    <row r="255" spans="1:7" x14ac:dyDescent="0.2">
      <c r="A255" s="1">
        <v>20309060111</v>
      </c>
      <c r="B255" t="str" cm="1">
        <f t="array" ref="B255">IFERROR(_xlfn.XLOOKUP(A255,Sheet2!$A$2:$A$1453,Sheet2!$B$2:$B$1453),_xlfn.XLOOKUP(A255,TEXT(Sheet2!$A$2:$A$1453,"0"),Sheet2!$B$2:$B$1453,""))</f>
        <v>AXE DEO SPRAY BLACK NIGHT 150ML 209175</v>
      </c>
      <c r="C255" s="2">
        <v>28.75</v>
      </c>
      <c r="D255" s="2" cm="1">
        <f t="array" ref="D255">_xlfn.LET(_xlpm.v,IFERROR(_xlfn.XLOOKUP(A255,Sheet2!$A$2:$A$1453,Sheet2!$D$2:$D$1453),_xlfn.XLOOKUP(A255,TEXT(Sheet2!$A$2:$A$1453,"0"),Sheet2!$D$2:$D$1453,"")),IF(_xlpm.v="","",IF(_xlpm.v&lt;1,_xlpm.v*100,_xlpm.v)))</f>
        <v>15</v>
      </c>
      <c r="E255" s="2">
        <f t="shared" si="3"/>
        <v>24.4375</v>
      </c>
      <c r="F255" s="2" t="str" cm="1">
        <f t="array" ref="F255">IFERROR(_xlfn.XLOOKUP(A255,Sheet2!$A$2:$A$1453,Sheet2!$F$2:$F$1453),_xlfn.XLOOKUP(A255,TEXT(Sheet2!$A$2:$A$1453,"0"),Sheet2!$F$2:$F$1453,""))</f>
        <v>26-7-2026</v>
      </c>
      <c r="G255" s="2" t="str" cm="1">
        <f t="array" ref="G255">IFERROR(_xlfn.XLOOKUP(A255,Sheet2!$A$2:$A$1453,Sheet2!$G$2:$G$1453),_xlfn.XLOOKUP(A255,TEXT(Sheet2!$A$2:$A$1453,"0"),Sheet2!$G$2:$G$1453,""))</f>
        <v>6-8-2026</v>
      </c>
    </row>
    <row r="256" spans="1:7" x14ac:dyDescent="0.2">
      <c r="A256" s="1">
        <v>20309060110</v>
      </c>
      <c r="B256" t="str" cm="1">
        <f t="array" ref="B256">IFERROR(_xlfn.XLOOKUP(A256,Sheet2!$A$2:$A$1453,Sheet2!$B$2:$B$1453),_xlfn.XLOOKUP(A256,TEXT(Sheet2!$A$2:$A$1453,"0"),Sheet2!$B$2:$B$1453,""))</f>
        <v>AXE DEO SPRAY BLACK 150ML 208393</v>
      </c>
      <c r="C256" s="2">
        <v>28.75</v>
      </c>
      <c r="D256" s="2" cm="1">
        <f t="array" ref="D256">_xlfn.LET(_xlpm.v,IFERROR(_xlfn.XLOOKUP(A256,Sheet2!$A$2:$A$1453,Sheet2!$D$2:$D$1453),_xlfn.XLOOKUP(A256,TEXT(Sheet2!$A$2:$A$1453,"0"),Sheet2!$D$2:$D$1453,"")),IF(_xlpm.v="","",IF(_xlpm.v&lt;1,_xlpm.v*100,_xlpm.v)))</f>
        <v>15</v>
      </c>
      <c r="E256" s="2">
        <f t="shared" si="3"/>
        <v>24.4375</v>
      </c>
      <c r="F256" s="2" t="str" cm="1">
        <f t="array" ref="F256">IFERROR(_xlfn.XLOOKUP(A256,Sheet2!$A$2:$A$1453,Sheet2!$F$2:$F$1453),_xlfn.XLOOKUP(A256,TEXT(Sheet2!$A$2:$A$1453,"0"),Sheet2!$F$2:$F$1453,""))</f>
        <v>26-7-2026</v>
      </c>
      <c r="G256" s="2" t="str" cm="1">
        <f t="array" ref="G256">IFERROR(_xlfn.XLOOKUP(A256,Sheet2!$A$2:$A$1453,Sheet2!$G$2:$G$1453),_xlfn.XLOOKUP(A256,TEXT(Sheet2!$A$2:$A$1453,"0"),Sheet2!$G$2:$G$1453,""))</f>
        <v>6-8-2026</v>
      </c>
    </row>
    <row r="257" spans="1:7" x14ac:dyDescent="0.2">
      <c r="A257" s="1">
        <v>20309060109</v>
      </c>
      <c r="B257" t="str" cm="1">
        <f t="array" ref="B257">IFERROR(_xlfn.XLOOKUP(A257,Sheet2!$A$2:$A$1453,Sheet2!$B$2:$B$1453),_xlfn.XLOOKUP(A257,TEXT(Sheet2!$A$2:$A$1453,"0"),Sheet2!$B$2:$B$1453,""))</f>
        <v>AXE DEO SPRAY GOLD TEMPT 150ML  207853</v>
      </c>
      <c r="C257" s="2">
        <v>28.75</v>
      </c>
      <c r="D257" s="2" cm="1">
        <f t="array" ref="D257">_xlfn.LET(_xlpm.v,IFERROR(_xlfn.XLOOKUP(A257,Sheet2!$A$2:$A$1453,Sheet2!$D$2:$D$1453),_xlfn.XLOOKUP(A257,TEXT(Sheet2!$A$2:$A$1453,"0"),Sheet2!$D$2:$D$1453,"")),IF(_xlpm.v="","",IF(_xlpm.v&lt;1,_xlpm.v*100,_xlpm.v)))</f>
        <v>15</v>
      </c>
      <c r="E257" s="2">
        <f t="shared" si="3"/>
        <v>24.4375</v>
      </c>
      <c r="F257" s="2" t="str" cm="1">
        <f t="array" ref="F257">IFERROR(_xlfn.XLOOKUP(A257,Sheet2!$A$2:$A$1453,Sheet2!$F$2:$F$1453),_xlfn.XLOOKUP(A257,TEXT(Sheet2!$A$2:$A$1453,"0"),Sheet2!$F$2:$F$1453,""))</f>
        <v>26-7-2026</v>
      </c>
      <c r="G257" s="2" t="str" cm="1">
        <f t="array" ref="G257">IFERROR(_xlfn.XLOOKUP(A257,Sheet2!$A$2:$A$1453,Sheet2!$G$2:$G$1453),_xlfn.XLOOKUP(A257,TEXT(Sheet2!$A$2:$A$1453,"0"),Sheet2!$G$2:$G$1453,""))</f>
        <v>6-8-2026</v>
      </c>
    </row>
    <row r="258" spans="1:7" x14ac:dyDescent="0.2">
      <c r="A258" s="1">
        <v>20309060107</v>
      </c>
      <c r="B258" t="str" cm="1">
        <f t="array" ref="B258">IFERROR(_xlfn.XLOOKUP(A258,Sheet2!$A$2:$A$1453,Sheet2!$B$2:$B$1453),_xlfn.XLOOKUP(A258,TEXT(Sheet2!$A$2:$A$1453,"0"),Sheet2!$B$2:$B$1453,""))</f>
        <v>AXE DEO AERO DARK TEMPT PLRS 150 ML 209527</v>
      </c>
      <c r="C258" s="2">
        <v>28.75</v>
      </c>
      <c r="D258" s="2" cm="1">
        <f t="array" ref="D258">_xlfn.LET(_xlpm.v,IFERROR(_xlfn.XLOOKUP(A258,Sheet2!$A$2:$A$1453,Sheet2!$D$2:$D$1453),_xlfn.XLOOKUP(A258,TEXT(Sheet2!$A$2:$A$1453,"0"),Sheet2!$D$2:$D$1453,"")),IF(_xlpm.v="","",IF(_xlpm.v&lt;1,_xlpm.v*100,_xlpm.v)))</f>
        <v>15</v>
      </c>
      <c r="E258" s="2">
        <f t="shared" si="3"/>
        <v>24.4375</v>
      </c>
      <c r="F258" s="2" t="str" cm="1">
        <f t="array" ref="F258">IFERROR(_xlfn.XLOOKUP(A258,Sheet2!$A$2:$A$1453,Sheet2!$F$2:$F$1453),_xlfn.XLOOKUP(A258,TEXT(Sheet2!$A$2:$A$1453,"0"),Sheet2!$F$2:$F$1453,""))</f>
        <v>26-7-2026</v>
      </c>
      <c r="G258" s="2" t="str" cm="1">
        <f t="array" ref="G258">IFERROR(_xlfn.XLOOKUP(A258,Sheet2!$A$2:$A$1453,Sheet2!$G$2:$G$1453),_xlfn.XLOOKUP(A258,TEXT(Sheet2!$A$2:$A$1453,"0"),Sheet2!$G$2:$G$1453,""))</f>
        <v>6-8-2026</v>
      </c>
    </row>
    <row r="259" spans="1:7" x14ac:dyDescent="0.2">
      <c r="A259" s="1">
        <v>20620030028</v>
      </c>
      <c r="B259" t="str" cm="1">
        <f t="array" ref="B259">IFERROR(_xlfn.XLOOKUP(A259,Sheet2!$A$2:$A$1453,Sheet2!$B$2:$B$1453),_xlfn.XLOOKUP(A259,TEXT(Sheet2!$A$2:$A$1453,"0"),Sheet2!$B$2:$B$1453,""))</f>
        <v>FINE BABY GREEN NO-6 4X36</v>
      </c>
      <c r="C259" s="2">
        <v>50.6</v>
      </c>
      <c r="D259" s="2" cm="1">
        <f t="array" ref="D259">_xlfn.LET(_xlpm.v,IFERROR(_xlfn.XLOOKUP(A259,Sheet2!$A$2:$A$1453,Sheet2!$D$2:$D$1453),_xlfn.XLOOKUP(A259,TEXT(Sheet2!$A$2:$A$1453,"0"),Sheet2!$D$2:$D$1453,"")),IF(_xlpm.v="","",IF(_xlpm.v&lt;1,_xlpm.v*100,_xlpm.v)))</f>
        <v>20</v>
      </c>
      <c r="E259" s="2">
        <f t="shared" ref="E259:E322" si="4">IF(D259="","",C259*(1-D259/100))</f>
        <v>40.480000000000004</v>
      </c>
      <c r="F259" s="2" t="str" cm="1">
        <f t="array" ref="F259">IFERROR(_xlfn.XLOOKUP(A259,Sheet2!$A$2:$A$1453,Sheet2!$F$2:$F$1453),_xlfn.XLOOKUP(A259,TEXT(Sheet2!$A$2:$A$1453,"0"),Sheet2!$F$2:$F$1453,""))</f>
        <v>26-7-2026</v>
      </c>
      <c r="G259" s="2" t="str" cm="1">
        <f t="array" ref="G259">IFERROR(_xlfn.XLOOKUP(A259,Sheet2!$A$2:$A$1453,Sheet2!$G$2:$G$1453),_xlfn.XLOOKUP(A259,TEXT(Sheet2!$A$2:$A$1453,"0"),Sheet2!$G$2:$G$1453,""))</f>
        <v>6-8-2026</v>
      </c>
    </row>
    <row r="260" spans="1:7" x14ac:dyDescent="0.2">
      <c r="A260" s="1">
        <v>20615010097</v>
      </c>
      <c r="B260" t="str" cm="1">
        <f t="array" ref="B260">IFERROR(_xlfn.XLOOKUP(A260,Sheet2!$A$2:$A$1453,Sheet2!$B$2:$B$1453),_xlfn.XLOOKUP(A260,TEXT(Sheet2!$A$2:$A$1453,"0"),Sheet2!$B$2:$B$1453,""))</f>
        <v>FINE GREEN 5 MAX 3X40</v>
      </c>
      <c r="C260" s="2">
        <v>50.6</v>
      </c>
      <c r="D260" s="2" cm="1">
        <f t="array" ref="D260">_xlfn.LET(_xlpm.v,IFERROR(_xlfn.XLOOKUP(A260,Sheet2!$A$2:$A$1453,Sheet2!$D$2:$D$1453),_xlfn.XLOOKUP(A260,TEXT(Sheet2!$A$2:$A$1453,"0"),Sheet2!$D$2:$D$1453,"")),IF(_xlpm.v="","",IF(_xlpm.v&lt;1,_xlpm.v*100,_xlpm.v)))</f>
        <v>20</v>
      </c>
      <c r="E260" s="2">
        <f t="shared" si="4"/>
        <v>40.480000000000004</v>
      </c>
      <c r="F260" s="2" t="str" cm="1">
        <f t="array" ref="F260">IFERROR(_xlfn.XLOOKUP(A260,Sheet2!$A$2:$A$1453,Sheet2!$F$2:$F$1453),_xlfn.XLOOKUP(A260,TEXT(Sheet2!$A$2:$A$1453,"0"),Sheet2!$F$2:$F$1453,""))</f>
        <v>26-7-2026</v>
      </c>
      <c r="G260" s="2" t="str" cm="1">
        <f t="array" ref="G260">IFERROR(_xlfn.XLOOKUP(A260,Sheet2!$A$2:$A$1453,Sheet2!$G$2:$G$1453),_xlfn.XLOOKUP(A260,TEXT(Sheet2!$A$2:$A$1453,"0"),Sheet2!$G$2:$G$1453,""))</f>
        <v>6-8-2026</v>
      </c>
    </row>
    <row r="261" spans="1:7" x14ac:dyDescent="0.2">
      <c r="A261" s="1">
        <v>20615010096</v>
      </c>
      <c r="B261" t="str" cm="1">
        <f t="array" ref="B261">IFERROR(_xlfn.XLOOKUP(A261,Sheet2!$A$2:$A$1453,Sheet2!$B$2:$B$1453),_xlfn.XLOOKUP(A261,TEXT(Sheet2!$A$2:$A$1453,"0"),Sheet2!$B$2:$B$1453,""))</f>
        <v>FINE GREEN 3 MED 3X52</v>
      </c>
      <c r="C261" s="2">
        <v>50.6</v>
      </c>
      <c r="D261" s="2" cm="1">
        <f t="array" ref="D261">_xlfn.LET(_xlpm.v,IFERROR(_xlfn.XLOOKUP(A261,Sheet2!$A$2:$A$1453,Sheet2!$D$2:$D$1453),_xlfn.XLOOKUP(A261,TEXT(Sheet2!$A$2:$A$1453,"0"),Sheet2!$D$2:$D$1453,"")),IF(_xlpm.v="","",IF(_xlpm.v&lt;1,_xlpm.v*100,_xlpm.v)))</f>
        <v>20</v>
      </c>
      <c r="E261" s="2">
        <f t="shared" si="4"/>
        <v>40.480000000000004</v>
      </c>
      <c r="F261" s="2" t="str" cm="1">
        <f t="array" ref="F261">IFERROR(_xlfn.XLOOKUP(A261,Sheet2!$A$2:$A$1453,Sheet2!$F$2:$F$1453),_xlfn.XLOOKUP(A261,TEXT(Sheet2!$A$2:$A$1453,"0"),Sheet2!$F$2:$F$1453,""))</f>
        <v>26-7-2026</v>
      </c>
      <c r="G261" s="2" t="str" cm="1">
        <f t="array" ref="G261">IFERROR(_xlfn.XLOOKUP(A261,Sheet2!$A$2:$A$1453,Sheet2!$G$2:$G$1453),_xlfn.XLOOKUP(A261,TEXT(Sheet2!$A$2:$A$1453,"0"),Sheet2!$G$2:$G$1453,""))</f>
        <v>6-8-2026</v>
      </c>
    </row>
    <row r="262" spans="1:7" x14ac:dyDescent="0.2">
      <c r="A262" s="1">
        <v>20615010095</v>
      </c>
      <c r="B262" t="str" cm="1">
        <f t="array" ref="B262">IFERROR(_xlfn.XLOOKUP(A262,Sheet2!$A$2:$A$1453,Sheet2!$B$2:$B$1453),_xlfn.XLOOKUP(A262,TEXT(Sheet2!$A$2:$A$1453,"0"),Sheet2!$B$2:$B$1453,""))</f>
        <v>FINE GREEN 3 MED 2X68</v>
      </c>
      <c r="C262" s="2">
        <v>73.599999999999994</v>
      </c>
      <c r="D262" s="2" cm="1">
        <f t="array" ref="D262">_xlfn.LET(_xlpm.v,IFERROR(_xlfn.XLOOKUP(A262,Sheet2!$A$2:$A$1453,Sheet2!$D$2:$D$1453),_xlfn.XLOOKUP(A262,TEXT(Sheet2!$A$2:$A$1453,"0"),Sheet2!$D$2:$D$1453,"")),IF(_xlpm.v="","",IF(_xlpm.v&lt;1,_xlpm.v*100,_xlpm.v)))</f>
        <v>20</v>
      </c>
      <c r="E262" s="2">
        <f t="shared" si="4"/>
        <v>58.879999999999995</v>
      </c>
      <c r="F262" s="2" t="str" cm="1">
        <f t="array" ref="F262">IFERROR(_xlfn.XLOOKUP(A262,Sheet2!$A$2:$A$1453,Sheet2!$F$2:$F$1453),_xlfn.XLOOKUP(A262,TEXT(Sheet2!$A$2:$A$1453,"0"),Sheet2!$F$2:$F$1453,""))</f>
        <v>26-7-2026</v>
      </c>
      <c r="G262" s="2" t="str" cm="1">
        <f t="array" ref="G262">IFERROR(_xlfn.XLOOKUP(A262,Sheet2!$A$2:$A$1453,Sheet2!$G$2:$G$1453),_xlfn.XLOOKUP(A262,TEXT(Sheet2!$A$2:$A$1453,"0"),Sheet2!$G$2:$G$1453,""))</f>
        <v>6-8-2026</v>
      </c>
    </row>
    <row r="263" spans="1:7" x14ac:dyDescent="0.2">
      <c r="A263" s="1">
        <v>20615010093</v>
      </c>
      <c r="B263" t="str" cm="1">
        <f t="array" ref="B263">IFERROR(_xlfn.XLOOKUP(A263,Sheet2!$A$2:$A$1453,Sheet2!$B$2:$B$1453),_xlfn.XLOOKUP(A263,TEXT(Sheet2!$A$2:$A$1453,"0"),Sheet2!$B$2:$B$1453,""))</f>
        <v>FINE GREEN 4 LRG 3X48</v>
      </c>
      <c r="C263" s="2">
        <v>50.6</v>
      </c>
      <c r="D263" s="2" cm="1">
        <f t="array" ref="D263">_xlfn.LET(_xlpm.v,IFERROR(_xlfn.XLOOKUP(A263,Sheet2!$A$2:$A$1453,Sheet2!$D$2:$D$1453),_xlfn.XLOOKUP(A263,TEXT(Sheet2!$A$2:$A$1453,"0"),Sheet2!$D$2:$D$1453,"")),IF(_xlpm.v="","",IF(_xlpm.v&lt;1,_xlpm.v*100,_xlpm.v)))</f>
        <v>20</v>
      </c>
      <c r="E263" s="2">
        <f t="shared" si="4"/>
        <v>40.480000000000004</v>
      </c>
      <c r="F263" s="2" t="str" cm="1">
        <f t="array" ref="F263">IFERROR(_xlfn.XLOOKUP(A263,Sheet2!$A$2:$A$1453,Sheet2!$F$2:$F$1453),_xlfn.XLOOKUP(A263,TEXT(Sheet2!$A$2:$A$1453,"0"),Sheet2!$F$2:$F$1453,""))</f>
        <v>26-7-2026</v>
      </c>
      <c r="G263" s="2" t="str" cm="1">
        <f t="array" ref="G263">IFERROR(_xlfn.XLOOKUP(A263,Sheet2!$A$2:$A$1453,Sheet2!$G$2:$G$1453),_xlfn.XLOOKUP(A263,TEXT(Sheet2!$A$2:$A$1453,"0"),Sheet2!$G$2:$G$1453,""))</f>
        <v>6-8-2026</v>
      </c>
    </row>
    <row r="264" spans="1:7" x14ac:dyDescent="0.2">
      <c r="A264" s="1">
        <v>20620030026</v>
      </c>
      <c r="B264" t="str" cm="1">
        <f t="array" ref="B264">IFERROR(_xlfn.XLOOKUP(A264,Sheet2!$A$2:$A$1453,Sheet2!$B$2:$B$1453),_xlfn.XLOOKUP(A264,TEXT(Sheet2!$A$2:$A$1453,"0"),Sheet2!$B$2:$B$1453,""))</f>
        <v>FINE CARE LARG 4X18</v>
      </c>
      <c r="C264" s="2">
        <v>69</v>
      </c>
      <c r="D264" s="2" cm="1">
        <f t="array" ref="D264">_xlfn.LET(_xlpm.v,IFERROR(_xlfn.XLOOKUP(A264,Sheet2!$A$2:$A$1453,Sheet2!$D$2:$D$1453),_xlfn.XLOOKUP(A264,TEXT(Sheet2!$A$2:$A$1453,"0"),Sheet2!$D$2:$D$1453,"")),IF(_xlpm.v="","",IF(_xlpm.v&lt;1,_xlpm.v*100,_xlpm.v)))</f>
        <v>20</v>
      </c>
      <c r="E264" s="2">
        <f t="shared" si="4"/>
        <v>55.2</v>
      </c>
      <c r="F264" s="2" t="str" cm="1">
        <f t="array" ref="F264">IFERROR(_xlfn.XLOOKUP(A264,Sheet2!$A$2:$A$1453,Sheet2!$F$2:$F$1453),_xlfn.XLOOKUP(A264,TEXT(Sheet2!$A$2:$A$1453,"0"),Sheet2!$F$2:$F$1453,""))</f>
        <v>26-7-2026</v>
      </c>
      <c r="G264" s="2" t="str" cm="1">
        <f t="array" ref="G264">IFERROR(_xlfn.XLOOKUP(A264,Sheet2!$A$2:$A$1453,Sheet2!$G$2:$G$1453),_xlfn.XLOOKUP(A264,TEXT(Sheet2!$A$2:$A$1453,"0"),Sheet2!$G$2:$G$1453,""))</f>
        <v>6-8-2026</v>
      </c>
    </row>
    <row r="265" spans="1:7" x14ac:dyDescent="0.2">
      <c r="A265" s="1">
        <v>20309500148</v>
      </c>
      <c r="B265" t="str" cm="1">
        <f t="array" ref="B265">IFERROR(_xlfn.XLOOKUP(A265,Sheet2!$A$2:$A$1453,Sheet2!$B$2:$B$1453),_xlfn.XLOOKUP(A265,TEXT(Sheet2!$A$2:$A$1453,"0"),Sheet2!$B$2:$B$1453,""))</f>
        <v>VICTORIA BODY MIST SENSUA</v>
      </c>
      <c r="C265" s="2">
        <v>34.5</v>
      </c>
      <c r="D265" s="2" cm="1">
        <f t="array" ref="D265">_xlfn.LET(_xlpm.v,IFERROR(_xlfn.XLOOKUP(A265,Sheet2!$A$2:$A$1453,Sheet2!$D$2:$D$1453),_xlfn.XLOOKUP(A265,TEXT(Sheet2!$A$2:$A$1453,"0"),Sheet2!$D$2:$D$1453,"")),IF(_xlpm.v="","",IF(_xlpm.v&lt;1,_xlpm.v*100,_xlpm.v)))</f>
        <v>15</v>
      </c>
      <c r="E265" s="2">
        <f t="shared" si="4"/>
        <v>29.324999999999999</v>
      </c>
      <c r="F265" s="2" t="str" cm="1">
        <f t="array" ref="F265">IFERROR(_xlfn.XLOOKUP(A265,Sheet2!$A$2:$A$1453,Sheet2!$F$2:$F$1453),_xlfn.XLOOKUP(A265,TEXT(Sheet2!$A$2:$A$1453,"0"),Sheet2!$F$2:$F$1453,""))</f>
        <v>26-7-2026</v>
      </c>
      <c r="G265" s="2" t="str" cm="1">
        <f t="array" ref="G265">IFERROR(_xlfn.XLOOKUP(A265,Sheet2!$A$2:$A$1453,Sheet2!$G$2:$G$1453),_xlfn.XLOOKUP(A265,TEXT(Sheet2!$A$2:$A$1453,"0"),Sheet2!$G$2:$G$1453,""))</f>
        <v>6-8-2026</v>
      </c>
    </row>
    <row r="266" spans="1:7" x14ac:dyDescent="0.2">
      <c r="A266" s="1">
        <v>20309020135</v>
      </c>
      <c r="B266" t="str" cm="1">
        <f t="array" ref="B266">IFERROR(_xlfn.XLOOKUP(A266,Sheet2!$A$2:$A$1453,Sheet2!$B$2:$B$1453),_xlfn.XLOOKUP(A266,TEXT(Sheet2!$A$2:$A$1453,"0"),Sheet2!$B$2:$B$1453,""))</f>
        <v>VICTORIA-BODYMIST-RESSBE</v>
      </c>
      <c r="C266" s="2">
        <v>34.5</v>
      </c>
      <c r="D266" s="2" cm="1">
        <f t="array" ref="D266">_xlfn.LET(_xlpm.v,IFERROR(_xlfn.XLOOKUP(A266,Sheet2!$A$2:$A$1453,Sheet2!$D$2:$D$1453),_xlfn.XLOOKUP(A266,TEXT(Sheet2!$A$2:$A$1453,"0"),Sheet2!$D$2:$D$1453,"")),IF(_xlpm.v="","",IF(_xlpm.v&lt;1,_xlpm.v*100,_xlpm.v)))</f>
        <v>15</v>
      </c>
      <c r="E266" s="2">
        <f t="shared" si="4"/>
        <v>29.324999999999999</v>
      </c>
      <c r="F266" s="2" t="str" cm="1">
        <f t="array" ref="F266">IFERROR(_xlfn.XLOOKUP(A266,Sheet2!$A$2:$A$1453,Sheet2!$F$2:$F$1453),_xlfn.XLOOKUP(A266,TEXT(Sheet2!$A$2:$A$1453,"0"),Sheet2!$F$2:$F$1453,""))</f>
        <v>26-7-2026</v>
      </c>
      <c r="G266" s="2" t="str" cm="1">
        <f t="array" ref="G266">IFERROR(_xlfn.XLOOKUP(A266,Sheet2!$A$2:$A$1453,Sheet2!$G$2:$G$1453),_xlfn.XLOOKUP(A266,TEXT(Sheet2!$A$2:$A$1453,"0"),Sheet2!$G$2:$G$1453,""))</f>
        <v>6-8-2026</v>
      </c>
    </row>
    <row r="267" spans="1:7" x14ac:dyDescent="0.2">
      <c r="A267" s="1">
        <v>20309020134</v>
      </c>
      <c r="B267" t="str" cm="1">
        <f t="array" ref="B267">IFERROR(_xlfn.XLOOKUP(A267,Sheet2!$A$2:$A$1453,Sheet2!$B$2:$B$1453),_xlfn.XLOOKUP(A267,TEXT(Sheet2!$A$2:$A$1453,"0"),Sheet2!$B$2:$B$1453,""))</f>
        <v>VICTORIA-BODYMIST-LOVE S</v>
      </c>
      <c r="C267" s="2">
        <v>34.5</v>
      </c>
      <c r="D267" s="2" cm="1">
        <f t="array" ref="D267">_xlfn.LET(_xlpm.v,IFERROR(_xlfn.XLOOKUP(A267,Sheet2!$A$2:$A$1453,Sheet2!$D$2:$D$1453),_xlfn.XLOOKUP(A267,TEXT(Sheet2!$A$2:$A$1453,"0"),Sheet2!$D$2:$D$1453,"")),IF(_xlpm.v="","",IF(_xlpm.v&lt;1,_xlpm.v*100,_xlpm.v)))</f>
        <v>15</v>
      </c>
      <c r="E267" s="2">
        <f t="shared" si="4"/>
        <v>29.324999999999999</v>
      </c>
      <c r="F267" s="2" t="str" cm="1">
        <f t="array" ref="F267">IFERROR(_xlfn.XLOOKUP(A267,Sheet2!$A$2:$A$1453,Sheet2!$F$2:$F$1453),_xlfn.XLOOKUP(A267,TEXT(Sheet2!$A$2:$A$1453,"0"),Sheet2!$F$2:$F$1453,""))</f>
        <v>26-7-2026</v>
      </c>
      <c r="G267" s="2" t="str" cm="1">
        <f t="array" ref="G267">IFERROR(_xlfn.XLOOKUP(A267,Sheet2!$A$2:$A$1453,Sheet2!$G$2:$G$1453),_xlfn.XLOOKUP(A267,TEXT(Sheet2!$A$2:$A$1453,"0"),Sheet2!$G$2:$G$1453,""))</f>
        <v>6-8-2026</v>
      </c>
    </row>
    <row r="268" spans="1:7" x14ac:dyDescent="0.2">
      <c r="A268" s="1">
        <v>20309020133</v>
      </c>
      <c r="B268" t="str" cm="1">
        <f t="array" ref="B268">IFERROR(_xlfn.XLOOKUP(A268,Sheet2!$A$2:$A$1453,Sheet2!$B$2:$B$1453),_xlfn.XLOOKUP(A268,TEXT(Sheet2!$A$2:$A$1453,"0"),Sheet2!$B$2:$B$1453,""))</f>
        <v>VICTORIA-BODYMIST-LOTUS</v>
      </c>
      <c r="C268" s="2">
        <v>34.5</v>
      </c>
      <c r="D268" s="2" cm="1">
        <f t="array" ref="D268">_xlfn.LET(_xlpm.v,IFERROR(_xlfn.XLOOKUP(A268,Sheet2!$A$2:$A$1453,Sheet2!$D$2:$D$1453),_xlfn.XLOOKUP(A268,TEXT(Sheet2!$A$2:$A$1453,"0"),Sheet2!$D$2:$D$1453,"")),IF(_xlpm.v="","",IF(_xlpm.v&lt;1,_xlpm.v*100,_xlpm.v)))</f>
        <v>15</v>
      </c>
      <c r="E268" s="2">
        <f t="shared" si="4"/>
        <v>29.324999999999999</v>
      </c>
      <c r="F268" s="2" t="str" cm="1">
        <f t="array" ref="F268">IFERROR(_xlfn.XLOOKUP(A268,Sheet2!$A$2:$A$1453,Sheet2!$F$2:$F$1453),_xlfn.XLOOKUP(A268,TEXT(Sheet2!$A$2:$A$1453,"0"),Sheet2!$F$2:$F$1453,""))</f>
        <v>26-7-2026</v>
      </c>
      <c r="G268" s="2" t="str" cm="1">
        <f t="array" ref="G268">IFERROR(_xlfn.XLOOKUP(A268,Sheet2!$A$2:$A$1453,Sheet2!$G$2:$G$1453),_xlfn.XLOOKUP(A268,TEXT(Sheet2!$A$2:$A$1453,"0"),Sheet2!$G$2:$G$1453,""))</f>
        <v>6-8-2026</v>
      </c>
    </row>
    <row r="269" spans="1:7" x14ac:dyDescent="0.2">
      <c r="A269" s="1">
        <v>20309030551</v>
      </c>
      <c r="B269" t="str" cm="1">
        <f t="array" ref="B269">IFERROR(_xlfn.XLOOKUP(A269,Sheet2!$A$2:$A$1453,Sheet2!$B$2:$B$1453),_xlfn.XLOOKUP(A269,TEXT(Sheet2!$A$2:$A$1453,"0"),Sheet2!$B$2:$B$1453,""))</f>
        <v>JERGENS SMOOTHING OUD 40</v>
      </c>
      <c r="C269" s="2">
        <v>24.97</v>
      </c>
      <c r="D269" s="2" cm="1">
        <f t="array" ref="D269">_xlfn.LET(_xlpm.v,IFERROR(_xlfn.XLOOKUP(A269,Sheet2!$A$2:$A$1453,Sheet2!$D$2:$D$1453),_xlfn.XLOOKUP(A269,TEXT(Sheet2!$A$2:$A$1453,"0"),Sheet2!$D$2:$D$1453,"")),IF(_xlpm.v="","",IF(_xlpm.v&lt;1,_xlpm.v*100,_xlpm.v)))</f>
        <v>15</v>
      </c>
      <c r="E269" s="2">
        <f t="shared" si="4"/>
        <v>21.224499999999999</v>
      </c>
      <c r="F269" s="2" t="str" cm="1">
        <f t="array" ref="F269">IFERROR(_xlfn.XLOOKUP(A269,Sheet2!$A$2:$A$1453,Sheet2!$F$2:$F$1453),_xlfn.XLOOKUP(A269,TEXT(Sheet2!$A$2:$A$1453,"0"),Sheet2!$F$2:$F$1453,""))</f>
        <v>26-7-2026</v>
      </c>
      <c r="G269" s="2" t="str" cm="1">
        <f t="array" ref="G269">IFERROR(_xlfn.XLOOKUP(A269,Sheet2!$A$2:$A$1453,Sheet2!$G$2:$G$1453),_xlfn.XLOOKUP(A269,TEXT(Sheet2!$A$2:$A$1453,"0"),Sheet2!$G$2:$G$1453,""))</f>
        <v>6-8-2026</v>
      </c>
    </row>
    <row r="270" spans="1:7" x14ac:dyDescent="0.2">
      <c r="A270" s="1">
        <v>20309030542</v>
      </c>
      <c r="B270" t="str" cm="1">
        <f t="array" ref="B270">IFERROR(_xlfn.XLOOKUP(A270,Sheet2!$A$2:$A$1453,Sheet2!$B$2:$B$1453),_xlfn.XLOOKUP(A270,TEXT(Sheet2!$A$2:$A$1453,"0"),Sheet2!$B$2:$B$1453,""))</f>
        <v>JERGENS LOT MUSK 200ML 208</v>
      </c>
      <c r="C270" s="2">
        <v>14.88</v>
      </c>
      <c r="D270" s="2" cm="1">
        <f t="array" ref="D270">_xlfn.LET(_xlpm.v,IFERROR(_xlfn.XLOOKUP(A270,Sheet2!$A$2:$A$1453,Sheet2!$D$2:$D$1453),_xlfn.XLOOKUP(A270,TEXT(Sheet2!$A$2:$A$1453,"0"),Sheet2!$D$2:$D$1453,"")),IF(_xlpm.v="","",IF(_xlpm.v&lt;1,_xlpm.v*100,_xlpm.v)))</f>
        <v>15</v>
      </c>
      <c r="E270" s="2">
        <f t="shared" si="4"/>
        <v>12.648</v>
      </c>
      <c r="F270" s="2" t="str" cm="1">
        <f t="array" ref="F270">IFERROR(_xlfn.XLOOKUP(A270,Sheet2!$A$2:$A$1453,Sheet2!$F$2:$F$1453),_xlfn.XLOOKUP(A270,TEXT(Sheet2!$A$2:$A$1453,"0"),Sheet2!$F$2:$F$1453,""))</f>
        <v>26-7-2026</v>
      </c>
      <c r="G270" s="2" t="str" cm="1">
        <f t="array" ref="G270">IFERROR(_xlfn.XLOOKUP(A270,Sheet2!$A$2:$A$1453,Sheet2!$G$2:$G$1453),_xlfn.XLOOKUP(A270,TEXT(Sheet2!$A$2:$A$1453,"0"),Sheet2!$G$2:$G$1453,""))</f>
        <v>6-8-2026</v>
      </c>
    </row>
    <row r="271" spans="1:7" x14ac:dyDescent="0.2">
      <c r="A271" s="1">
        <v>20309020911</v>
      </c>
      <c r="B271" t="str" cm="1">
        <f t="array" ref="B271">IFERROR(_xlfn.XLOOKUP(A271,Sheet2!$A$2:$A$1453,Sheet2!$B$2:$B$1453),_xlfn.XLOOKUP(A271,TEXT(Sheet2!$A$2:$A$1453,"0"),Sheet2!$B$2:$B$1453,""))</f>
        <v>JERGENS ULTRA HEALING BOD</v>
      </c>
      <c r="C271" s="2">
        <v>14.88</v>
      </c>
      <c r="D271" s="2" cm="1">
        <f t="array" ref="D271">_xlfn.LET(_xlpm.v,IFERROR(_xlfn.XLOOKUP(A271,Sheet2!$A$2:$A$1453,Sheet2!$D$2:$D$1453),_xlfn.XLOOKUP(A271,TEXT(Sheet2!$A$2:$A$1453,"0"),Sheet2!$D$2:$D$1453,"")),IF(_xlpm.v="","",IF(_xlpm.v&lt;1,_xlpm.v*100,_xlpm.v)))</f>
        <v>15</v>
      </c>
      <c r="E271" s="2">
        <f t="shared" si="4"/>
        <v>12.648</v>
      </c>
      <c r="F271" s="2" t="str" cm="1">
        <f t="array" ref="F271">IFERROR(_xlfn.XLOOKUP(A271,Sheet2!$A$2:$A$1453,Sheet2!$F$2:$F$1453),_xlfn.XLOOKUP(A271,TEXT(Sheet2!$A$2:$A$1453,"0"),Sheet2!$F$2:$F$1453,""))</f>
        <v>26-7-2026</v>
      </c>
      <c r="G271" s="2" t="str" cm="1">
        <f t="array" ref="G271">IFERROR(_xlfn.XLOOKUP(A271,Sheet2!$A$2:$A$1453,Sheet2!$G$2:$G$1453),_xlfn.XLOOKUP(A271,TEXT(Sheet2!$A$2:$A$1453,"0"),Sheet2!$G$2:$G$1453,""))</f>
        <v>6-8-2026</v>
      </c>
    </row>
    <row r="272" spans="1:7" x14ac:dyDescent="0.2">
      <c r="A272" s="1">
        <v>20309020530</v>
      </c>
      <c r="B272" t="str" cm="1">
        <f t="array" ref="B272">IFERROR(_xlfn.XLOOKUP(A272,Sheet2!$A$2:$A$1453,Sheet2!$B$2:$B$1453),_xlfn.XLOOKUP(A272,TEXT(Sheet2!$A$2:$A$1453,"0"),Sheet2!$B$2:$B$1453,""))</f>
        <v>JERGENS LOT ORIGNAL SCEN</v>
      </c>
      <c r="C272" s="2">
        <v>32.409999999999997</v>
      </c>
      <c r="D272" s="2" cm="1">
        <f t="array" ref="D272">_xlfn.LET(_xlpm.v,IFERROR(_xlfn.XLOOKUP(A272,Sheet2!$A$2:$A$1453,Sheet2!$D$2:$D$1453),_xlfn.XLOOKUP(A272,TEXT(Sheet2!$A$2:$A$1453,"0"),Sheet2!$D$2:$D$1453,"")),IF(_xlpm.v="","",IF(_xlpm.v&lt;1,_xlpm.v*100,_xlpm.v)))</f>
        <v>15</v>
      </c>
      <c r="E272" s="2">
        <f t="shared" si="4"/>
        <v>27.548499999999997</v>
      </c>
      <c r="F272" s="2" t="str" cm="1">
        <f t="array" ref="F272">IFERROR(_xlfn.XLOOKUP(A272,Sheet2!$A$2:$A$1453,Sheet2!$F$2:$F$1453),_xlfn.XLOOKUP(A272,TEXT(Sheet2!$A$2:$A$1453,"0"),Sheet2!$F$2:$F$1453,""))</f>
        <v>26-7-2026</v>
      </c>
      <c r="G272" s="2" t="str" cm="1">
        <f t="array" ref="G272">IFERROR(_xlfn.XLOOKUP(A272,Sheet2!$A$2:$A$1453,Sheet2!$G$2:$G$1453),_xlfn.XLOOKUP(A272,TEXT(Sheet2!$A$2:$A$1453,"0"),Sheet2!$G$2:$G$1453,""))</f>
        <v>6-8-2026</v>
      </c>
    </row>
    <row r="273" spans="1:7" x14ac:dyDescent="0.2">
      <c r="A273" s="1">
        <v>20309020529</v>
      </c>
      <c r="B273" t="str" cm="1">
        <f t="array" ref="B273">IFERROR(_xlfn.XLOOKUP(A273,Sheet2!$A$2:$A$1453,Sheet2!$B$2:$B$1453),_xlfn.XLOOKUP(A273,TEXT(Sheet2!$A$2:$A$1453,"0"),Sheet2!$B$2:$B$1453,""))</f>
        <v>JERGENS LOT SOFTENING MU</v>
      </c>
      <c r="C273" s="2">
        <v>32.409999999999997</v>
      </c>
      <c r="D273" s="2" cm="1">
        <f t="array" ref="D273">_xlfn.LET(_xlpm.v,IFERROR(_xlfn.XLOOKUP(A273,Sheet2!$A$2:$A$1453,Sheet2!$D$2:$D$1453),_xlfn.XLOOKUP(A273,TEXT(Sheet2!$A$2:$A$1453,"0"),Sheet2!$D$2:$D$1453,"")),IF(_xlpm.v="","",IF(_xlpm.v&lt;1,_xlpm.v*100,_xlpm.v)))</f>
        <v>15</v>
      </c>
      <c r="E273" s="2">
        <f t="shared" si="4"/>
        <v>27.548499999999997</v>
      </c>
      <c r="F273" s="2" t="str" cm="1">
        <f t="array" ref="F273">IFERROR(_xlfn.XLOOKUP(A273,Sheet2!$A$2:$A$1453,Sheet2!$F$2:$F$1453),_xlfn.XLOOKUP(A273,TEXT(Sheet2!$A$2:$A$1453,"0"),Sheet2!$F$2:$F$1453,""))</f>
        <v>26-7-2026</v>
      </c>
      <c r="G273" s="2" t="str" cm="1">
        <f t="array" ref="G273">IFERROR(_xlfn.XLOOKUP(A273,Sheet2!$A$2:$A$1453,Sheet2!$G$2:$G$1453),_xlfn.XLOOKUP(A273,TEXT(Sheet2!$A$2:$A$1453,"0"),Sheet2!$G$2:$G$1453,""))</f>
        <v>6-8-2026</v>
      </c>
    </row>
    <row r="274" spans="1:7" x14ac:dyDescent="0.2">
      <c r="A274" s="1">
        <v>20309020493</v>
      </c>
      <c r="B274" t="str" cm="1">
        <f t="array" ref="B274">IFERROR(_xlfn.XLOOKUP(A274,Sheet2!$A$2:$A$1453,Sheet2!$B$2:$B$1453),_xlfn.XLOOKUP(A274,TEXT(Sheet2!$A$2:$A$1453,"0"),Sheet2!$B$2:$B$1453,""))</f>
        <v>JERGENS BODY LOTION SKIN</v>
      </c>
      <c r="C274" s="2">
        <v>24.97</v>
      </c>
      <c r="D274" s="2" cm="1">
        <f t="array" ref="D274">_xlfn.LET(_xlpm.v,IFERROR(_xlfn.XLOOKUP(A274,Sheet2!$A$2:$A$1453,Sheet2!$D$2:$D$1453),_xlfn.XLOOKUP(A274,TEXT(Sheet2!$A$2:$A$1453,"0"),Sheet2!$D$2:$D$1453,"")),IF(_xlpm.v="","",IF(_xlpm.v&lt;1,_xlpm.v*100,_xlpm.v)))</f>
        <v>15</v>
      </c>
      <c r="E274" s="2">
        <f t="shared" si="4"/>
        <v>21.224499999999999</v>
      </c>
      <c r="F274" s="2" t="str" cm="1">
        <f t="array" ref="F274">IFERROR(_xlfn.XLOOKUP(A274,Sheet2!$A$2:$A$1453,Sheet2!$F$2:$F$1453),_xlfn.XLOOKUP(A274,TEXT(Sheet2!$A$2:$A$1453,"0"),Sheet2!$F$2:$F$1453,""))</f>
        <v>26-7-2026</v>
      </c>
      <c r="G274" s="2" t="str" cm="1">
        <f t="array" ref="G274">IFERROR(_xlfn.XLOOKUP(A274,Sheet2!$A$2:$A$1453,Sheet2!$G$2:$G$1453),_xlfn.XLOOKUP(A274,TEXT(Sheet2!$A$2:$A$1453,"0"),Sheet2!$G$2:$G$1453,""))</f>
        <v>6-8-2026</v>
      </c>
    </row>
    <row r="275" spans="1:7" x14ac:dyDescent="0.2">
      <c r="A275" s="1">
        <v>20309020492</v>
      </c>
      <c r="B275" t="str" cm="1">
        <f t="array" ref="B275">IFERROR(_xlfn.XLOOKUP(A275,Sheet2!$A$2:$A$1453,Sheet2!$B$2:$B$1453),_xlfn.XLOOKUP(A275,TEXT(Sheet2!$A$2:$A$1453,"0"),Sheet2!$B$2:$B$1453,""))</f>
        <v>JERGENS LOT ULTRA HEALING</v>
      </c>
      <c r="C275" s="2">
        <v>24.97</v>
      </c>
      <c r="D275" s="2" cm="1">
        <f t="array" ref="D275">_xlfn.LET(_xlpm.v,IFERROR(_xlfn.XLOOKUP(A275,Sheet2!$A$2:$A$1453,Sheet2!$D$2:$D$1453),_xlfn.XLOOKUP(A275,TEXT(Sheet2!$A$2:$A$1453,"0"),Sheet2!$D$2:$D$1453,"")),IF(_xlpm.v="","",IF(_xlpm.v&lt;1,_xlpm.v*100,_xlpm.v)))</f>
        <v>15</v>
      </c>
      <c r="E275" s="2">
        <f t="shared" si="4"/>
        <v>21.224499999999999</v>
      </c>
      <c r="F275" s="2" t="str" cm="1">
        <f t="array" ref="F275">IFERROR(_xlfn.XLOOKUP(A275,Sheet2!$A$2:$A$1453,Sheet2!$F$2:$F$1453),_xlfn.XLOOKUP(A275,TEXT(Sheet2!$A$2:$A$1453,"0"),Sheet2!$F$2:$F$1453,""))</f>
        <v>26-7-2026</v>
      </c>
      <c r="G275" s="2" t="str" cm="1">
        <f t="array" ref="G275">IFERROR(_xlfn.XLOOKUP(A275,Sheet2!$A$2:$A$1453,Sheet2!$G$2:$G$1453),_xlfn.XLOOKUP(A275,TEXT(Sheet2!$A$2:$A$1453,"0"),Sheet2!$G$2:$G$1453,""))</f>
        <v>6-8-2026</v>
      </c>
    </row>
    <row r="276" spans="1:7" x14ac:dyDescent="0.2">
      <c r="A276" s="1">
        <v>20309020490</v>
      </c>
      <c r="B276" t="str" cm="1">
        <f t="array" ref="B276">IFERROR(_xlfn.XLOOKUP(A276,Sheet2!$A$2:$A$1453,Sheet2!$B$2:$B$1453),_xlfn.XLOOKUP(A276,TEXT(Sheet2!$A$2:$A$1453,"0"),Sheet2!$B$2:$B$1453,""))</f>
        <v>JERGENS SOOTHING ALOE LO</v>
      </c>
      <c r="C276" s="2">
        <v>24.97</v>
      </c>
      <c r="D276" s="2" cm="1">
        <f t="array" ref="D276">_xlfn.LET(_xlpm.v,IFERROR(_xlfn.XLOOKUP(A276,Sheet2!$A$2:$A$1453,Sheet2!$D$2:$D$1453),_xlfn.XLOOKUP(A276,TEXT(Sheet2!$A$2:$A$1453,"0"),Sheet2!$D$2:$D$1453,"")),IF(_xlpm.v="","",IF(_xlpm.v&lt;1,_xlpm.v*100,_xlpm.v)))</f>
        <v>15</v>
      </c>
      <c r="E276" s="2">
        <f t="shared" si="4"/>
        <v>21.224499999999999</v>
      </c>
      <c r="F276" s="2" t="str" cm="1">
        <f t="array" ref="F276">IFERROR(_xlfn.XLOOKUP(A276,Sheet2!$A$2:$A$1453,Sheet2!$F$2:$F$1453),_xlfn.XLOOKUP(A276,TEXT(Sheet2!$A$2:$A$1453,"0"),Sheet2!$F$2:$F$1453,""))</f>
        <v>26-7-2026</v>
      </c>
      <c r="G276" s="2" t="str" cm="1">
        <f t="array" ref="G276">IFERROR(_xlfn.XLOOKUP(A276,Sheet2!$A$2:$A$1453,Sheet2!$G$2:$G$1453),_xlfn.XLOOKUP(A276,TEXT(Sheet2!$A$2:$A$1453,"0"),Sheet2!$G$2:$G$1453,""))</f>
        <v>6-8-2026</v>
      </c>
    </row>
    <row r="277" spans="1:7" x14ac:dyDescent="0.2">
      <c r="A277" s="1">
        <v>20309020489</v>
      </c>
      <c r="B277" t="str" cm="1">
        <f t="array" ref="B277">IFERROR(_xlfn.XLOOKUP(A277,Sheet2!$A$2:$A$1453,Sheet2!$B$2:$B$1453),_xlfn.XLOOKUP(A277,TEXT(Sheet2!$A$2:$A$1453,"0"),Sheet2!$B$2:$B$1453,""))</f>
        <v>JERGENS LOT SOOTHING ALO</v>
      </c>
      <c r="C277" s="2">
        <v>32.409999999999997</v>
      </c>
      <c r="D277" s="2" cm="1">
        <f t="array" ref="D277">_xlfn.LET(_xlpm.v,IFERROR(_xlfn.XLOOKUP(A277,Sheet2!$A$2:$A$1453,Sheet2!$D$2:$D$1453),_xlfn.XLOOKUP(A277,TEXT(Sheet2!$A$2:$A$1453,"0"),Sheet2!$D$2:$D$1453,"")),IF(_xlpm.v="","",IF(_xlpm.v&lt;1,_xlpm.v*100,_xlpm.v)))</f>
        <v>15</v>
      </c>
      <c r="E277" s="2">
        <f t="shared" si="4"/>
        <v>27.548499999999997</v>
      </c>
      <c r="F277" s="2" t="str" cm="1">
        <f t="array" ref="F277">IFERROR(_xlfn.XLOOKUP(A277,Sheet2!$A$2:$A$1453,Sheet2!$F$2:$F$1453),_xlfn.XLOOKUP(A277,TEXT(Sheet2!$A$2:$A$1453,"0"),Sheet2!$F$2:$F$1453,""))</f>
        <v>26-7-2026</v>
      </c>
      <c r="G277" s="2" t="str" cm="1">
        <f t="array" ref="G277">IFERROR(_xlfn.XLOOKUP(A277,Sheet2!$A$2:$A$1453,Sheet2!$G$2:$G$1453),_xlfn.XLOOKUP(A277,TEXT(Sheet2!$A$2:$A$1453,"0"),Sheet2!$G$2:$G$1453,""))</f>
        <v>6-8-2026</v>
      </c>
    </row>
    <row r="278" spans="1:7" x14ac:dyDescent="0.2">
      <c r="A278" s="1">
        <v>20309020487</v>
      </c>
      <c r="B278" t="str" cm="1">
        <f t="array" ref="B278">IFERROR(_xlfn.XLOOKUP(A278,Sheet2!$A$2:$A$1453,Sheet2!$B$2:$B$1453),_xlfn.XLOOKUP(A278,TEXT(Sheet2!$A$2:$A$1453,"0"),Sheet2!$B$2:$B$1453,""))</f>
        <v>JERGENS SKIN FIRMING BODY</v>
      </c>
      <c r="C278" s="2">
        <v>14.88</v>
      </c>
      <c r="D278" s="2" cm="1">
        <f t="array" ref="D278">_xlfn.LET(_xlpm.v,IFERROR(_xlfn.XLOOKUP(A278,Sheet2!$A$2:$A$1453,Sheet2!$D$2:$D$1453),_xlfn.XLOOKUP(A278,TEXT(Sheet2!$A$2:$A$1453,"0"),Sheet2!$D$2:$D$1453,"")),IF(_xlpm.v="","",IF(_xlpm.v&lt;1,_xlpm.v*100,_xlpm.v)))</f>
        <v>15</v>
      </c>
      <c r="E278" s="2">
        <f t="shared" si="4"/>
        <v>12.648</v>
      </c>
      <c r="F278" s="2" t="str" cm="1">
        <f t="array" ref="F278">IFERROR(_xlfn.XLOOKUP(A278,Sheet2!$A$2:$A$1453,Sheet2!$F$2:$F$1453),_xlfn.XLOOKUP(A278,TEXT(Sheet2!$A$2:$A$1453,"0"),Sheet2!$F$2:$F$1453,""))</f>
        <v>26-7-2026</v>
      </c>
      <c r="G278" s="2" t="str" cm="1">
        <f t="array" ref="G278">IFERROR(_xlfn.XLOOKUP(A278,Sheet2!$A$2:$A$1453,Sheet2!$G$2:$G$1453),_xlfn.XLOOKUP(A278,TEXT(Sheet2!$A$2:$A$1453,"0"),Sheet2!$G$2:$G$1453,""))</f>
        <v>6-8-2026</v>
      </c>
    </row>
    <row r="279" spans="1:7" x14ac:dyDescent="0.2">
      <c r="A279" s="1">
        <v>20309020486</v>
      </c>
      <c r="B279" t="str" cm="1">
        <f t="array" ref="B279">IFERROR(_xlfn.XLOOKUP(A279,Sheet2!$A$2:$A$1453,Sheet2!$B$2:$B$1453),_xlfn.XLOOKUP(A279,TEXT(Sheet2!$A$2:$A$1453,"0"),Sheet2!$B$2:$B$1453,""))</f>
        <v>JERGENS OVERNIGHT REPAIR</v>
      </c>
      <c r="C279" s="2">
        <v>14.88</v>
      </c>
      <c r="D279" s="2" cm="1">
        <f t="array" ref="D279">_xlfn.LET(_xlpm.v,IFERROR(_xlfn.XLOOKUP(A279,Sheet2!$A$2:$A$1453,Sheet2!$D$2:$D$1453),_xlfn.XLOOKUP(A279,TEXT(Sheet2!$A$2:$A$1453,"0"),Sheet2!$D$2:$D$1453,"")),IF(_xlpm.v="","",IF(_xlpm.v&lt;1,_xlpm.v*100,_xlpm.v)))</f>
        <v>15</v>
      </c>
      <c r="E279" s="2">
        <f t="shared" si="4"/>
        <v>12.648</v>
      </c>
      <c r="F279" s="2" t="str" cm="1">
        <f t="array" ref="F279">IFERROR(_xlfn.XLOOKUP(A279,Sheet2!$A$2:$A$1453,Sheet2!$F$2:$F$1453),_xlfn.XLOOKUP(A279,TEXT(Sheet2!$A$2:$A$1453,"0"),Sheet2!$F$2:$F$1453,""))</f>
        <v>26-7-2026</v>
      </c>
      <c r="G279" s="2" t="str" cm="1">
        <f t="array" ref="G279">IFERROR(_xlfn.XLOOKUP(A279,Sheet2!$A$2:$A$1453,Sheet2!$G$2:$G$1453),_xlfn.XLOOKUP(A279,TEXT(Sheet2!$A$2:$A$1453,"0"),Sheet2!$G$2:$G$1453,""))</f>
        <v>6-8-2026</v>
      </c>
    </row>
    <row r="280" spans="1:7" x14ac:dyDescent="0.2">
      <c r="A280" s="1">
        <v>20309020485</v>
      </c>
      <c r="B280" t="str" cm="1">
        <f t="array" ref="B280">IFERROR(_xlfn.XLOOKUP(A280,Sheet2!$A$2:$A$1453,Sheet2!$B$2:$B$1453),_xlfn.XLOOKUP(A280,TEXT(Sheet2!$A$2:$A$1453,"0"),Sheet2!$B$2:$B$1453,""))</f>
        <v>JERGENS LOT OVERNIGHT REP</v>
      </c>
      <c r="C280" s="2">
        <v>24.97</v>
      </c>
      <c r="D280" s="2" cm="1">
        <f t="array" ref="D280">_xlfn.LET(_xlpm.v,IFERROR(_xlfn.XLOOKUP(A280,Sheet2!$A$2:$A$1453,Sheet2!$D$2:$D$1453),_xlfn.XLOOKUP(A280,TEXT(Sheet2!$A$2:$A$1453,"0"),Sheet2!$D$2:$D$1453,"")),IF(_xlpm.v="","",IF(_xlpm.v&lt;1,_xlpm.v*100,_xlpm.v)))</f>
        <v>15</v>
      </c>
      <c r="E280" s="2">
        <f t="shared" si="4"/>
        <v>21.224499999999999</v>
      </c>
      <c r="F280" s="2" t="str" cm="1">
        <f t="array" ref="F280">IFERROR(_xlfn.XLOOKUP(A280,Sheet2!$A$2:$A$1453,Sheet2!$F$2:$F$1453),_xlfn.XLOOKUP(A280,TEXT(Sheet2!$A$2:$A$1453,"0"),Sheet2!$F$2:$F$1453,""))</f>
        <v>26-7-2026</v>
      </c>
      <c r="G280" s="2" t="str" cm="1">
        <f t="array" ref="G280">IFERROR(_xlfn.XLOOKUP(A280,Sheet2!$A$2:$A$1453,Sheet2!$G$2:$G$1453),_xlfn.XLOOKUP(A280,TEXT(Sheet2!$A$2:$A$1453,"0"),Sheet2!$G$2:$G$1453,""))</f>
        <v>6-8-2026</v>
      </c>
    </row>
    <row r="281" spans="1:7" x14ac:dyDescent="0.2">
      <c r="A281" s="1">
        <v>20309020483</v>
      </c>
      <c r="B281" t="str" cm="1">
        <f t="array" ref="B281">IFERROR(_xlfn.XLOOKUP(A281,Sheet2!$A$2:$A$1453,Sheet2!$B$2:$B$1453),_xlfn.XLOOKUP(A281,TEXT(Sheet2!$A$2:$A$1453,"0"),Sheet2!$B$2:$B$1453,""))</f>
        <v>JERGENS LOT ORIGINAL SCEN</v>
      </c>
      <c r="C281" s="2">
        <v>24.97</v>
      </c>
      <c r="D281" s="2" cm="1">
        <f t="array" ref="D281">_xlfn.LET(_xlpm.v,IFERROR(_xlfn.XLOOKUP(A281,Sheet2!$A$2:$A$1453,Sheet2!$D$2:$D$1453),_xlfn.XLOOKUP(A281,TEXT(Sheet2!$A$2:$A$1453,"0"),Sheet2!$D$2:$D$1453,"")),IF(_xlpm.v="","",IF(_xlpm.v&lt;1,_xlpm.v*100,_xlpm.v)))</f>
        <v>15</v>
      </c>
      <c r="E281" s="2">
        <f t="shared" si="4"/>
        <v>21.224499999999999</v>
      </c>
      <c r="F281" s="2" t="str" cm="1">
        <f t="array" ref="F281">IFERROR(_xlfn.XLOOKUP(A281,Sheet2!$A$2:$A$1453,Sheet2!$F$2:$F$1453),_xlfn.XLOOKUP(A281,TEXT(Sheet2!$A$2:$A$1453,"0"),Sheet2!$F$2:$F$1453,""))</f>
        <v>26-7-2026</v>
      </c>
      <c r="G281" s="2" t="str" cm="1">
        <f t="array" ref="G281">IFERROR(_xlfn.XLOOKUP(A281,Sheet2!$A$2:$A$1453,Sheet2!$G$2:$G$1453),_xlfn.XLOOKUP(A281,TEXT(Sheet2!$A$2:$A$1453,"0"),Sheet2!$G$2:$G$1453,""))</f>
        <v>6-8-2026</v>
      </c>
    </row>
    <row r="282" spans="1:7" x14ac:dyDescent="0.2">
      <c r="A282" s="1">
        <v>20309020480</v>
      </c>
      <c r="B282" t="str" cm="1">
        <f t="array" ref="B282">IFERROR(_xlfn.XLOOKUP(A282,Sheet2!$A$2:$A$1453,Sheet2!$B$2:$B$1453),_xlfn.XLOOKUP(A282,TEXT(Sheet2!$A$2:$A$1453,"0"),Sheet2!$B$2:$B$1453,""))</f>
        <v>JERGENS LOTION SHEA BUTTE</v>
      </c>
      <c r="C282" s="2">
        <v>14.88</v>
      </c>
      <c r="D282" s="2" cm="1">
        <f t="array" ref="D282">_xlfn.LET(_xlpm.v,IFERROR(_xlfn.XLOOKUP(A282,Sheet2!$A$2:$A$1453,Sheet2!$D$2:$D$1453),_xlfn.XLOOKUP(A282,TEXT(Sheet2!$A$2:$A$1453,"0"),Sheet2!$D$2:$D$1453,"")),IF(_xlpm.v="","",IF(_xlpm.v&lt;1,_xlpm.v*100,_xlpm.v)))</f>
        <v>15</v>
      </c>
      <c r="E282" s="2">
        <f t="shared" si="4"/>
        <v>12.648</v>
      </c>
      <c r="F282" s="2" t="str" cm="1">
        <f t="array" ref="F282">IFERROR(_xlfn.XLOOKUP(A282,Sheet2!$A$2:$A$1453,Sheet2!$F$2:$F$1453),_xlfn.XLOOKUP(A282,TEXT(Sheet2!$A$2:$A$1453,"0"),Sheet2!$F$2:$F$1453,""))</f>
        <v>26-7-2026</v>
      </c>
      <c r="G282" s="2" t="str" cm="1">
        <f t="array" ref="G282">IFERROR(_xlfn.XLOOKUP(A282,Sheet2!$A$2:$A$1453,Sheet2!$G$2:$G$1453),_xlfn.XLOOKUP(A282,TEXT(Sheet2!$A$2:$A$1453,"0"),Sheet2!$G$2:$G$1453,""))</f>
        <v>6-8-2026</v>
      </c>
    </row>
    <row r="283" spans="1:7" x14ac:dyDescent="0.2">
      <c r="A283" s="1">
        <v>20309020479</v>
      </c>
      <c r="B283" t="str" cm="1">
        <f t="array" ref="B283">IFERROR(_xlfn.XLOOKUP(A283,Sheet2!$A$2:$A$1453,Sheet2!$B$2:$B$1453),_xlfn.XLOOKUP(A283,TEXT(Sheet2!$A$2:$A$1453,"0"),Sheet2!$B$2:$B$1453,""))</f>
        <v>JERGENS LOT DAILY MOISTUR</v>
      </c>
      <c r="C283" s="2">
        <v>24.97</v>
      </c>
      <c r="D283" s="2" cm="1">
        <f t="array" ref="D283">_xlfn.LET(_xlpm.v,IFERROR(_xlfn.XLOOKUP(A283,Sheet2!$A$2:$A$1453,Sheet2!$D$2:$D$1453),_xlfn.XLOOKUP(A283,TEXT(Sheet2!$A$2:$A$1453,"0"),Sheet2!$D$2:$D$1453,"")),IF(_xlpm.v="","",IF(_xlpm.v&lt;1,_xlpm.v*100,_xlpm.v)))</f>
        <v>15</v>
      </c>
      <c r="E283" s="2">
        <f t="shared" si="4"/>
        <v>21.224499999999999</v>
      </c>
      <c r="F283" s="2" t="str" cm="1">
        <f t="array" ref="F283">IFERROR(_xlfn.XLOOKUP(A283,Sheet2!$A$2:$A$1453,Sheet2!$F$2:$F$1453),_xlfn.XLOOKUP(A283,TEXT(Sheet2!$A$2:$A$1453,"0"),Sheet2!$F$2:$F$1453,""))</f>
        <v>26-7-2026</v>
      </c>
      <c r="G283" s="2" t="str" cm="1">
        <f t="array" ref="G283">IFERROR(_xlfn.XLOOKUP(A283,Sheet2!$A$2:$A$1453,Sheet2!$G$2:$G$1453),_xlfn.XLOOKUP(A283,TEXT(Sheet2!$A$2:$A$1453,"0"),Sheet2!$G$2:$G$1453,""))</f>
        <v>6-8-2026</v>
      </c>
    </row>
    <row r="284" spans="1:7" x14ac:dyDescent="0.2">
      <c r="A284" s="1">
        <v>20309020478</v>
      </c>
      <c r="B284" t="str" cm="1">
        <f t="array" ref="B284">IFERROR(_xlfn.XLOOKUP(A284,Sheet2!$A$2:$A$1453,Sheet2!$B$2:$B$1453),_xlfn.XLOOKUP(A284,TEXT(Sheet2!$A$2:$A$1453,"0"),Sheet2!$B$2:$B$1453,""))</f>
        <v>JERGENS LOT DAILY MOISTUR</v>
      </c>
      <c r="C284" s="2">
        <v>32.409999999999997</v>
      </c>
      <c r="D284" s="2" cm="1">
        <f t="array" ref="D284">_xlfn.LET(_xlpm.v,IFERROR(_xlfn.XLOOKUP(A284,Sheet2!$A$2:$A$1453,Sheet2!$D$2:$D$1453),_xlfn.XLOOKUP(A284,TEXT(Sheet2!$A$2:$A$1453,"0"),Sheet2!$D$2:$D$1453,"")),IF(_xlpm.v="","",IF(_xlpm.v&lt;1,_xlpm.v*100,_xlpm.v)))</f>
        <v>15</v>
      </c>
      <c r="E284" s="2">
        <f t="shared" si="4"/>
        <v>27.548499999999997</v>
      </c>
      <c r="F284" s="2" t="str" cm="1">
        <f t="array" ref="F284">IFERROR(_xlfn.XLOOKUP(A284,Sheet2!$A$2:$A$1453,Sheet2!$F$2:$F$1453),_xlfn.XLOOKUP(A284,TEXT(Sheet2!$A$2:$A$1453,"0"),Sheet2!$F$2:$F$1453,""))</f>
        <v>26-7-2026</v>
      </c>
      <c r="G284" s="2" t="str" cm="1">
        <f t="array" ref="G284">IFERROR(_xlfn.XLOOKUP(A284,Sheet2!$A$2:$A$1453,Sheet2!$G$2:$G$1453),_xlfn.XLOOKUP(A284,TEXT(Sheet2!$A$2:$A$1453,"0"),Sheet2!$G$2:$G$1453,""))</f>
        <v>6-8-2026</v>
      </c>
    </row>
    <row r="285" spans="1:7" x14ac:dyDescent="0.2">
      <c r="A285" s="1">
        <v>20309020477</v>
      </c>
      <c r="B285" t="str" cm="1">
        <f t="array" ref="B285">IFERROR(_xlfn.XLOOKUP(A285,Sheet2!$A$2:$A$1453,Sheet2!$B$2:$B$1453),_xlfn.XLOOKUP(A285,TEXT(Sheet2!$A$2:$A$1453,"0"),Sheet2!$B$2:$B$1453,""))</f>
        <v>JERGENS LOT DAILY MOISTUR</v>
      </c>
      <c r="C285" s="2">
        <v>14.88</v>
      </c>
      <c r="D285" s="2" cm="1">
        <f t="array" ref="D285">_xlfn.LET(_xlpm.v,IFERROR(_xlfn.XLOOKUP(A285,Sheet2!$A$2:$A$1453,Sheet2!$D$2:$D$1453),_xlfn.XLOOKUP(A285,TEXT(Sheet2!$A$2:$A$1453,"0"),Sheet2!$D$2:$D$1453,"")),IF(_xlpm.v="","",IF(_xlpm.v&lt;1,_xlpm.v*100,_xlpm.v)))</f>
        <v>15</v>
      </c>
      <c r="E285" s="2">
        <f t="shared" si="4"/>
        <v>12.648</v>
      </c>
      <c r="F285" s="2" t="str" cm="1">
        <f t="array" ref="F285">IFERROR(_xlfn.XLOOKUP(A285,Sheet2!$A$2:$A$1453,Sheet2!$F$2:$F$1453),_xlfn.XLOOKUP(A285,TEXT(Sheet2!$A$2:$A$1453,"0"),Sheet2!$F$2:$F$1453,""))</f>
        <v>26-7-2026</v>
      </c>
      <c r="G285" s="2" t="str" cm="1">
        <f t="array" ref="G285">IFERROR(_xlfn.XLOOKUP(A285,Sheet2!$A$2:$A$1453,Sheet2!$G$2:$G$1453),_xlfn.XLOOKUP(A285,TEXT(Sheet2!$A$2:$A$1453,"0"),Sheet2!$G$2:$G$1453,""))</f>
        <v>6-8-2026</v>
      </c>
    </row>
    <row r="286" spans="1:7" x14ac:dyDescent="0.2">
      <c r="A286" s="1">
        <v>20309020353</v>
      </c>
      <c r="B286" t="str" cm="1">
        <f t="array" ref="B286">IFERROR(_xlfn.XLOOKUP(A286,Sheet2!$A$2:$A$1453,Sheet2!$B$2:$B$1453),_xlfn.XLOOKUP(A286,TEXT(Sheet2!$A$2:$A$1453,"0"),Sheet2!$B$2:$B$1453,""))</f>
        <v>JERGENS LOT SOOTHING ALO</v>
      </c>
      <c r="C286" s="2">
        <v>14.88</v>
      </c>
      <c r="D286" s="2" cm="1">
        <f t="array" ref="D286">_xlfn.LET(_xlpm.v,IFERROR(_xlfn.XLOOKUP(A286,Sheet2!$A$2:$A$1453,Sheet2!$D$2:$D$1453),_xlfn.XLOOKUP(A286,TEXT(Sheet2!$A$2:$A$1453,"0"),Sheet2!$D$2:$D$1453,"")),IF(_xlpm.v="","",IF(_xlpm.v&lt;1,_xlpm.v*100,_xlpm.v)))</f>
        <v>15</v>
      </c>
      <c r="E286" s="2">
        <f t="shared" si="4"/>
        <v>12.648</v>
      </c>
      <c r="F286" s="2" t="str" cm="1">
        <f t="array" ref="F286">IFERROR(_xlfn.XLOOKUP(A286,Sheet2!$A$2:$A$1453,Sheet2!$F$2:$F$1453),_xlfn.XLOOKUP(A286,TEXT(Sheet2!$A$2:$A$1453,"0"),Sheet2!$F$2:$F$1453,""))</f>
        <v>26-7-2026</v>
      </c>
      <c r="G286" s="2" t="str" cm="1">
        <f t="array" ref="G286">IFERROR(_xlfn.XLOOKUP(A286,Sheet2!$A$2:$A$1453,Sheet2!$G$2:$G$1453),_xlfn.XLOOKUP(A286,TEXT(Sheet2!$A$2:$A$1453,"0"),Sheet2!$G$2:$G$1453,""))</f>
        <v>6-8-2026</v>
      </c>
    </row>
    <row r="287" spans="1:7" x14ac:dyDescent="0.2">
      <c r="A287" s="1">
        <v>20309020310</v>
      </c>
      <c r="B287" t="str" cm="1">
        <f t="array" ref="B287">IFERROR(_xlfn.XLOOKUP(A287,Sheet2!$A$2:$A$1453,Sheet2!$B$2:$B$1453),_xlfn.XLOOKUP(A287,TEXT(Sheet2!$A$2:$A$1453,"0"),Sheet2!$B$2:$B$1453,""))</f>
        <v>JERGENS LOT ORIGNAL SCEN</v>
      </c>
      <c r="C287" s="2">
        <v>14.88</v>
      </c>
      <c r="D287" s="2" cm="1">
        <f t="array" ref="D287">_xlfn.LET(_xlpm.v,IFERROR(_xlfn.XLOOKUP(A287,Sheet2!$A$2:$A$1453,Sheet2!$D$2:$D$1453),_xlfn.XLOOKUP(A287,TEXT(Sheet2!$A$2:$A$1453,"0"),Sheet2!$D$2:$D$1453,"")),IF(_xlpm.v="","",IF(_xlpm.v&lt;1,_xlpm.v*100,_xlpm.v)))</f>
        <v>15</v>
      </c>
      <c r="E287" s="2">
        <f t="shared" si="4"/>
        <v>12.648</v>
      </c>
      <c r="F287" s="2" t="str" cm="1">
        <f t="array" ref="F287">IFERROR(_xlfn.XLOOKUP(A287,Sheet2!$A$2:$A$1453,Sheet2!$F$2:$F$1453),_xlfn.XLOOKUP(A287,TEXT(Sheet2!$A$2:$A$1453,"0"),Sheet2!$F$2:$F$1453,""))</f>
        <v>26-7-2026</v>
      </c>
      <c r="G287" s="2" t="str" cm="1">
        <f t="array" ref="G287">IFERROR(_xlfn.XLOOKUP(A287,Sheet2!$A$2:$A$1453,Sheet2!$G$2:$G$1453),_xlfn.XLOOKUP(A287,TEXT(Sheet2!$A$2:$A$1453,"0"),Sheet2!$G$2:$G$1453,""))</f>
        <v>6-8-2026</v>
      </c>
    </row>
    <row r="288" spans="1:7" x14ac:dyDescent="0.2">
      <c r="A288" s="1">
        <v>20309020281</v>
      </c>
      <c r="B288" t="str" cm="1">
        <f t="array" ref="B288">IFERROR(_xlfn.XLOOKUP(A288,Sheet2!$A$2:$A$1453,Sheet2!$B$2:$B$1453),_xlfn.XLOOKUP(A288,TEXT(Sheet2!$A$2:$A$1453,"0"),Sheet2!$B$2:$B$1453,""))</f>
        <v>JERGENS LOT SOFTNING MUS</v>
      </c>
      <c r="C288" s="2">
        <v>24.97</v>
      </c>
      <c r="D288" s="2" cm="1">
        <f t="array" ref="D288">_xlfn.LET(_xlpm.v,IFERROR(_xlfn.XLOOKUP(A288,Sheet2!$A$2:$A$1453,Sheet2!$D$2:$D$1453),_xlfn.XLOOKUP(A288,TEXT(Sheet2!$A$2:$A$1453,"0"),Sheet2!$D$2:$D$1453,"")),IF(_xlpm.v="","",IF(_xlpm.v&lt;1,_xlpm.v*100,_xlpm.v)))</f>
        <v>15</v>
      </c>
      <c r="E288" s="2">
        <f t="shared" si="4"/>
        <v>21.224499999999999</v>
      </c>
      <c r="F288" s="2" t="str" cm="1">
        <f t="array" ref="F288">IFERROR(_xlfn.XLOOKUP(A288,Sheet2!$A$2:$A$1453,Sheet2!$F$2:$F$1453),_xlfn.XLOOKUP(A288,TEXT(Sheet2!$A$2:$A$1453,"0"),Sheet2!$F$2:$F$1453,""))</f>
        <v>26-7-2026</v>
      </c>
      <c r="G288" s="2" t="str" cm="1">
        <f t="array" ref="G288">IFERROR(_xlfn.XLOOKUP(A288,Sheet2!$A$2:$A$1453,Sheet2!$G$2:$G$1453),_xlfn.XLOOKUP(A288,TEXT(Sheet2!$A$2:$A$1453,"0"),Sheet2!$G$2:$G$1453,""))</f>
        <v>6-8-2026</v>
      </c>
    </row>
    <row r="289" spans="1:7" x14ac:dyDescent="0.2">
      <c r="A289" s="1">
        <v>20309020087</v>
      </c>
      <c r="B289" t="str" cm="1">
        <f t="array" ref="B289">IFERROR(_xlfn.XLOOKUP(A289,Sheet2!$A$2:$A$1453,Sheet2!$B$2:$B$1453),_xlfn.XLOOKUP(A289,TEXT(Sheet2!$A$2:$A$1453,"0"),Sheet2!$B$2:$B$1453,""))</f>
        <v>JERGENS LOT SHEA BUTTER 40</v>
      </c>
      <c r="C289" s="2">
        <v>24.97</v>
      </c>
      <c r="D289" s="2" cm="1">
        <f t="array" ref="D289">_xlfn.LET(_xlpm.v,IFERROR(_xlfn.XLOOKUP(A289,Sheet2!$A$2:$A$1453,Sheet2!$D$2:$D$1453),_xlfn.XLOOKUP(A289,TEXT(Sheet2!$A$2:$A$1453,"0"),Sheet2!$D$2:$D$1453,"")),IF(_xlpm.v="","",IF(_xlpm.v&lt;1,_xlpm.v*100,_xlpm.v)))</f>
        <v>15</v>
      </c>
      <c r="E289" s="2">
        <f t="shared" si="4"/>
        <v>21.224499999999999</v>
      </c>
      <c r="F289" s="2" t="str" cm="1">
        <f t="array" ref="F289">IFERROR(_xlfn.XLOOKUP(A289,Sheet2!$A$2:$A$1453,Sheet2!$F$2:$F$1453),_xlfn.XLOOKUP(A289,TEXT(Sheet2!$A$2:$A$1453,"0"),Sheet2!$F$2:$F$1453,""))</f>
        <v>26-7-2026</v>
      </c>
      <c r="G289" s="2" t="str" cm="1">
        <f t="array" ref="G289">IFERROR(_xlfn.XLOOKUP(A289,Sheet2!$A$2:$A$1453,Sheet2!$G$2:$G$1453),_xlfn.XLOOKUP(A289,TEXT(Sheet2!$A$2:$A$1453,"0"),Sheet2!$G$2:$G$1453,""))</f>
        <v>6-8-2026</v>
      </c>
    </row>
    <row r="290" spans="1:7" x14ac:dyDescent="0.2">
      <c r="A290" s="1">
        <v>20309011779</v>
      </c>
      <c r="B290" t="str" cm="1">
        <f t="array" ref="B290">IFERROR(_xlfn.XLOOKUP(A290,Sheet2!$A$2:$A$1453,Sheet2!$B$2:$B$1453),_xlfn.XLOOKUP(A290,TEXT(Sheet2!$A$2:$A$1453,"0"),Sheet2!$B$2:$B$1453,""))</f>
        <v>OZNATURALS VITAMIN C SERUM 30 ML</v>
      </c>
      <c r="C290" s="2">
        <v>100.97</v>
      </c>
      <c r="D290" s="2" cm="1">
        <f t="array" ref="D290">_xlfn.LET(_xlpm.v,IFERROR(_xlfn.XLOOKUP(A290,Sheet2!$A$2:$A$1453,Sheet2!$D$2:$D$1453),_xlfn.XLOOKUP(A290,TEXT(Sheet2!$A$2:$A$1453,"0"),Sheet2!$D$2:$D$1453,"")),IF(_xlpm.v="","",IF(_xlpm.v&lt;1,_xlpm.v*100,_xlpm.v)))</f>
        <v>25</v>
      </c>
      <c r="E290" s="2">
        <f t="shared" si="4"/>
        <v>75.727499999999992</v>
      </c>
      <c r="F290" s="2" t="str" cm="1">
        <f t="array" ref="F290">IFERROR(_xlfn.XLOOKUP(A290,Sheet2!$A$2:$A$1453,Sheet2!$F$2:$F$1453),_xlfn.XLOOKUP(A290,TEXT(Sheet2!$A$2:$A$1453,"0"),Sheet2!$F$2:$F$1453,""))</f>
        <v>26-7-2026</v>
      </c>
      <c r="G290" s="2" t="str" cm="1">
        <f t="array" ref="G290">IFERROR(_xlfn.XLOOKUP(A290,Sheet2!$A$2:$A$1453,Sheet2!$G$2:$G$1453),_xlfn.XLOOKUP(A290,TEXT(Sheet2!$A$2:$A$1453,"0"),Sheet2!$G$2:$G$1453,""))</f>
        <v>6-8-2026</v>
      </c>
    </row>
    <row r="291" spans="1:7" x14ac:dyDescent="0.2">
      <c r="A291" s="1">
        <v>20312051416</v>
      </c>
      <c r="B291" t="str" cm="1">
        <f t="array" ref="B291">IFERROR(_xlfn.XLOOKUP(A291,Sheet2!$A$2:$A$1453,Sheet2!$B$2:$B$1453),_xlfn.XLOOKUP(A291,TEXT(Sheet2!$A$2:$A$1453,"0"),Sheet2!$B$2:$B$1453,""))</f>
        <v>WHITE GLO PURPLE TOOTH TO</v>
      </c>
      <c r="C291" s="2">
        <v>58.48</v>
      </c>
      <c r="D291" s="2" cm="1">
        <f t="array" ref="D291">_xlfn.LET(_xlpm.v,IFERROR(_xlfn.XLOOKUP(A291,Sheet2!$A$2:$A$1453,Sheet2!$D$2:$D$1453),_xlfn.XLOOKUP(A291,TEXT(Sheet2!$A$2:$A$1453,"0"),Sheet2!$D$2:$D$1453,"")),IF(_xlpm.v="","",IF(_xlpm.v&lt;1,_xlpm.v*100,_xlpm.v)))</f>
        <v>30</v>
      </c>
      <c r="E291" s="2">
        <f t="shared" si="4"/>
        <v>40.935999999999993</v>
      </c>
      <c r="F291" s="2" t="str" cm="1">
        <f t="array" ref="F291">IFERROR(_xlfn.XLOOKUP(A291,Sheet2!$A$2:$A$1453,Sheet2!$F$2:$F$1453),_xlfn.XLOOKUP(A291,TEXT(Sheet2!$A$2:$A$1453,"0"),Sheet2!$F$2:$F$1453,""))</f>
        <v>26-7-2026</v>
      </c>
      <c r="G291" s="2" t="str" cm="1">
        <f t="array" ref="G291">IFERROR(_xlfn.XLOOKUP(A291,Sheet2!$A$2:$A$1453,Sheet2!$G$2:$G$1453),_xlfn.XLOOKUP(A291,TEXT(Sheet2!$A$2:$A$1453,"0"),Sheet2!$G$2:$G$1453,""))</f>
        <v>6-8-2026</v>
      </c>
    </row>
    <row r="292" spans="1:7" x14ac:dyDescent="0.2">
      <c r="A292" s="1">
        <v>20312051414</v>
      </c>
      <c r="B292" t="str" cm="1">
        <f t="array" ref="B292">IFERROR(_xlfn.XLOOKUP(A292,Sheet2!$A$2:$A$1453,Sheet2!$B$2:$B$1453),_xlfn.XLOOKUP(A292,TEXT(Sheet2!$A$2:$A$1453,"0"),Sheet2!$B$2:$B$1453,""))</f>
        <v>WHITE GLO TOTAL PROTECTI</v>
      </c>
      <c r="C292" s="2">
        <v>33.14</v>
      </c>
      <c r="D292" s="2" cm="1">
        <f t="array" ref="D292">_xlfn.LET(_xlpm.v,IFERROR(_xlfn.XLOOKUP(A292,Sheet2!$A$2:$A$1453,Sheet2!$D$2:$D$1453),_xlfn.XLOOKUP(A292,TEXT(Sheet2!$A$2:$A$1453,"0"),Sheet2!$D$2:$D$1453,"")),IF(_xlpm.v="","",IF(_xlpm.v&lt;1,_xlpm.v*100,_xlpm.v)))</f>
        <v>30</v>
      </c>
      <c r="E292" s="2">
        <f t="shared" si="4"/>
        <v>23.198</v>
      </c>
      <c r="F292" s="2" t="str" cm="1">
        <f t="array" ref="F292">IFERROR(_xlfn.XLOOKUP(A292,Sheet2!$A$2:$A$1453,Sheet2!$F$2:$F$1453),_xlfn.XLOOKUP(A292,TEXT(Sheet2!$A$2:$A$1453,"0"),Sheet2!$F$2:$F$1453,""))</f>
        <v>26-7-2026</v>
      </c>
      <c r="G292" s="2" t="str" cm="1">
        <f t="array" ref="G292">IFERROR(_xlfn.XLOOKUP(A292,Sheet2!$A$2:$A$1453,Sheet2!$G$2:$G$1453),_xlfn.XLOOKUP(A292,TEXT(Sheet2!$A$2:$A$1453,"0"),Sheet2!$G$2:$G$1453,""))</f>
        <v>6-8-2026</v>
      </c>
    </row>
    <row r="293" spans="1:7" x14ac:dyDescent="0.2">
      <c r="A293" s="1">
        <v>20312051413</v>
      </c>
      <c r="B293" t="str" cm="1">
        <f t="array" ref="B293">IFERROR(_xlfn.XLOOKUP(A293,Sheet2!$A$2:$A$1453,Sheet2!$B$2:$B$1453),_xlfn.XLOOKUP(A293,TEXT(Sheet2!$A$2:$A$1453,"0"),Sheet2!$B$2:$B$1453,""))</f>
        <v>WHITE GLO STAIN EXPERT WH</v>
      </c>
      <c r="C293" s="2">
        <v>33.14</v>
      </c>
      <c r="D293" s="2" cm="1">
        <f t="array" ref="D293">_xlfn.LET(_xlpm.v,IFERROR(_xlfn.XLOOKUP(A293,Sheet2!$A$2:$A$1453,Sheet2!$D$2:$D$1453),_xlfn.XLOOKUP(A293,TEXT(Sheet2!$A$2:$A$1453,"0"),Sheet2!$D$2:$D$1453,"")),IF(_xlpm.v="","",IF(_xlpm.v&lt;1,_xlpm.v*100,_xlpm.v)))</f>
        <v>30</v>
      </c>
      <c r="E293" s="2">
        <f t="shared" si="4"/>
        <v>23.198</v>
      </c>
      <c r="F293" s="2" t="str" cm="1">
        <f t="array" ref="F293">IFERROR(_xlfn.XLOOKUP(A293,Sheet2!$A$2:$A$1453,Sheet2!$F$2:$F$1453),_xlfn.XLOOKUP(A293,TEXT(Sheet2!$A$2:$A$1453,"0"),Sheet2!$F$2:$F$1453,""))</f>
        <v>26-7-2026</v>
      </c>
      <c r="G293" s="2" t="str" cm="1">
        <f t="array" ref="G293">IFERROR(_xlfn.XLOOKUP(A293,Sheet2!$A$2:$A$1453,Sheet2!$G$2:$G$1453),_xlfn.XLOOKUP(A293,TEXT(Sheet2!$A$2:$A$1453,"0"),Sheet2!$G$2:$G$1453,""))</f>
        <v>6-8-2026</v>
      </c>
    </row>
    <row r="294" spans="1:7" x14ac:dyDescent="0.2">
      <c r="A294" s="1">
        <v>20312051412</v>
      </c>
      <c r="B294" t="str" cm="1">
        <f t="array" ref="B294">IFERROR(_xlfn.XLOOKUP(A294,Sheet2!$A$2:$A$1453,Sheet2!$B$2:$B$1453),_xlfn.XLOOKUP(A294,TEXT(Sheet2!$A$2:$A$1453,"0"),Sheet2!$B$2:$B$1453,""))</f>
        <v>WHITE GLO PROFESSIONAL W</v>
      </c>
      <c r="C294" s="2">
        <v>33.14</v>
      </c>
      <c r="D294" s="2" cm="1">
        <f t="array" ref="D294">_xlfn.LET(_xlpm.v,IFERROR(_xlfn.XLOOKUP(A294,Sheet2!$A$2:$A$1453,Sheet2!$D$2:$D$1453),_xlfn.XLOOKUP(A294,TEXT(Sheet2!$A$2:$A$1453,"0"),Sheet2!$D$2:$D$1453,"")),IF(_xlpm.v="","",IF(_xlpm.v&lt;1,_xlpm.v*100,_xlpm.v)))</f>
        <v>30</v>
      </c>
      <c r="E294" s="2">
        <f t="shared" si="4"/>
        <v>23.198</v>
      </c>
      <c r="F294" s="2" t="str" cm="1">
        <f t="array" ref="F294">IFERROR(_xlfn.XLOOKUP(A294,Sheet2!$A$2:$A$1453,Sheet2!$F$2:$F$1453),_xlfn.XLOOKUP(A294,TEXT(Sheet2!$A$2:$A$1453,"0"),Sheet2!$F$2:$F$1453,""))</f>
        <v>26-7-2026</v>
      </c>
      <c r="G294" s="2" t="str" cm="1">
        <f t="array" ref="G294">IFERROR(_xlfn.XLOOKUP(A294,Sheet2!$A$2:$A$1453,Sheet2!$G$2:$G$1453),_xlfn.XLOOKUP(A294,TEXT(Sheet2!$A$2:$A$1453,"0"),Sheet2!$G$2:$G$1453,""))</f>
        <v>6-8-2026</v>
      </c>
    </row>
    <row r="295" spans="1:7" x14ac:dyDescent="0.2">
      <c r="A295" s="1">
        <v>20312051411</v>
      </c>
      <c r="B295" t="str" cm="1">
        <f t="array" ref="B295">IFERROR(_xlfn.XLOOKUP(A295,Sheet2!$A$2:$A$1453,Sheet2!$B$2:$B$1453),_xlfn.XLOOKUP(A295,TEXT(Sheet2!$A$2:$A$1453,"0"),Sheet2!$B$2:$B$1453,""))</f>
        <v>WHITE GLO EXPRESS WHITE W</v>
      </c>
      <c r="C295" s="2">
        <v>33.14</v>
      </c>
      <c r="D295" s="2" cm="1">
        <f t="array" ref="D295">_xlfn.LET(_xlpm.v,IFERROR(_xlfn.XLOOKUP(A295,Sheet2!$A$2:$A$1453,Sheet2!$D$2:$D$1453),_xlfn.XLOOKUP(A295,TEXT(Sheet2!$A$2:$A$1453,"0"),Sheet2!$D$2:$D$1453,"")),IF(_xlpm.v="","",IF(_xlpm.v&lt;1,_xlpm.v*100,_xlpm.v)))</f>
        <v>30</v>
      </c>
      <c r="E295" s="2">
        <f t="shared" si="4"/>
        <v>23.198</v>
      </c>
      <c r="F295" s="2" t="str" cm="1">
        <f t="array" ref="F295">IFERROR(_xlfn.XLOOKUP(A295,Sheet2!$A$2:$A$1453,Sheet2!$F$2:$F$1453),_xlfn.XLOOKUP(A295,TEXT(Sheet2!$A$2:$A$1453,"0"),Sheet2!$F$2:$F$1453,""))</f>
        <v>26-7-2026</v>
      </c>
      <c r="G295" s="2" t="str" cm="1">
        <f t="array" ref="G295">IFERROR(_xlfn.XLOOKUP(A295,Sheet2!$A$2:$A$1453,Sheet2!$G$2:$G$1453),_xlfn.XLOOKUP(A295,TEXT(Sheet2!$A$2:$A$1453,"0"),Sheet2!$G$2:$G$1453,""))</f>
        <v>6-8-2026</v>
      </c>
    </row>
    <row r="296" spans="1:7" x14ac:dyDescent="0.2">
      <c r="A296" s="1">
        <v>20312050666</v>
      </c>
      <c r="B296" t="str" cm="1">
        <f t="array" ref="B296">IFERROR(_xlfn.XLOOKUP(A296,Sheet2!$A$2:$A$1453,Sheet2!$B$2:$B$1453),_xlfn.XLOOKUP(A296,TEXT(Sheet2!$A$2:$A$1453,"0"),Sheet2!$B$2:$B$1453,""))</f>
        <v>WHITE GLO SMOKER FORMULA T.P 100</v>
      </c>
      <c r="C296" s="2">
        <v>32.32</v>
      </c>
      <c r="D296" s="2" cm="1">
        <f t="array" ref="D296">_xlfn.LET(_xlpm.v,IFERROR(_xlfn.XLOOKUP(A296,Sheet2!$A$2:$A$1453,Sheet2!$D$2:$D$1453),_xlfn.XLOOKUP(A296,TEXT(Sheet2!$A$2:$A$1453,"0"),Sheet2!$D$2:$D$1453,"")),IF(_xlpm.v="","",IF(_xlpm.v&lt;1,_xlpm.v*100,_xlpm.v)))</f>
        <v>30</v>
      </c>
      <c r="E296" s="2">
        <f t="shared" si="4"/>
        <v>22.623999999999999</v>
      </c>
      <c r="F296" s="2" t="str" cm="1">
        <f t="array" ref="F296">IFERROR(_xlfn.XLOOKUP(A296,Sheet2!$A$2:$A$1453,Sheet2!$F$2:$F$1453),_xlfn.XLOOKUP(A296,TEXT(Sheet2!$A$2:$A$1453,"0"),Sheet2!$F$2:$F$1453,""))</f>
        <v>26-7-2026</v>
      </c>
      <c r="G296" s="2" t="str" cm="1">
        <f t="array" ref="G296">IFERROR(_xlfn.XLOOKUP(A296,Sheet2!$A$2:$A$1453,Sheet2!$G$2:$G$1453),_xlfn.XLOOKUP(A296,TEXT(Sheet2!$A$2:$A$1453,"0"),Sheet2!$G$2:$G$1453,""))</f>
        <v>6-8-2026</v>
      </c>
    </row>
    <row r="297" spans="1:7" x14ac:dyDescent="0.2">
      <c r="A297" s="1">
        <v>20312050664</v>
      </c>
      <c r="B297" t="str" cm="1">
        <f t="array" ref="B297">IFERROR(_xlfn.XLOOKUP(A297,Sheet2!$A$2:$A$1453,Sheet2!$B$2:$B$1453),_xlfn.XLOOKUP(A297,TEXT(Sheet2!$A$2:$A$1453,"0"),Sheet2!$B$2:$B$1453,""))</f>
        <v>WHITE GLO PROFESSIONAL CHOICE T.</v>
      </c>
      <c r="C297" s="2">
        <v>32.32</v>
      </c>
      <c r="D297" s="2" cm="1">
        <f t="array" ref="D297">_xlfn.LET(_xlpm.v,IFERROR(_xlfn.XLOOKUP(A297,Sheet2!$A$2:$A$1453,Sheet2!$D$2:$D$1453),_xlfn.XLOOKUP(A297,TEXT(Sheet2!$A$2:$A$1453,"0"),Sheet2!$D$2:$D$1453,"")),IF(_xlpm.v="","",IF(_xlpm.v&lt;1,_xlpm.v*100,_xlpm.v)))</f>
        <v>30</v>
      </c>
      <c r="E297" s="2">
        <f t="shared" si="4"/>
        <v>22.623999999999999</v>
      </c>
      <c r="F297" s="2" t="str" cm="1">
        <f t="array" ref="F297">IFERROR(_xlfn.XLOOKUP(A297,Sheet2!$A$2:$A$1453,Sheet2!$F$2:$F$1453),_xlfn.XLOOKUP(A297,TEXT(Sheet2!$A$2:$A$1453,"0"),Sheet2!$F$2:$F$1453,""))</f>
        <v>26-7-2026</v>
      </c>
      <c r="G297" s="2" t="str" cm="1">
        <f t="array" ref="G297">IFERROR(_xlfn.XLOOKUP(A297,Sheet2!$A$2:$A$1453,Sheet2!$G$2:$G$1453),_xlfn.XLOOKUP(A297,TEXT(Sheet2!$A$2:$A$1453,"0"),Sheet2!$G$2:$G$1453,""))</f>
        <v>6-8-2026</v>
      </c>
    </row>
    <row r="298" spans="1:7" x14ac:dyDescent="0.2">
      <c r="A298" s="1">
        <v>20312050662</v>
      </c>
      <c r="B298" t="str" cm="1">
        <f t="array" ref="B298">IFERROR(_xlfn.XLOOKUP(A298,Sheet2!$A$2:$A$1453,Sheet2!$B$2:$B$1453),_xlfn.XLOOKUP(A298,TEXT(Sheet2!$A$2:$A$1453,"0"),Sheet2!$B$2:$B$1453,""))</f>
        <v>WHITE GLO COFFEE&amp;TEA DRINKERS F</v>
      </c>
      <c r="C298" s="2">
        <v>32.32</v>
      </c>
      <c r="D298" s="2" cm="1">
        <f t="array" ref="D298">_xlfn.LET(_xlpm.v,IFERROR(_xlfn.XLOOKUP(A298,Sheet2!$A$2:$A$1453,Sheet2!$D$2:$D$1453),_xlfn.XLOOKUP(A298,TEXT(Sheet2!$A$2:$A$1453,"0"),Sheet2!$D$2:$D$1453,"")),IF(_xlpm.v="","",IF(_xlpm.v&lt;1,_xlpm.v*100,_xlpm.v)))</f>
        <v>30</v>
      </c>
      <c r="E298" s="2">
        <f t="shared" si="4"/>
        <v>22.623999999999999</v>
      </c>
      <c r="F298" s="2" t="str" cm="1">
        <f t="array" ref="F298">IFERROR(_xlfn.XLOOKUP(A298,Sheet2!$A$2:$A$1453,Sheet2!$F$2:$F$1453),_xlfn.XLOOKUP(A298,TEXT(Sheet2!$A$2:$A$1453,"0"),Sheet2!$F$2:$F$1453,""))</f>
        <v>26-7-2026</v>
      </c>
      <c r="G298" s="2" t="str" cm="1">
        <f t="array" ref="G298">IFERROR(_xlfn.XLOOKUP(A298,Sheet2!$A$2:$A$1453,Sheet2!$G$2:$G$1453),_xlfn.XLOOKUP(A298,TEXT(Sheet2!$A$2:$A$1453,"0"),Sheet2!$G$2:$G$1453,""))</f>
        <v>6-8-2026</v>
      </c>
    </row>
    <row r="299" spans="1:7" x14ac:dyDescent="0.2">
      <c r="A299" s="1">
        <v>20312050661</v>
      </c>
      <c r="B299" t="str" cm="1">
        <f t="array" ref="B299">IFERROR(_xlfn.XLOOKUP(A299,Sheet2!$A$2:$A$1453,Sheet2!$B$2:$B$1453),_xlfn.XLOOKUP(A299,TEXT(Sheet2!$A$2:$A$1453,"0"),Sheet2!$B$2:$B$1453,""))</f>
        <v>WHITE GLO CHARCOAL M.W DEEP</v>
      </c>
      <c r="C299" s="2">
        <v>30</v>
      </c>
      <c r="D299" s="2" cm="1">
        <f t="array" ref="D299">_xlfn.LET(_xlpm.v,IFERROR(_xlfn.XLOOKUP(A299,Sheet2!$A$2:$A$1453,Sheet2!$D$2:$D$1453),_xlfn.XLOOKUP(A299,TEXT(Sheet2!$A$2:$A$1453,"0"),Sheet2!$D$2:$D$1453,"")),IF(_xlpm.v="","",IF(_xlpm.v&lt;1,_xlpm.v*100,_xlpm.v)))</f>
        <v>30</v>
      </c>
      <c r="E299" s="2">
        <f t="shared" si="4"/>
        <v>21</v>
      </c>
      <c r="F299" s="2" t="str" cm="1">
        <f t="array" ref="F299">IFERROR(_xlfn.XLOOKUP(A299,Sheet2!$A$2:$A$1453,Sheet2!$F$2:$F$1453),_xlfn.XLOOKUP(A299,TEXT(Sheet2!$A$2:$A$1453,"0"),Sheet2!$F$2:$F$1453,""))</f>
        <v>26-7-2026</v>
      </c>
      <c r="G299" s="2" t="str" cm="1">
        <f t="array" ref="G299">IFERROR(_xlfn.XLOOKUP(A299,Sheet2!$A$2:$A$1453,Sheet2!$G$2:$G$1453),_xlfn.XLOOKUP(A299,TEXT(Sheet2!$A$2:$A$1453,"0"),Sheet2!$G$2:$G$1453,""))</f>
        <v>6-8-2026</v>
      </c>
    </row>
    <row r="300" spans="1:7" x14ac:dyDescent="0.2">
      <c r="A300" s="1">
        <v>20312050659</v>
      </c>
      <c r="B300" t="str" cm="1">
        <f t="array" ref="B300">IFERROR(_xlfn.XLOOKUP(A300,Sheet2!$A$2:$A$1453,Sheet2!$B$2:$B$1453),_xlfn.XLOOKUP(A300,TEXT(Sheet2!$A$2:$A$1453,"0"),Sheet2!$B$2:$B$1453,""))</f>
        <v>WHITE GLO CHARCOAL M.W BAD B</v>
      </c>
      <c r="C300" s="2">
        <v>32.25</v>
      </c>
      <c r="D300" s="2" cm="1">
        <f t="array" ref="D300">_xlfn.LET(_xlpm.v,IFERROR(_xlfn.XLOOKUP(A300,Sheet2!$A$2:$A$1453,Sheet2!$D$2:$D$1453),_xlfn.XLOOKUP(A300,TEXT(Sheet2!$A$2:$A$1453,"0"),Sheet2!$D$2:$D$1453,"")),IF(_xlpm.v="","",IF(_xlpm.v&lt;1,_xlpm.v*100,_xlpm.v)))</f>
        <v>30</v>
      </c>
      <c r="E300" s="2">
        <f t="shared" si="4"/>
        <v>22.574999999999999</v>
      </c>
      <c r="F300" s="2" t="str" cm="1">
        <f t="array" ref="F300">IFERROR(_xlfn.XLOOKUP(A300,Sheet2!$A$2:$A$1453,Sheet2!$F$2:$F$1453),_xlfn.XLOOKUP(A300,TEXT(Sheet2!$A$2:$A$1453,"0"),Sheet2!$F$2:$F$1453,""))</f>
        <v>26-7-2026</v>
      </c>
      <c r="G300" s="2" t="str" cm="1">
        <f t="array" ref="G300">IFERROR(_xlfn.XLOOKUP(A300,Sheet2!$A$2:$A$1453,Sheet2!$G$2:$G$1453),_xlfn.XLOOKUP(A300,TEXT(Sheet2!$A$2:$A$1453,"0"),Sheet2!$G$2:$G$1453,""))</f>
        <v>6-8-2026</v>
      </c>
    </row>
    <row r="301" spans="1:7" x14ac:dyDescent="0.2">
      <c r="A301" s="1">
        <v>30420012852</v>
      </c>
      <c r="B301" t="str" cm="1">
        <f t="array" ref="B301">IFERROR(_xlfn.XLOOKUP(A301,Sheet2!$A$2:$A$1453,Sheet2!$B$2:$B$1453),_xlfn.XLOOKUP(A301,TEXT(Sheet2!$A$2:$A$1453,"0"),Sheet2!$B$2:$B$1453,""))</f>
        <v>AM CARE PORTABLE NEBULIZER</v>
      </c>
      <c r="C301" s="2">
        <v>342</v>
      </c>
      <c r="D301" s="2" cm="1">
        <f t="array" ref="D301">_xlfn.LET(_xlpm.v,IFERROR(_xlfn.XLOOKUP(A301,Sheet2!$A$2:$A$1453,Sheet2!$D$2:$D$1453),_xlfn.XLOOKUP(A301,TEXT(Sheet2!$A$2:$A$1453,"0"),Sheet2!$D$2:$D$1453,"")),IF(_xlpm.v="","",IF(_xlpm.v&lt;1,_xlpm.v*100,_xlpm.v)))</f>
        <v>15</v>
      </c>
      <c r="E301" s="2">
        <f t="shared" si="4"/>
        <v>290.7</v>
      </c>
      <c r="F301" s="2" t="str" cm="1">
        <f t="array" ref="F301">IFERROR(_xlfn.XLOOKUP(A301,Sheet2!$A$2:$A$1453,Sheet2!$F$2:$F$1453),_xlfn.XLOOKUP(A301,TEXT(Sheet2!$A$2:$A$1453,"0"),Sheet2!$F$2:$F$1453,""))</f>
        <v>26-7-2026</v>
      </c>
      <c r="G301" s="2" t="str" cm="1">
        <f t="array" ref="G301">IFERROR(_xlfn.XLOOKUP(A301,Sheet2!$A$2:$A$1453,Sheet2!$G$2:$G$1453),_xlfn.XLOOKUP(A301,TEXT(Sheet2!$A$2:$A$1453,"0"),Sheet2!$G$2:$G$1453,""))</f>
        <v>6-8-2026</v>
      </c>
    </row>
    <row r="302" spans="1:7" x14ac:dyDescent="0.2">
      <c r="A302" s="1">
        <v>30420010576</v>
      </c>
      <c r="B302" t="str" cm="1">
        <f t="array" ref="B302">IFERROR(_xlfn.XLOOKUP(A302,Sheet2!$A$2:$A$1453,Sheet2!$B$2:$B$1453),_xlfn.XLOOKUP(A302,TEXT(Sheet2!$A$2:$A$1453,"0"),Sheet2!$B$2:$B$1453,""))</f>
        <v>COMPMIST COMPRESSOR NEBULIZER</v>
      </c>
      <c r="C302" s="2">
        <v>200</v>
      </c>
      <c r="D302" s="2" cm="1">
        <f t="array" ref="D302">_xlfn.LET(_xlpm.v,IFERROR(_xlfn.XLOOKUP(A302,Sheet2!$A$2:$A$1453,Sheet2!$D$2:$D$1453),_xlfn.XLOOKUP(A302,TEXT(Sheet2!$A$2:$A$1453,"0"),Sheet2!$D$2:$D$1453,"")),IF(_xlpm.v="","",IF(_xlpm.v&lt;1,_xlpm.v*100,_xlpm.v)))</f>
        <v>10</v>
      </c>
      <c r="E302" s="2">
        <f t="shared" si="4"/>
        <v>180</v>
      </c>
      <c r="F302" s="2" t="str" cm="1">
        <f t="array" ref="F302">IFERROR(_xlfn.XLOOKUP(A302,Sheet2!$A$2:$A$1453,Sheet2!$F$2:$F$1453),_xlfn.XLOOKUP(A302,TEXT(Sheet2!$A$2:$A$1453,"0"),Sheet2!$F$2:$F$1453,""))</f>
        <v>26-7-2026</v>
      </c>
      <c r="G302" s="2" t="str" cm="1">
        <f t="array" ref="G302">IFERROR(_xlfn.XLOOKUP(A302,Sheet2!$A$2:$A$1453,Sheet2!$G$2:$G$1453),_xlfn.XLOOKUP(A302,TEXT(Sheet2!$A$2:$A$1453,"0"),Sheet2!$G$2:$G$1453,""))</f>
        <v>6-8-2026</v>
      </c>
    </row>
    <row r="303" spans="1:7" x14ac:dyDescent="0.2">
      <c r="A303" s="1">
        <v>20309501749</v>
      </c>
      <c r="B303" t="str" cm="1">
        <f t="array" ref="B303">IFERROR(_xlfn.XLOOKUP(A303,Sheet2!$A$2:$A$1453,Sheet2!$B$2:$B$1453),_xlfn.XLOOKUP(A303,TEXT(Sheet2!$A$2:$A$1453,"0"),Sheet2!$B$2:$B$1453,""))</f>
        <v>MICA BLLA BODY MIST 250ML DIAM</v>
      </c>
      <c r="C303" s="2">
        <v>37.950000000000003</v>
      </c>
      <c r="D303" s="2" cm="1">
        <f t="array" ref="D303">_xlfn.LET(_xlpm.v,IFERROR(_xlfn.XLOOKUP(A303,Sheet2!$A$2:$A$1453,Sheet2!$D$2:$D$1453),_xlfn.XLOOKUP(A303,TEXT(Sheet2!$A$2:$A$1453,"0"),Sheet2!$D$2:$D$1453,"")),IF(_xlpm.v="","",IF(_xlpm.v&lt;1,_xlpm.v*100,_xlpm.v)))</f>
        <v>15</v>
      </c>
      <c r="E303" s="2">
        <f t="shared" si="4"/>
        <v>32.2575</v>
      </c>
      <c r="F303" s="2" t="str" cm="1">
        <f t="array" ref="F303">IFERROR(_xlfn.XLOOKUP(A303,Sheet2!$A$2:$A$1453,Sheet2!$F$2:$F$1453),_xlfn.XLOOKUP(A303,TEXT(Sheet2!$A$2:$A$1453,"0"),Sheet2!$F$2:$F$1453,""))</f>
        <v>26-7-2026</v>
      </c>
      <c r="G303" s="2" t="str" cm="1">
        <f t="array" ref="G303">IFERROR(_xlfn.XLOOKUP(A303,Sheet2!$A$2:$A$1453,Sheet2!$G$2:$G$1453),_xlfn.XLOOKUP(A303,TEXT(Sheet2!$A$2:$A$1453,"0"),Sheet2!$G$2:$G$1453,""))</f>
        <v>6-8-2026</v>
      </c>
    </row>
    <row r="304" spans="1:7" x14ac:dyDescent="0.2">
      <c r="A304" s="1">
        <v>20309501748</v>
      </c>
      <c r="B304" t="str" cm="1">
        <f t="array" ref="B304">IFERROR(_xlfn.XLOOKUP(A304,Sheet2!$A$2:$A$1453,Sheet2!$B$2:$B$1453),_xlfn.XLOOKUP(A304,TEXT(Sheet2!$A$2:$A$1453,"0"),Sheet2!$B$2:$B$1453,""))</f>
        <v>MICA BLLA BODY MIST 250ML DAR</v>
      </c>
      <c r="C304" s="2">
        <v>37.950000000000003</v>
      </c>
      <c r="D304" s="2" cm="1">
        <f t="array" ref="D304">_xlfn.LET(_xlpm.v,IFERROR(_xlfn.XLOOKUP(A304,Sheet2!$A$2:$A$1453,Sheet2!$D$2:$D$1453),_xlfn.XLOOKUP(A304,TEXT(Sheet2!$A$2:$A$1453,"0"),Sheet2!$D$2:$D$1453,"")),IF(_xlpm.v="","",IF(_xlpm.v&lt;1,_xlpm.v*100,_xlpm.v)))</f>
        <v>15</v>
      </c>
      <c r="E304" s="2">
        <f t="shared" si="4"/>
        <v>32.2575</v>
      </c>
      <c r="F304" s="2" t="str" cm="1">
        <f t="array" ref="F304">IFERROR(_xlfn.XLOOKUP(A304,Sheet2!$A$2:$A$1453,Sheet2!$F$2:$F$1453),_xlfn.XLOOKUP(A304,TEXT(Sheet2!$A$2:$A$1453,"0"),Sheet2!$F$2:$F$1453,""))</f>
        <v>26-7-2026</v>
      </c>
      <c r="G304" s="2" t="str" cm="1">
        <f t="array" ref="G304">IFERROR(_xlfn.XLOOKUP(A304,Sheet2!$A$2:$A$1453,Sheet2!$G$2:$G$1453),_xlfn.XLOOKUP(A304,TEXT(Sheet2!$A$2:$A$1453,"0"),Sheet2!$G$2:$G$1453,""))</f>
        <v>6-8-2026</v>
      </c>
    </row>
    <row r="305" spans="1:7" x14ac:dyDescent="0.2">
      <c r="A305" s="1">
        <v>20309501745</v>
      </c>
      <c r="B305" t="str" cm="1">
        <f t="array" ref="B305">IFERROR(_xlfn.XLOOKUP(A305,Sheet2!$A$2:$A$1453,Sheet2!$B$2:$B$1453),_xlfn.XLOOKUP(A305,TEXT(Sheet2!$A$2:$A$1453,"0"),Sheet2!$B$2:$B$1453,""))</f>
        <v>MICA BLLA BODY MIST 250ML PURE</v>
      </c>
      <c r="C305" s="2">
        <v>37.950000000000003</v>
      </c>
      <c r="D305" s="2" cm="1">
        <f t="array" ref="D305">_xlfn.LET(_xlpm.v,IFERROR(_xlfn.XLOOKUP(A305,Sheet2!$A$2:$A$1453,Sheet2!$D$2:$D$1453),_xlfn.XLOOKUP(A305,TEXT(Sheet2!$A$2:$A$1453,"0"),Sheet2!$D$2:$D$1453,"")),IF(_xlpm.v="","",IF(_xlpm.v&lt;1,_xlpm.v*100,_xlpm.v)))</f>
        <v>15</v>
      </c>
      <c r="E305" s="2">
        <f t="shared" si="4"/>
        <v>32.2575</v>
      </c>
      <c r="F305" s="2" t="str" cm="1">
        <f t="array" ref="F305">IFERROR(_xlfn.XLOOKUP(A305,Sheet2!$A$2:$A$1453,Sheet2!$F$2:$F$1453),_xlfn.XLOOKUP(A305,TEXT(Sheet2!$A$2:$A$1453,"0"),Sheet2!$F$2:$F$1453,""))</f>
        <v>26-7-2026</v>
      </c>
      <c r="G305" s="2" t="str" cm="1">
        <f t="array" ref="G305">IFERROR(_xlfn.XLOOKUP(A305,Sheet2!$A$2:$A$1453,Sheet2!$G$2:$G$1453),_xlfn.XLOOKUP(A305,TEXT(Sheet2!$A$2:$A$1453,"0"),Sheet2!$G$2:$G$1453,""))</f>
        <v>6-8-2026</v>
      </c>
    </row>
    <row r="306" spans="1:7" x14ac:dyDescent="0.2">
      <c r="A306" s="1">
        <v>20309501743</v>
      </c>
      <c r="B306" t="str" cm="1">
        <f t="array" ref="B306">IFERROR(_xlfn.XLOOKUP(A306,Sheet2!$A$2:$A$1453,Sheet2!$B$2:$B$1453),_xlfn.XLOOKUP(A306,TEXT(Sheet2!$A$2:$A$1453,"0"),Sheet2!$B$2:$B$1453,""))</f>
        <v>MICA BLLA BODY MIST 250ML REV</v>
      </c>
      <c r="C306" s="2">
        <v>37.950000000000003</v>
      </c>
      <c r="D306" s="2" cm="1">
        <f t="array" ref="D306">_xlfn.LET(_xlpm.v,IFERROR(_xlfn.XLOOKUP(A306,Sheet2!$A$2:$A$1453,Sheet2!$D$2:$D$1453),_xlfn.XLOOKUP(A306,TEXT(Sheet2!$A$2:$A$1453,"0"),Sheet2!$D$2:$D$1453,"")),IF(_xlpm.v="","",IF(_xlpm.v&lt;1,_xlpm.v*100,_xlpm.v)))</f>
        <v>15</v>
      </c>
      <c r="E306" s="2">
        <f t="shared" si="4"/>
        <v>32.2575</v>
      </c>
      <c r="F306" s="2" t="str" cm="1">
        <f t="array" ref="F306">IFERROR(_xlfn.XLOOKUP(A306,Sheet2!$A$2:$A$1453,Sheet2!$F$2:$F$1453),_xlfn.XLOOKUP(A306,TEXT(Sheet2!$A$2:$A$1453,"0"),Sheet2!$F$2:$F$1453,""))</f>
        <v>26-7-2026</v>
      </c>
      <c r="G306" s="2" t="str" cm="1">
        <f t="array" ref="G306">IFERROR(_xlfn.XLOOKUP(A306,Sheet2!$A$2:$A$1453,Sheet2!$G$2:$G$1453),_xlfn.XLOOKUP(A306,TEXT(Sheet2!$A$2:$A$1453,"0"),Sheet2!$G$2:$G$1453,""))</f>
        <v>6-8-2026</v>
      </c>
    </row>
    <row r="307" spans="1:7" x14ac:dyDescent="0.2">
      <c r="A307" s="1">
        <v>20309060316</v>
      </c>
      <c r="B307" t="str" cm="1">
        <f t="array" ref="B307">IFERROR(_xlfn.XLOOKUP(A307,Sheet2!$A$2:$A$1453,Sheet2!$B$2:$B$1453),_xlfn.XLOOKUP(A307,TEXT(Sheet2!$A$2:$A$1453,"0"),Sheet2!$B$2:$B$1453,""))</f>
        <v>MICA BLLA BODY MIST   250ML HYP</v>
      </c>
      <c r="C307" s="2">
        <v>37.950000000000003</v>
      </c>
      <c r="D307" s="2" cm="1">
        <f t="array" ref="D307">_xlfn.LET(_xlpm.v,IFERROR(_xlfn.XLOOKUP(A307,Sheet2!$A$2:$A$1453,Sheet2!$D$2:$D$1453),_xlfn.XLOOKUP(A307,TEXT(Sheet2!$A$2:$A$1453,"0"),Sheet2!$D$2:$D$1453,"")),IF(_xlpm.v="","",IF(_xlpm.v&lt;1,_xlpm.v*100,_xlpm.v)))</f>
        <v>15</v>
      </c>
      <c r="E307" s="2">
        <f t="shared" si="4"/>
        <v>32.2575</v>
      </c>
      <c r="F307" s="2" t="str" cm="1">
        <f t="array" ref="F307">IFERROR(_xlfn.XLOOKUP(A307,Sheet2!$A$2:$A$1453,Sheet2!$F$2:$F$1453),_xlfn.XLOOKUP(A307,TEXT(Sheet2!$A$2:$A$1453,"0"),Sheet2!$F$2:$F$1453,""))</f>
        <v>26-7-2026</v>
      </c>
      <c r="G307" s="2" t="str" cm="1">
        <f t="array" ref="G307">IFERROR(_xlfn.XLOOKUP(A307,Sheet2!$A$2:$A$1453,Sheet2!$G$2:$G$1453),_xlfn.XLOOKUP(A307,TEXT(Sheet2!$A$2:$A$1453,"0"),Sheet2!$G$2:$G$1453,""))</f>
        <v>6-8-2026</v>
      </c>
    </row>
    <row r="308" spans="1:7" x14ac:dyDescent="0.2">
      <c r="A308" s="1">
        <v>20309060619</v>
      </c>
      <c r="B308" t="str" cm="1">
        <f t="array" ref="B308">IFERROR(_xlfn.XLOOKUP(A308,Sheet2!$A$2:$A$1453,Sheet2!$B$2:$B$1453),_xlfn.XLOOKUP(A308,TEXT(Sheet2!$A$2:$A$1453,"0"),Sheet2!$B$2:$B$1453,""))</f>
        <v>BEESLINE WHITENING ROLL ON INSTANT WHITE FOR WOMEN 50ML</v>
      </c>
      <c r="C308" s="2">
        <v>97.75</v>
      </c>
      <c r="D308" s="2" cm="1">
        <f t="array" ref="D308">_xlfn.LET(_xlpm.v,IFERROR(_xlfn.XLOOKUP(A308,Sheet2!$A$2:$A$1453,Sheet2!$D$2:$D$1453),_xlfn.XLOOKUP(A308,TEXT(Sheet2!$A$2:$A$1453,"0"),Sheet2!$D$2:$D$1453,"")),IF(_xlpm.v="","",IF(_xlpm.v&lt;1,_xlpm.v*100,_xlpm.v)))</f>
        <v>20</v>
      </c>
      <c r="E308" s="2">
        <f t="shared" si="4"/>
        <v>78.2</v>
      </c>
      <c r="F308" s="2" t="str" cm="1">
        <f t="array" ref="F308">IFERROR(_xlfn.XLOOKUP(A308,Sheet2!$A$2:$A$1453,Sheet2!$F$2:$F$1453),_xlfn.XLOOKUP(A308,TEXT(Sheet2!$A$2:$A$1453,"0"),Sheet2!$F$2:$F$1453,""))</f>
        <v>26-7-2026</v>
      </c>
      <c r="G308" s="2" t="str" cm="1">
        <f t="array" ref="G308">IFERROR(_xlfn.XLOOKUP(A308,Sheet2!$A$2:$A$1453,Sheet2!$G$2:$G$1453),_xlfn.XLOOKUP(A308,TEXT(Sheet2!$A$2:$A$1453,"0"),Sheet2!$G$2:$G$1453,""))</f>
        <v>6-8-2026</v>
      </c>
    </row>
    <row r="309" spans="1:7" x14ac:dyDescent="0.2">
      <c r="A309" s="1">
        <v>20309060467</v>
      </c>
      <c r="B309" t="str" cm="1">
        <f t="array" ref="B309">IFERROR(_xlfn.XLOOKUP(A309,Sheet2!$A$2:$A$1453,Sheet2!$B$2:$B$1453),_xlfn.XLOOKUP(A309,TEXT(Sheet2!$A$2:$A$1453,"0"),Sheet2!$B$2:$B$1453,""))</f>
        <v>BEESLINE WHITENING DEO ROL CO</v>
      </c>
      <c r="C309" s="2">
        <v>65.55</v>
      </c>
      <c r="D309" s="2" cm="1">
        <f t="array" ref="D309">_xlfn.LET(_xlpm.v,IFERROR(_xlfn.XLOOKUP(A309,Sheet2!$A$2:$A$1453,Sheet2!$D$2:$D$1453),_xlfn.XLOOKUP(A309,TEXT(Sheet2!$A$2:$A$1453,"0"),Sheet2!$D$2:$D$1453,"")),IF(_xlpm.v="","",IF(_xlpm.v&lt;1,_xlpm.v*100,_xlpm.v)))</f>
        <v>20</v>
      </c>
      <c r="E309" s="2">
        <f t="shared" si="4"/>
        <v>52.44</v>
      </c>
      <c r="F309" s="2" t="str" cm="1">
        <f t="array" ref="F309">IFERROR(_xlfn.XLOOKUP(A309,Sheet2!$A$2:$A$1453,Sheet2!$F$2:$F$1453),_xlfn.XLOOKUP(A309,TEXT(Sheet2!$A$2:$A$1453,"0"),Sheet2!$F$2:$F$1453,""))</f>
        <v>26-7-2026</v>
      </c>
      <c r="G309" s="2" t="str" cm="1">
        <f t="array" ref="G309">IFERROR(_xlfn.XLOOKUP(A309,Sheet2!$A$2:$A$1453,Sheet2!$G$2:$G$1453),_xlfn.XLOOKUP(A309,TEXT(Sheet2!$A$2:$A$1453,"0"),Sheet2!$G$2:$G$1453,""))</f>
        <v>6-8-2026</v>
      </c>
    </row>
    <row r="310" spans="1:7" x14ac:dyDescent="0.2">
      <c r="A310" s="1">
        <v>20309060327</v>
      </c>
      <c r="B310" t="str" cm="1">
        <f t="array" ref="B310">IFERROR(_xlfn.XLOOKUP(A310,Sheet2!$A$2:$A$1453,Sheet2!$B$2:$B$1453),_xlfn.XLOOKUP(A310,TEXT(Sheet2!$A$2:$A$1453,"0"),Sheet2!$B$2:$B$1453,""))</f>
        <v>BEESLINE WHITENING DEO ROL OU</v>
      </c>
      <c r="C310" s="2">
        <v>63.25</v>
      </c>
      <c r="D310" s="2" cm="1">
        <f t="array" ref="D310">_xlfn.LET(_xlpm.v,IFERROR(_xlfn.XLOOKUP(A310,Sheet2!$A$2:$A$1453,Sheet2!$D$2:$D$1453),_xlfn.XLOOKUP(A310,TEXT(Sheet2!$A$2:$A$1453,"0"),Sheet2!$D$2:$D$1453,"")),IF(_xlpm.v="","",IF(_xlpm.v&lt;1,_xlpm.v*100,_xlpm.v)))</f>
        <v>20</v>
      </c>
      <c r="E310" s="2">
        <f t="shared" si="4"/>
        <v>50.6</v>
      </c>
      <c r="F310" s="2" t="str" cm="1">
        <f t="array" ref="F310">IFERROR(_xlfn.XLOOKUP(A310,Sheet2!$A$2:$A$1453,Sheet2!$F$2:$F$1453),_xlfn.XLOOKUP(A310,TEXT(Sheet2!$A$2:$A$1453,"0"),Sheet2!$F$2:$F$1453,""))</f>
        <v>26-7-2026</v>
      </c>
      <c r="G310" s="2" t="str" cm="1">
        <f t="array" ref="G310">IFERROR(_xlfn.XLOOKUP(A310,Sheet2!$A$2:$A$1453,Sheet2!$G$2:$G$1453),_xlfn.XLOOKUP(A310,TEXT(Sheet2!$A$2:$A$1453,"0"),Sheet2!$G$2:$G$1453,""))</f>
        <v>6-8-2026</v>
      </c>
    </row>
    <row r="311" spans="1:7" x14ac:dyDescent="0.2">
      <c r="A311" s="1">
        <v>20309060326</v>
      </c>
      <c r="B311" t="str" cm="1">
        <f t="array" ref="B311">IFERROR(_xlfn.XLOOKUP(A311,Sheet2!$A$2:$A$1453,Sheet2!$B$2:$B$1453),_xlfn.XLOOKUP(A311,TEXT(Sheet2!$A$2:$A$1453,"0"),Sheet2!$B$2:$B$1453,""))</f>
        <v>BEESLINE WHITENING DEO ROLL SPORT PLUS</v>
      </c>
      <c r="C311" s="2">
        <v>65.55</v>
      </c>
      <c r="D311" s="2" cm="1">
        <f t="array" ref="D311">_xlfn.LET(_xlpm.v,IFERROR(_xlfn.XLOOKUP(A311,Sheet2!$A$2:$A$1453,Sheet2!$D$2:$D$1453),_xlfn.XLOOKUP(A311,TEXT(Sheet2!$A$2:$A$1453,"0"),Sheet2!$D$2:$D$1453,"")),IF(_xlpm.v="","",IF(_xlpm.v&lt;1,_xlpm.v*100,_xlpm.v)))</f>
        <v>20</v>
      </c>
      <c r="E311" s="2">
        <f t="shared" si="4"/>
        <v>52.44</v>
      </c>
      <c r="F311" s="2" t="str" cm="1">
        <f t="array" ref="F311">IFERROR(_xlfn.XLOOKUP(A311,Sheet2!$A$2:$A$1453,Sheet2!$F$2:$F$1453),_xlfn.XLOOKUP(A311,TEXT(Sheet2!$A$2:$A$1453,"0"),Sheet2!$F$2:$F$1453,""))</f>
        <v>26-7-2026</v>
      </c>
      <c r="G311" s="2" t="str" cm="1">
        <f t="array" ref="G311">IFERROR(_xlfn.XLOOKUP(A311,Sheet2!$A$2:$A$1453,Sheet2!$G$2:$G$1453),_xlfn.XLOOKUP(A311,TEXT(Sheet2!$A$2:$A$1453,"0"),Sheet2!$G$2:$G$1453,""))</f>
        <v>6-8-2026</v>
      </c>
    </row>
    <row r="312" spans="1:7" x14ac:dyDescent="0.2">
      <c r="A312" s="1">
        <v>20309060172</v>
      </c>
      <c r="B312" t="str" cm="1">
        <f t="array" ref="B312">IFERROR(_xlfn.XLOOKUP(A312,Sheet2!$A$2:$A$1453,Sheet2!$B$2:$B$1453),_xlfn.XLOOKUP(A312,TEXT(Sheet2!$A$2:$A$1453,"0"),Sheet2!$B$2:$B$1453,""))</f>
        <v>BEESLINE WHITENING GREEN FOREST ROLL</v>
      </c>
      <c r="C312" s="2">
        <v>65.55</v>
      </c>
      <c r="D312" s="2" cm="1">
        <f t="array" ref="D312">_xlfn.LET(_xlpm.v,IFERROR(_xlfn.XLOOKUP(A312,Sheet2!$A$2:$A$1453,Sheet2!$D$2:$D$1453),_xlfn.XLOOKUP(A312,TEXT(Sheet2!$A$2:$A$1453,"0"),Sheet2!$D$2:$D$1453,"")),IF(_xlpm.v="","",IF(_xlpm.v&lt;1,_xlpm.v*100,_xlpm.v)))</f>
        <v>20</v>
      </c>
      <c r="E312" s="2">
        <f t="shared" si="4"/>
        <v>52.44</v>
      </c>
      <c r="F312" s="2" t="str" cm="1">
        <f t="array" ref="F312">IFERROR(_xlfn.XLOOKUP(A312,Sheet2!$A$2:$A$1453,Sheet2!$F$2:$F$1453),_xlfn.XLOOKUP(A312,TEXT(Sheet2!$A$2:$A$1453,"0"),Sheet2!$F$2:$F$1453,""))</f>
        <v>26-7-2026</v>
      </c>
      <c r="G312" s="2" t="str" cm="1">
        <f t="array" ref="G312">IFERROR(_xlfn.XLOOKUP(A312,Sheet2!$A$2:$A$1453,Sheet2!$G$2:$G$1453),_xlfn.XLOOKUP(A312,TEXT(Sheet2!$A$2:$A$1453,"0"),Sheet2!$G$2:$G$1453,""))</f>
        <v>6-8-2026</v>
      </c>
    </row>
    <row r="313" spans="1:7" x14ac:dyDescent="0.2">
      <c r="A313" s="1">
        <v>20309060171</v>
      </c>
      <c r="B313" t="str" cm="1">
        <f t="array" ref="B313">IFERROR(_xlfn.XLOOKUP(A313,Sheet2!$A$2:$A$1453,Sheet2!$B$2:$B$1453),_xlfn.XLOOKUP(A313,TEXT(Sheet2!$A$2:$A$1453,"0"),Sheet2!$B$2:$B$1453,""))</f>
        <v>BEESLINE WHITENING ELDER ROSE ROLL</v>
      </c>
      <c r="C313" s="2">
        <v>65.55</v>
      </c>
      <c r="D313" s="2" cm="1">
        <f t="array" ref="D313">_xlfn.LET(_xlpm.v,IFERROR(_xlfn.XLOOKUP(A313,Sheet2!$A$2:$A$1453,Sheet2!$D$2:$D$1453),_xlfn.XLOOKUP(A313,TEXT(Sheet2!$A$2:$A$1453,"0"),Sheet2!$D$2:$D$1453,"")),IF(_xlpm.v="","",IF(_xlpm.v&lt;1,_xlpm.v*100,_xlpm.v)))</f>
        <v>20</v>
      </c>
      <c r="E313" s="2">
        <f t="shared" si="4"/>
        <v>52.44</v>
      </c>
      <c r="F313" s="2" t="str" cm="1">
        <f t="array" ref="F313">IFERROR(_xlfn.XLOOKUP(A313,Sheet2!$A$2:$A$1453,Sheet2!$F$2:$F$1453),_xlfn.XLOOKUP(A313,TEXT(Sheet2!$A$2:$A$1453,"0"),Sheet2!$F$2:$F$1453,""))</f>
        <v>26-7-2026</v>
      </c>
      <c r="G313" s="2" t="str" cm="1">
        <f t="array" ref="G313">IFERROR(_xlfn.XLOOKUP(A313,Sheet2!$A$2:$A$1453,Sheet2!$G$2:$G$1453),_xlfn.XLOOKUP(A313,TEXT(Sheet2!$A$2:$A$1453,"0"),Sheet2!$G$2:$G$1453,""))</f>
        <v>6-8-2026</v>
      </c>
    </row>
    <row r="314" spans="1:7" x14ac:dyDescent="0.2">
      <c r="A314" s="1">
        <v>20309060169</v>
      </c>
      <c r="B314" t="str" cm="1">
        <f t="array" ref="B314">IFERROR(_xlfn.XLOOKUP(A314,Sheet2!$A$2:$A$1453,Sheet2!$B$2:$B$1453),_xlfn.XLOOKUP(A314,TEXT(Sheet2!$A$2:$A$1453,"0"),Sheet2!$B$2:$B$1453,""))</f>
        <v>BEESLINE WHITENING COOL BREEZE ROLL</v>
      </c>
      <c r="C314" s="2">
        <v>65.55</v>
      </c>
      <c r="D314" s="2" cm="1">
        <f t="array" ref="D314">_xlfn.LET(_xlpm.v,IFERROR(_xlfn.XLOOKUP(A314,Sheet2!$A$2:$A$1453,Sheet2!$D$2:$D$1453),_xlfn.XLOOKUP(A314,TEXT(Sheet2!$A$2:$A$1453,"0"),Sheet2!$D$2:$D$1453,"")),IF(_xlpm.v="","",IF(_xlpm.v&lt;1,_xlpm.v*100,_xlpm.v)))</f>
        <v>20</v>
      </c>
      <c r="E314" s="2">
        <f t="shared" si="4"/>
        <v>52.44</v>
      </c>
      <c r="F314" s="2" t="str" cm="1">
        <f t="array" ref="F314">IFERROR(_xlfn.XLOOKUP(A314,Sheet2!$A$2:$A$1453,Sheet2!$F$2:$F$1453),_xlfn.XLOOKUP(A314,TEXT(Sheet2!$A$2:$A$1453,"0"),Sheet2!$F$2:$F$1453,""))</f>
        <v>26-7-2026</v>
      </c>
      <c r="G314" s="2" t="str" cm="1">
        <f t="array" ref="G314">IFERROR(_xlfn.XLOOKUP(A314,Sheet2!$A$2:$A$1453,Sheet2!$G$2:$G$1453),_xlfn.XLOOKUP(A314,TEXT(Sheet2!$A$2:$A$1453,"0"),Sheet2!$G$2:$G$1453,""))</f>
        <v>6-8-2026</v>
      </c>
    </row>
    <row r="315" spans="1:7" x14ac:dyDescent="0.2">
      <c r="A315" s="1">
        <v>20309060037</v>
      </c>
      <c r="B315" t="str" cm="1">
        <f t="array" ref="B315">IFERROR(_xlfn.XLOOKUP(A315,Sheet2!$A$2:$A$1453,Sheet2!$B$2:$B$1453),_xlfn.XLOOKUP(A315,TEXT(Sheet2!$A$2:$A$1453,"0"),Sheet2!$B$2:$B$1453,""))</f>
        <v>BEESLINE PACIFIC ISLAND ROLL</v>
      </c>
      <c r="C315" s="2">
        <v>65.55</v>
      </c>
      <c r="D315" s="2" cm="1">
        <f t="array" ref="D315">_xlfn.LET(_xlpm.v,IFERROR(_xlfn.XLOOKUP(A315,Sheet2!$A$2:$A$1453,Sheet2!$D$2:$D$1453),_xlfn.XLOOKUP(A315,TEXT(Sheet2!$A$2:$A$1453,"0"),Sheet2!$D$2:$D$1453,"")),IF(_xlpm.v="","",IF(_xlpm.v&lt;1,_xlpm.v*100,_xlpm.v)))</f>
        <v>20</v>
      </c>
      <c r="E315" s="2">
        <f t="shared" si="4"/>
        <v>52.44</v>
      </c>
      <c r="F315" s="2" t="str" cm="1">
        <f t="array" ref="F315">IFERROR(_xlfn.XLOOKUP(A315,Sheet2!$A$2:$A$1453,Sheet2!$F$2:$F$1453),_xlfn.XLOOKUP(A315,TEXT(Sheet2!$A$2:$A$1453,"0"),Sheet2!$F$2:$F$1453,""))</f>
        <v>26-7-2026</v>
      </c>
      <c r="G315" s="2" t="str" cm="1">
        <f t="array" ref="G315">IFERROR(_xlfn.XLOOKUP(A315,Sheet2!$A$2:$A$1453,Sheet2!$G$2:$G$1453),_xlfn.XLOOKUP(A315,TEXT(Sheet2!$A$2:$A$1453,"0"),Sheet2!$G$2:$G$1453,""))</f>
        <v>6-8-2026</v>
      </c>
    </row>
    <row r="316" spans="1:7" x14ac:dyDescent="0.2">
      <c r="A316" s="1">
        <v>20309030384</v>
      </c>
      <c r="B316" t="str" cm="1">
        <f t="array" ref="B316">IFERROR(_xlfn.XLOOKUP(A316,Sheet2!$A$2:$A$1453,Sheet2!$B$2:$B$1453),_xlfn.XLOOKUP(A316,TEXT(Sheet2!$A$2:$A$1453,"0"),Sheet2!$B$2:$B$1453,""))</f>
        <v>BEESLINE FACIAL PURIFYING SOA</v>
      </c>
      <c r="C316" s="2">
        <v>28.75</v>
      </c>
      <c r="D316" s="2" cm="1">
        <f t="array" ref="D316">_xlfn.LET(_xlpm.v,IFERROR(_xlfn.XLOOKUP(A316,Sheet2!$A$2:$A$1453,Sheet2!$D$2:$D$1453),_xlfn.XLOOKUP(A316,TEXT(Sheet2!$A$2:$A$1453,"0"),Sheet2!$D$2:$D$1453,"")),IF(_xlpm.v="","",IF(_xlpm.v&lt;1,_xlpm.v*100,_xlpm.v)))</f>
        <v>20</v>
      </c>
      <c r="E316" s="2">
        <f t="shared" si="4"/>
        <v>23</v>
      </c>
      <c r="F316" s="2" t="str" cm="1">
        <f t="array" ref="F316">IFERROR(_xlfn.XLOOKUP(A316,Sheet2!$A$2:$A$1453,Sheet2!$F$2:$F$1453),_xlfn.XLOOKUP(A316,TEXT(Sheet2!$A$2:$A$1453,"0"),Sheet2!$F$2:$F$1453,""))</f>
        <v>26-7-2026</v>
      </c>
      <c r="G316" s="2" t="str" cm="1">
        <f t="array" ref="G316">IFERROR(_xlfn.XLOOKUP(A316,Sheet2!$A$2:$A$1453,Sheet2!$G$2:$G$1453),_xlfn.XLOOKUP(A316,TEXT(Sheet2!$A$2:$A$1453,"0"),Sheet2!$G$2:$G$1453,""))</f>
        <v>6-8-2026</v>
      </c>
    </row>
    <row r="317" spans="1:7" x14ac:dyDescent="0.2">
      <c r="A317" s="1">
        <v>20309021896</v>
      </c>
      <c r="B317" t="str" cm="1">
        <f t="array" ref="B317">IFERROR(_xlfn.XLOOKUP(A317,Sheet2!$A$2:$A$1453,Sheet2!$B$2:$B$1453),_xlfn.XLOOKUP(A317,TEXT(Sheet2!$A$2:$A$1453,"0"),Sheet2!$B$2:$B$1453,""))</f>
        <v>BEESLINE RADIANT UNDERARM</v>
      </c>
      <c r="C317" s="2">
        <v>74.75</v>
      </c>
      <c r="D317" s="2" cm="1">
        <f t="array" ref="D317">_xlfn.LET(_xlpm.v,IFERROR(_xlfn.XLOOKUP(A317,Sheet2!$A$2:$A$1453,Sheet2!$D$2:$D$1453),_xlfn.XLOOKUP(A317,TEXT(Sheet2!$A$2:$A$1453,"0"),Sheet2!$D$2:$D$1453,"")),IF(_xlpm.v="","",IF(_xlpm.v&lt;1,_xlpm.v*100,_xlpm.v)))</f>
        <v>20</v>
      </c>
      <c r="E317" s="2">
        <f t="shared" si="4"/>
        <v>59.800000000000004</v>
      </c>
      <c r="F317" s="2" t="str" cm="1">
        <f t="array" ref="F317">IFERROR(_xlfn.XLOOKUP(A317,Sheet2!$A$2:$A$1453,Sheet2!$F$2:$F$1453),_xlfn.XLOOKUP(A317,TEXT(Sheet2!$A$2:$A$1453,"0"),Sheet2!$F$2:$F$1453,""))</f>
        <v>26-7-2026</v>
      </c>
      <c r="G317" s="2" t="str" cm="1">
        <f t="array" ref="G317">IFERROR(_xlfn.XLOOKUP(A317,Sheet2!$A$2:$A$1453,Sheet2!$G$2:$G$1453),_xlfn.XLOOKUP(A317,TEXT(Sheet2!$A$2:$A$1453,"0"),Sheet2!$G$2:$G$1453,""))</f>
        <v>6-8-2026</v>
      </c>
    </row>
    <row r="318" spans="1:7" x14ac:dyDescent="0.2">
      <c r="A318" s="1">
        <v>20309021895</v>
      </c>
      <c r="B318" t="str" cm="1">
        <f t="array" ref="B318">IFERROR(_xlfn.XLOOKUP(A318,Sheet2!$A$2:$A$1453,Sheet2!$B$2:$B$1453),_xlfn.XLOOKUP(A318,TEXT(Sheet2!$A$2:$A$1453,"0"),Sheet2!$B$2:$B$1453,""))</f>
        <v>BEESLINE RADIANT UNDERARM</v>
      </c>
      <c r="C318" s="2">
        <v>74.75</v>
      </c>
      <c r="D318" s="2" cm="1">
        <f t="array" ref="D318">_xlfn.LET(_xlpm.v,IFERROR(_xlfn.XLOOKUP(A318,Sheet2!$A$2:$A$1453,Sheet2!$D$2:$D$1453),_xlfn.XLOOKUP(A318,TEXT(Sheet2!$A$2:$A$1453,"0"),Sheet2!$D$2:$D$1453,"")),IF(_xlpm.v="","",IF(_xlpm.v&lt;1,_xlpm.v*100,_xlpm.v)))</f>
        <v>20</v>
      </c>
      <c r="E318" s="2">
        <f t="shared" si="4"/>
        <v>59.800000000000004</v>
      </c>
      <c r="F318" s="2" t="str" cm="1">
        <f t="array" ref="F318">IFERROR(_xlfn.XLOOKUP(A318,Sheet2!$A$2:$A$1453,Sheet2!$F$2:$F$1453),_xlfn.XLOOKUP(A318,TEXT(Sheet2!$A$2:$A$1453,"0"),Sheet2!$F$2:$F$1453,""))</f>
        <v>26-7-2026</v>
      </c>
      <c r="G318" s="2" t="str" cm="1">
        <f t="array" ref="G318">IFERROR(_xlfn.XLOOKUP(A318,Sheet2!$A$2:$A$1453,Sheet2!$G$2:$G$1453),_xlfn.XLOOKUP(A318,TEXT(Sheet2!$A$2:$A$1453,"0"),Sheet2!$G$2:$G$1453,""))</f>
        <v>6-8-2026</v>
      </c>
    </row>
    <row r="319" spans="1:7" x14ac:dyDescent="0.2">
      <c r="A319" s="1">
        <v>20309021894</v>
      </c>
      <c r="B319" t="str" cm="1">
        <f t="array" ref="B319">IFERROR(_xlfn.XLOOKUP(A319,Sheet2!$A$2:$A$1453,Sheet2!$B$2:$B$1453),_xlfn.XLOOKUP(A319,TEXT(Sheet2!$A$2:$A$1453,"0"),Sheet2!$B$2:$B$1453,""))</f>
        <v>BEESLINE RADIANT UNDERARM</v>
      </c>
      <c r="C319" s="2">
        <v>74.75</v>
      </c>
      <c r="D319" s="2" cm="1">
        <f t="array" ref="D319">_xlfn.LET(_xlpm.v,IFERROR(_xlfn.XLOOKUP(A319,Sheet2!$A$2:$A$1453,Sheet2!$D$2:$D$1453),_xlfn.XLOOKUP(A319,TEXT(Sheet2!$A$2:$A$1453,"0"),Sheet2!$D$2:$D$1453,"")),IF(_xlpm.v="","",IF(_xlpm.v&lt;1,_xlpm.v*100,_xlpm.v)))</f>
        <v>20</v>
      </c>
      <c r="E319" s="2">
        <f t="shared" si="4"/>
        <v>59.800000000000004</v>
      </c>
      <c r="F319" s="2" t="str" cm="1">
        <f t="array" ref="F319">IFERROR(_xlfn.XLOOKUP(A319,Sheet2!$A$2:$A$1453,Sheet2!$F$2:$F$1453),_xlfn.XLOOKUP(A319,TEXT(Sheet2!$A$2:$A$1453,"0"),Sheet2!$F$2:$F$1453,""))</f>
        <v>26-7-2026</v>
      </c>
      <c r="G319" s="2" t="str" cm="1">
        <f t="array" ref="G319">IFERROR(_xlfn.XLOOKUP(A319,Sheet2!$A$2:$A$1453,Sheet2!$G$2:$G$1453),_xlfn.XLOOKUP(A319,TEXT(Sheet2!$A$2:$A$1453,"0"),Sheet2!$G$2:$G$1453,""))</f>
        <v>6-8-2026</v>
      </c>
    </row>
    <row r="320" spans="1:7" x14ac:dyDescent="0.2">
      <c r="A320" s="1">
        <v>20309021890</v>
      </c>
      <c r="B320" t="str" cm="1">
        <f t="array" ref="B320">IFERROR(_xlfn.XLOOKUP(A320,Sheet2!$A$2:$A$1453,Sheet2!$B$2:$B$1453),_xlfn.XLOOKUP(A320,TEXT(Sheet2!$A$2:$A$1453,"0"),Sheet2!$B$2:$B$1453,""))</f>
        <v>BEESLINE INSTANT BRIGHT FA</v>
      </c>
      <c r="C320" s="2">
        <v>89.7</v>
      </c>
      <c r="D320" s="2" cm="1">
        <f t="array" ref="D320">_xlfn.LET(_xlpm.v,IFERROR(_xlfn.XLOOKUP(A320,Sheet2!$A$2:$A$1453,Sheet2!$D$2:$D$1453),_xlfn.XLOOKUP(A320,TEXT(Sheet2!$A$2:$A$1453,"0"),Sheet2!$D$2:$D$1453,"")),IF(_xlpm.v="","",IF(_xlpm.v&lt;1,_xlpm.v*100,_xlpm.v)))</f>
        <v>20</v>
      </c>
      <c r="E320" s="2">
        <f t="shared" si="4"/>
        <v>71.760000000000005</v>
      </c>
      <c r="F320" s="2" t="str" cm="1">
        <f t="array" ref="F320">IFERROR(_xlfn.XLOOKUP(A320,Sheet2!$A$2:$A$1453,Sheet2!$F$2:$F$1453),_xlfn.XLOOKUP(A320,TEXT(Sheet2!$A$2:$A$1453,"0"),Sheet2!$F$2:$F$1453,""))</f>
        <v>26-7-2026</v>
      </c>
      <c r="G320" s="2" t="str" cm="1">
        <f t="array" ref="G320">IFERROR(_xlfn.XLOOKUP(A320,Sheet2!$A$2:$A$1453,Sheet2!$G$2:$G$1453),_xlfn.XLOOKUP(A320,TEXT(Sheet2!$A$2:$A$1453,"0"),Sheet2!$G$2:$G$1453,""))</f>
        <v>6-8-2026</v>
      </c>
    </row>
    <row r="321" spans="1:7" x14ac:dyDescent="0.2">
      <c r="A321" s="1">
        <v>20309021889</v>
      </c>
      <c r="B321" t="str" cm="1">
        <f t="array" ref="B321">IFERROR(_xlfn.XLOOKUP(A321,Sheet2!$A$2:$A$1453,Sheet2!$B$2:$B$1453),_xlfn.XLOOKUP(A321,TEXT(Sheet2!$A$2:$A$1453,"0"),Sheet2!$B$2:$B$1453,""))</f>
        <v>BEESLINE RADIANT UNDERARM</v>
      </c>
      <c r="C321" s="2">
        <v>74.75</v>
      </c>
      <c r="D321" s="2" cm="1">
        <f t="array" ref="D321">_xlfn.LET(_xlpm.v,IFERROR(_xlfn.XLOOKUP(A321,Sheet2!$A$2:$A$1453,Sheet2!$D$2:$D$1453),_xlfn.XLOOKUP(A321,TEXT(Sheet2!$A$2:$A$1453,"0"),Sheet2!$D$2:$D$1453,"")),IF(_xlpm.v="","",IF(_xlpm.v&lt;1,_xlpm.v*100,_xlpm.v)))</f>
        <v>20</v>
      </c>
      <c r="E321" s="2">
        <f t="shared" si="4"/>
        <v>59.800000000000004</v>
      </c>
      <c r="F321" s="2" t="str" cm="1">
        <f t="array" ref="F321">IFERROR(_xlfn.XLOOKUP(A321,Sheet2!$A$2:$A$1453,Sheet2!$F$2:$F$1453),_xlfn.XLOOKUP(A321,TEXT(Sheet2!$A$2:$A$1453,"0"),Sheet2!$F$2:$F$1453,""))</f>
        <v>26-7-2026</v>
      </c>
      <c r="G321" s="2" t="str" cm="1">
        <f t="array" ref="G321">IFERROR(_xlfn.XLOOKUP(A321,Sheet2!$A$2:$A$1453,Sheet2!$G$2:$G$1453),_xlfn.XLOOKUP(A321,TEXT(Sheet2!$A$2:$A$1453,"0"),Sheet2!$G$2:$G$1453,""))</f>
        <v>6-8-2026</v>
      </c>
    </row>
    <row r="322" spans="1:7" x14ac:dyDescent="0.2">
      <c r="A322" s="1">
        <v>20309021888</v>
      </c>
      <c r="B322" t="str" cm="1">
        <f t="array" ref="B322">IFERROR(_xlfn.XLOOKUP(A322,Sheet2!$A$2:$A$1453,Sheet2!$B$2:$B$1453),_xlfn.XLOOKUP(A322,TEXT(Sheet2!$A$2:$A$1453,"0"),Sheet2!$B$2:$B$1453,""))</f>
        <v>BEESLINE RADIANT UNDERARM</v>
      </c>
      <c r="C322" s="2">
        <v>74.75</v>
      </c>
      <c r="D322" s="2" cm="1">
        <f t="array" ref="D322">_xlfn.LET(_xlpm.v,IFERROR(_xlfn.XLOOKUP(A322,Sheet2!$A$2:$A$1453,Sheet2!$D$2:$D$1453),_xlfn.XLOOKUP(A322,TEXT(Sheet2!$A$2:$A$1453,"0"),Sheet2!$D$2:$D$1453,"")),IF(_xlpm.v="","",IF(_xlpm.v&lt;1,_xlpm.v*100,_xlpm.v)))</f>
        <v>20</v>
      </c>
      <c r="E322" s="2">
        <f t="shared" si="4"/>
        <v>59.800000000000004</v>
      </c>
      <c r="F322" s="2" t="str" cm="1">
        <f t="array" ref="F322">IFERROR(_xlfn.XLOOKUP(A322,Sheet2!$A$2:$A$1453,Sheet2!$F$2:$F$1453),_xlfn.XLOOKUP(A322,TEXT(Sheet2!$A$2:$A$1453,"0"),Sheet2!$F$2:$F$1453,""))</f>
        <v>26-7-2026</v>
      </c>
      <c r="G322" s="2" t="str" cm="1">
        <f t="array" ref="G322">IFERROR(_xlfn.XLOOKUP(A322,Sheet2!$A$2:$A$1453,Sheet2!$G$2:$G$1453),_xlfn.XLOOKUP(A322,TEXT(Sheet2!$A$2:$A$1453,"0"),Sheet2!$G$2:$G$1453,""))</f>
        <v>6-8-2026</v>
      </c>
    </row>
    <row r="323" spans="1:7" x14ac:dyDescent="0.2">
      <c r="A323" s="1">
        <v>20309021887</v>
      </c>
      <c r="B323" t="str" cm="1">
        <f t="array" ref="B323">IFERROR(_xlfn.XLOOKUP(A323,Sheet2!$A$2:$A$1453,Sheet2!$B$2:$B$1453),_xlfn.XLOOKUP(A323,TEXT(Sheet2!$A$2:$A$1453,"0"),Sheet2!$B$2:$B$1453,""))</f>
        <v>BEESLINE RADIANT UNDERARM</v>
      </c>
      <c r="C323" s="2">
        <v>74.75</v>
      </c>
      <c r="D323" s="2" cm="1">
        <f t="array" ref="D323">_xlfn.LET(_xlpm.v,IFERROR(_xlfn.XLOOKUP(A323,Sheet2!$A$2:$A$1453,Sheet2!$D$2:$D$1453),_xlfn.XLOOKUP(A323,TEXT(Sheet2!$A$2:$A$1453,"0"),Sheet2!$D$2:$D$1453,"")),IF(_xlpm.v="","",IF(_xlpm.v&lt;1,_xlpm.v*100,_xlpm.v)))</f>
        <v>20</v>
      </c>
      <c r="E323" s="2">
        <f t="shared" ref="E323:E386" si="5">IF(D323="","",C323*(1-D323/100))</f>
        <v>59.800000000000004</v>
      </c>
      <c r="F323" s="2" t="str" cm="1">
        <f t="array" ref="F323">IFERROR(_xlfn.XLOOKUP(A323,Sheet2!$A$2:$A$1453,Sheet2!$F$2:$F$1453),_xlfn.XLOOKUP(A323,TEXT(Sheet2!$A$2:$A$1453,"0"),Sheet2!$F$2:$F$1453,""))</f>
        <v>26-7-2026</v>
      </c>
      <c r="G323" s="2" t="str" cm="1">
        <f t="array" ref="G323">IFERROR(_xlfn.XLOOKUP(A323,Sheet2!$A$2:$A$1453,Sheet2!$G$2:$G$1453),_xlfn.XLOOKUP(A323,TEXT(Sheet2!$A$2:$A$1453,"0"),Sheet2!$G$2:$G$1453,""))</f>
        <v>6-8-2026</v>
      </c>
    </row>
    <row r="324" spans="1:7" x14ac:dyDescent="0.2">
      <c r="A324" s="1">
        <v>20309021886</v>
      </c>
      <c r="B324" t="str" cm="1">
        <f t="array" ref="B324">IFERROR(_xlfn.XLOOKUP(A324,Sheet2!$A$2:$A$1453,Sheet2!$B$2:$B$1453),_xlfn.XLOOKUP(A324,TEXT(Sheet2!$A$2:$A$1453,"0"),Sheet2!$B$2:$B$1453,""))</f>
        <v>BEESLINE RADIANT UNDERARM</v>
      </c>
      <c r="C324" s="2">
        <v>74.75</v>
      </c>
      <c r="D324" s="2" cm="1">
        <f t="array" ref="D324">_xlfn.LET(_xlpm.v,IFERROR(_xlfn.XLOOKUP(A324,Sheet2!$A$2:$A$1453,Sheet2!$D$2:$D$1453),_xlfn.XLOOKUP(A324,TEXT(Sheet2!$A$2:$A$1453,"0"),Sheet2!$D$2:$D$1453,"")),IF(_xlpm.v="","",IF(_xlpm.v&lt;1,_xlpm.v*100,_xlpm.v)))</f>
        <v>20</v>
      </c>
      <c r="E324" s="2">
        <f t="shared" si="5"/>
        <v>59.800000000000004</v>
      </c>
      <c r="F324" s="2" t="str" cm="1">
        <f t="array" ref="F324">IFERROR(_xlfn.XLOOKUP(A324,Sheet2!$A$2:$A$1453,Sheet2!$F$2:$F$1453),_xlfn.XLOOKUP(A324,TEXT(Sheet2!$A$2:$A$1453,"0"),Sheet2!$F$2:$F$1453,""))</f>
        <v>26-7-2026</v>
      </c>
      <c r="G324" s="2" t="str" cm="1">
        <f t="array" ref="G324">IFERROR(_xlfn.XLOOKUP(A324,Sheet2!$A$2:$A$1453,Sheet2!$G$2:$G$1453),_xlfn.XLOOKUP(A324,TEXT(Sheet2!$A$2:$A$1453,"0"),Sheet2!$G$2:$G$1453,""))</f>
        <v>6-8-2026</v>
      </c>
    </row>
    <row r="325" spans="1:7" x14ac:dyDescent="0.2">
      <c r="A325" s="1">
        <v>20309021483</v>
      </c>
      <c r="B325" t="str" cm="1">
        <f t="array" ref="B325">IFERROR(_xlfn.XLOOKUP(A325,Sheet2!$A$2:$A$1453,Sheet2!$B$2:$B$1453),_xlfn.XLOOKUP(A325,TEXT(Sheet2!$A$2:$A$1453,"0"),Sheet2!$B$2:$B$1453,""))</f>
        <v>BEESLINE AGE DEFENSE FACIAL FL</v>
      </c>
      <c r="C325" s="2">
        <v>112</v>
      </c>
      <c r="D325" s="2" cm="1">
        <f t="array" ref="D325">_xlfn.LET(_xlpm.v,IFERROR(_xlfn.XLOOKUP(A325,Sheet2!$A$2:$A$1453,Sheet2!$D$2:$D$1453),_xlfn.XLOOKUP(A325,TEXT(Sheet2!$A$2:$A$1453,"0"),Sheet2!$D$2:$D$1453,"")),IF(_xlpm.v="","",IF(_xlpm.v&lt;1,_xlpm.v*100,_xlpm.v)))</f>
        <v>20</v>
      </c>
      <c r="E325" s="2">
        <f t="shared" si="5"/>
        <v>89.600000000000009</v>
      </c>
      <c r="F325" s="2" t="str" cm="1">
        <f t="array" ref="F325">IFERROR(_xlfn.XLOOKUP(A325,Sheet2!$A$2:$A$1453,Sheet2!$F$2:$F$1453),_xlfn.XLOOKUP(A325,TEXT(Sheet2!$A$2:$A$1453,"0"),Sheet2!$F$2:$F$1453,""))</f>
        <v>26-7-2026</v>
      </c>
      <c r="G325" s="2" t="str" cm="1">
        <f t="array" ref="G325">IFERROR(_xlfn.XLOOKUP(A325,Sheet2!$A$2:$A$1453,Sheet2!$G$2:$G$1453),_xlfn.XLOOKUP(A325,TEXT(Sheet2!$A$2:$A$1453,"0"),Sheet2!$G$2:$G$1453,""))</f>
        <v>6-8-2026</v>
      </c>
    </row>
    <row r="326" spans="1:7" x14ac:dyDescent="0.2">
      <c r="A326" s="1">
        <v>20309021271</v>
      </c>
      <c r="B326" t="str" cm="1">
        <f t="array" ref="B326">IFERROR(_xlfn.XLOOKUP(A326,Sheet2!$A$2:$A$1453,Sheet2!$B$2:$B$1453),_xlfn.XLOOKUP(A326,TEXT(Sheet2!$A$2:$A$1453,"0"),Sheet2!$B$2:$B$1453,""))</f>
        <v>BEESLINE HONEY MOIST SOAP</v>
      </c>
      <c r="C326" s="2">
        <v>14.95</v>
      </c>
      <c r="D326" s="2" cm="1">
        <f t="array" ref="D326">_xlfn.LET(_xlpm.v,IFERROR(_xlfn.XLOOKUP(A326,Sheet2!$A$2:$A$1453,Sheet2!$D$2:$D$1453),_xlfn.XLOOKUP(A326,TEXT(Sheet2!$A$2:$A$1453,"0"),Sheet2!$D$2:$D$1453,"")),IF(_xlpm.v="","",IF(_xlpm.v&lt;1,_xlpm.v*100,_xlpm.v)))</f>
        <v>20</v>
      </c>
      <c r="E326" s="2">
        <f t="shared" si="5"/>
        <v>11.96</v>
      </c>
      <c r="F326" s="2" t="str" cm="1">
        <f t="array" ref="F326">IFERROR(_xlfn.XLOOKUP(A326,Sheet2!$A$2:$A$1453,Sheet2!$F$2:$F$1453),_xlfn.XLOOKUP(A326,TEXT(Sheet2!$A$2:$A$1453,"0"),Sheet2!$F$2:$F$1453,""))</f>
        <v>26-7-2026</v>
      </c>
      <c r="G326" s="2" t="str" cm="1">
        <f t="array" ref="G326">IFERROR(_xlfn.XLOOKUP(A326,Sheet2!$A$2:$A$1453,Sheet2!$G$2:$G$1453),_xlfn.XLOOKUP(A326,TEXT(Sheet2!$A$2:$A$1453,"0"),Sheet2!$G$2:$G$1453,""))</f>
        <v>6-8-2026</v>
      </c>
    </row>
    <row r="327" spans="1:7" x14ac:dyDescent="0.2">
      <c r="A327" s="1">
        <v>20309021246</v>
      </c>
      <c r="B327" t="str" cm="1">
        <f t="array" ref="B327">IFERROR(_xlfn.XLOOKUP(A327,Sheet2!$A$2:$A$1453,Sheet2!$B$2:$B$1453),_xlfn.XLOOKUP(A327,TEXT(Sheet2!$A$2:$A$1453,"0"),Sheet2!$B$2:$B$1453,""))</f>
        <v>BEESLINE WHITINING SENSTIVE ZO</v>
      </c>
      <c r="C327" s="2">
        <v>123.05</v>
      </c>
      <c r="D327" s="2" cm="1">
        <f t="array" ref="D327">_xlfn.LET(_xlpm.v,IFERROR(_xlfn.XLOOKUP(A327,Sheet2!$A$2:$A$1453,Sheet2!$D$2:$D$1453),_xlfn.XLOOKUP(A327,TEXT(Sheet2!$A$2:$A$1453,"0"),Sheet2!$D$2:$D$1453,"")),IF(_xlpm.v="","",IF(_xlpm.v&lt;1,_xlpm.v*100,_xlpm.v)))</f>
        <v>20</v>
      </c>
      <c r="E327" s="2">
        <f t="shared" si="5"/>
        <v>98.44</v>
      </c>
      <c r="F327" s="2" t="str" cm="1">
        <f t="array" ref="F327">IFERROR(_xlfn.XLOOKUP(A327,Sheet2!$A$2:$A$1453,Sheet2!$F$2:$F$1453),_xlfn.XLOOKUP(A327,TEXT(Sheet2!$A$2:$A$1453,"0"),Sheet2!$F$2:$F$1453,""))</f>
        <v>26-7-2026</v>
      </c>
      <c r="G327" s="2" t="str" cm="1">
        <f t="array" ref="G327">IFERROR(_xlfn.XLOOKUP(A327,Sheet2!$A$2:$A$1453,Sheet2!$G$2:$G$1453),_xlfn.XLOOKUP(A327,TEXT(Sheet2!$A$2:$A$1453,"0"),Sheet2!$G$2:$G$1453,""))</f>
        <v>6-8-2026</v>
      </c>
    </row>
    <row r="328" spans="1:7" x14ac:dyDescent="0.2">
      <c r="A328" s="1">
        <v>20309020377</v>
      </c>
      <c r="B328" t="str" cm="1">
        <f t="array" ref="B328">IFERROR(_xlfn.XLOOKUP(A328,Sheet2!$A$2:$A$1453,Sheet2!$B$2:$B$1453),_xlfn.XLOOKUP(A328,TEXT(Sheet2!$A$2:$A$1453,"0"),Sheet2!$B$2:$B$1453,""))</f>
        <v>BEESLINE WHITENING FACIAL SOA</v>
      </c>
      <c r="C328" s="2">
        <v>30.94</v>
      </c>
      <c r="D328" s="2" cm="1">
        <f t="array" ref="D328">_xlfn.LET(_xlpm.v,IFERROR(_xlfn.XLOOKUP(A328,Sheet2!$A$2:$A$1453,Sheet2!$D$2:$D$1453),_xlfn.XLOOKUP(A328,TEXT(Sheet2!$A$2:$A$1453,"0"),Sheet2!$D$2:$D$1453,"")),IF(_xlpm.v="","",IF(_xlpm.v&lt;1,_xlpm.v*100,_xlpm.v)))</f>
        <v>20</v>
      </c>
      <c r="E328" s="2">
        <f t="shared" si="5"/>
        <v>24.752000000000002</v>
      </c>
      <c r="F328" s="2" t="str" cm="1">
        <f t="array" ref="F328">IFERROR(_xlfn.XLOOKUP(A328,Sheet2!$A$2:$A$1453,Sheet2!$F$2:$F$1453),_xlfn.XLOOKUP(A328,TEXT(Sheet2!$A$2:$A$1453,"0"),Sheet2!$F$2:$F$1453,""))</f>
        <v>26-7-2026</v>
      </c>
      <c r="G328" s="2" t="str" cm="1">
        <f t="array" ref="G328">IFERROR(_xlfn.XLOOKUP(A328,Sheet2!$A$2:$A$1453,Sheet2!$G$2:$G$1453),_xlfn.XLOOKUP(A328,TEXT(Sheet2!$A$2:$A$1453,"0"),Sheet2!$G$2:$G$1453,""))</f>
        <v>6-8-2026</v>
      </c>
    </row>
    <row r="329" spans="1:7" x14ac:dyDescent="0.2">
      <c r="A329" s="1">
        <v>20309020376</v>
      </c>
      <c r="B329" t="str" cm="1">
        <f t="array" ref="B329">IFERROR(_xlfn.XLOOKUP(A329,Sheet2!$A$2:$A$1453,Sheet2!$B$2:$B$1453),_xlfn.XLOOKUP(A329,TEXT(Sheet2!$A$2:$A$1453,"0"),Sheet2!$B$2:$B$1453,""))</f>
        <v>BEESLINE WHITENING FACIAL EXF</v>
      </c>
      <c r="C329" s="2">
        <v>20.7</v>
      </c>
      <c r="D329" s="2" cm="1">
        <f t="array" ref="D329">_xlfn.LET(_xlpm.v,IFERROR(_xlfn.XLOOKUP(A329,Sheet2!$A$2:$A$1453,Sheet2!$D$2:$D$1453),_xlfn.XLOOKUP(A329,TEXT(Sheet2!$A$2:$A$1453,"0"),Sheet2!$D$2:$D$1453,"")),IF(_xlpm.v="","",IF(_xlpm.v&lt;1,_xlpm.v*100,_xlpm.v)))</f>
        <v>20</v>
      </c>
      <c r="E329" s="2">
        <f t="shared" si="5"/>
        <v>16.559999999999999</v>
      </c>
      <c r="F329" s="2" t="str" cm="1">
        <f t="array" ref="F329">IFERROR(_xlfn.XLOOKUP(A329,Sheet2!$A$2:$A$1453,Sheet2!$F$2:$F$1453),_xlfn.XLOOKUP(A329,TEXT(Sheet2!$A$2:$A$1453,"0"),Sheet2!$F$2:$F$1453,""))</f>
        <v>26-7-2026</v>
      </c>
      <c r="G329" s="2" t="str" cm="1">
        <f t="array" ref="G329">IFERROR(_xlfn.XLOOKUP(A329,Sheet2!$A$2:$A$1453,Sheet2!$G$2:$G$1453),_xlfn.XLOOKUP(A329,TEXT(Sheet2!$A$2:$A$1453,"0"),Sheet2!$G$2:$G$1453,""))</f>
        <v>6-8-2026</v>
      </c>
    </row>
    <row r="330" spans="1:7" x14ac:dyDescent="0.2">
      <c r="A330" s="1">
        <v>20309020375</v>
      </c>
      <c r="B330" t="str" cm="1">
        <f t="array" ref="B330">IFERROR(_xlfn.XLOOKUP(A330,Sheet2!$A$2:$A$1453,Sheet2!$B$2:$B$1453),_xlfn.XLOOKUP(A330,TEXT(Sheet2!$A$2:$A$1453,"0"),Sheet2!$B$2:$B$1453,""))</f>
        <v>BEESLINE WHITENING BODY EXFOLIATING SOAP</v>
      </c>
      <c r="C330" s="2">
        <v>28.75</v>
      </c>
      <c r="D330" s="2" cm="1">
        <f t="array" ref="D330">_xlfn.LET(_xlpm.v,IFERROR(_xlfn.XLOOKUP(A330,Sheet2!$A$2:$A$1453,Sheet2!$D$2:$D$1453),_xlfn.XLOOKUP(A330,TEXT(Sheet2!$A$2:$A$1453,"0"),Sheet2!$D$2:$D$1453,"")),IF(_xlpm.v="","",IF(_xlpm.v&lt;1,_xlpm.v*100,_xlpm.v)))</f>
        <v>20</v>
      </c>
      <c r="E330" s="2">
        <f t="shared" si="5"/>
        <v>23</v>
      </c>
      <c r="F330" s="2" t="str" cm="1">
        <f t="array" ref="F330">IFERROR(_xlfn.XLOOKUP(A330,Sheet2!$A$2:$A$1453,Sheet2!$F$2:$F$1453),_xlfn.XLOOKUP(A330,TEXT(Sheet2!$A$2:$A$1453,"0"),Sheet2!$F$2:$F$1453,""))</f>
        <v>26-7-2026</v>
      </c>
      <c r="G330" s="2" t="str" cm="1">
        <f t="array" ref="G330">IFERROR(_xlfn.XLOOKUP(A330,Sheet2!$A$2:$A$1453,Sheet2!$G$2:$G$1453),_xlfn.XLOOKUP(A330,TEXT(Sheet2!$A$2:$A$1453,"0"),Sheet2!$G$2:$G$1453,""))</f>
        <v>6-8-2026</v>
      </c>
    </row>
    <row r="331" spans="1:7" x14ac:dyDescent="0.2">
      <c r="A331" s="1">
        <v>20309020378</v>
      </c>
      <c r="B331" t="str" cm="1">
        <f t="array" ref="B331">IFERROR(_xlfn.XLOOKUP(A331,Sheet2!$A$2:$A$1453,Sheet2!$B$2:$B$1453),_xlfn.XLOOKUP(A331,TEXT(Sheet2!$A$2:$A$1453,"0"),Sheet2!$B$2:$B$1453,""))</f>
        <v>BEESLINE WHITENING SENSITIVE Z</v>
      </c>
      <c r="C331" s="2">
        <v>43.36</v>
      </c>
      <c r="D331" s="2" cm="1">
        <f t="array" ref="D331">_xlfn.LET(_xlpm.v,IFERROR(_xlfn.XLOOKUP(A331,Sheet2!$A$2:$A$1453,Sheet2!$D$2:$D$1453),_xlfn.XLOOKUP(A331,TEXT(Sheet2!$A$2:$A$1453,"0"),Sheet2!$D$2:$D$1453,"")),IF(_xlpm.v="","",IF(_xlpm.v&lt;1,_xlpm.v*100,_xlpm.v)))</f>
        <v>20</v>
      </c>
      <c r="E331" s="2">
        <f t="shared" si="5"/>
        <v>34.688000000000002</v>
      </c>
      <c r="F331" s="2" t="str" cm="1">
        <f t="array" ref="F331">IFERROR(_xlfn.XLOOKUP(A331,Sheet2!$A$2:$A$1453,Sheet2!$F$2:$F$1453),_xlfn.XLOOKUP(A331,TEXT(Sheet2!$A$2:$A$1453,"0"),Sheet2!$F$2:$F$1453,""))</f>
        <v>26-7-2026</v>
      </c>
      <c r="G331" s="2" t="str" cm="1">
        <f t="array" ref="G331">IFERROR(_xlfn.XLOOKUP(A331,Sheet2!$A$2:$A$1453,Sheet2!$G$2:$G$1453),_xlfn.XLOOKUP(A331,TEXT(Sheet2!$A$2:$A$1453,"0"),Sheet2!$G$2:$G$1453,""))</f>
        <v>6-8-2026</v>
      </c>
    </row>
    <row r="332" spans="1:7" x14ac:dyDescent="0.2">
      <c r="A332" s="1">
        <v>20309501986</v>
      </c>
      <c r="B332" t="str" cm="1">
        <f t="array" ref="B332">IFERROR(_xlfn.XLOOKUP(A332,Sheet2!$A$2:$A$1453,Sheet2!$B$2:$B$1453),_xlfn.XLOOKUP(A332,TEXT(Sheet2!$A$2:$A$1453,"0"),Sheet2!$B$2:$B$1453,""))</f>
        <v>BEESLINE FRUITY LIPS</v>
      </c>
      <c r="C332" s="2">
        <v>23.58</v>
      </c>
      <c r="D332" s="2" cm="1">
        <f t="array" ref="D332">_xlfn.LET(_xlpm.v,IFERROR(_xlfn.XLOOKUP(A332,Sheet2!$A$2:$A$1453,Sheet2!$D$2:$D$1453),_xlfn.XLOOKUP(A332,TEXT(Sheet2!$A$2:$A$1453,"0"),Sheet2!$D$2:$D$1453,"")),IF(_xlpm.v="","",IF(_xlpm.v&lt;1,_xlpm.v*100,_xlpm.v)))</f>
        <v>20</v>
      </c>
      <c r="E332" s="2">
        <f t="shared" si="5"/>
        <v>18.864000000000001</v>
      </c>
      <c r="F332" s="2" t="str" cm="1">
        <f t="array" ref="F332">IFERROR(_xlfn.XLOOKUP(A332,Sheet2!$A$2:$A$1453,Sheet2!$F$2:$F$1453),_xlfn.XLOOKUP(A332,TEXT(Sheet2!$A$2:$A$1453,"0"),Sheet2!$F$2:$F$1453,""))</f>
        <v>26-7-2026</v>
      </c>
      <c r="G332" s="2" t="str" cm="1">
        <f t="array" ref="G332">IFERROR(_xlfn.XLOOKUP(A332,Sheet2!$A$2:$A$1453,Sheet2!$G$2:$G$1453),_xlfn.XLOOKUP(A332,TEXT(Sheet2!$A$2:$A$1453,"0"),Sheet2!$G$2:$G$1453,""))</f>
        <v>6-8-2026</v>
      </c>
    </row>
    <row r="333" spans="1:7" x14ac:dyDescent="0.2">
      <c r="A333" s="1">
        <v>20309020370</v>
      </c>
      <c r="B333" t="str" cm="1">
        <f t="array" ref="B333">IFERROR(_xlfn.XLOOKUP(A333,Sheet2!$A$2:$A$1453,Sheet2!$B$2:$B$1453),_xlfn.XLOOKUP(A333,TEXT(Sheet2!$A$2:$A$1453,"0"),Sheet2!$B$2:$B$1453,""))</f>
        <v>BEESLINE LIP CARE</v>
      </c>
      <c r="C333" s="2">
        <v>21.85</v>
      </c>
      <c r="D333" s="2" cm="1">
        <f t="array" ref="D333">_xlfn.LET(_xlpm.v,IFERROR(_xlfn.XLOOKUP(A333,Sheet2!$A$2:$A$1453,Sheet2!$D$2:$D$1453),_xlfn.XLOOKUP(A333,TEXT(Sheet2!$A$2:$A$1453,"0"),Sheet2!$D$2:$D$1453,"")),IF(_xlpm.v="","",IF(_xlpm.v&lt;1,_xlpm.v*100,_xlpm.v)))</f>
        <v>20</v>
      </c>
      <c r="E333" s="2">
        <f t="shared" si="5"/>
        <v>17.48</v>
      </c>
      <c r="F333" s="2" t="str" cm="1">
        <f t="array" ref="F333">IFERROR(_xlfn.XLOOKUP(A333,Sheet2!$A$2:$A$1453,Sheet2!$F$2:$F$1453),_xlfn.XLOOKUP(A333,TEXT(Sheet2!$A$2:$A$1453,"0"),Sheet2!$F$2:$F$1453,""))</f>
        <v>26-7-2026</v>
      </c>
      <c r="G333" s="2" t="str" cm="1">
        <f t="array" ref="G333">IFERROR(_xlfn.XLOOKUP(A333,Sheet2!$A$2:$A$1453,Sheet2!$G$2:$G$1453),_xlfn.XLOOKUP(A333,TEXT(Sheet2!$A$2:$A$1453,"0"),Sheet2!$G$2:$G$1453,""))</f>
        <v>6-8-2026</v>
      </c>
    </row>
    <row r="334" spans="1:7" x14ac:dyDescent="0.2">
      <c r="A334" s="1">
        <v>20309020344</v>
      </c>
      <c r="B334" t="str" cm="1">
        <f t="array" ref="B334">IFERROR(_xlfn.XLOOKUP(A334,Sheet2!$A$2:$A$1453,Sheet2!$B$2:$B$1453),_xlfn.XLOOKUP(A334,TEXT(Sheet2!$A$2:$A$1453,"0"),Sheet2!$B$2:$B$1453,""))</f>
        <v>BEESLIN COOL LIPS</v>
      </c>
      <c r="C334" s="2">
        <v>21.85</v>
      </c>
      <c r="D334" s="2" cm="1">
        <f t="array" ref="D334">_xlfn.LET(_xlpm.v,IFERROR(_xlfn.XLOOKUP(A334,Sheet2!$A$2:$A$1453,Sheet2!$D$2:$D$1453),_xlfn.XLOOKUP(A334,TEXT(Sheet2!$A$2:$A$1453,"0"),Sheet2!$D$2:$D$1453,"")),IF(_xlpm.v="","",IF(_xlpm.v&lt;1,_xlpm.v*100,_xlpm.v)))</f>
        <v>20</v>
      </c>
      <c r="E334" s="2">
        <f t="shared" si="5"/>
        <v>17.48</v>
      </c>
      <c r="F334" s="2" t="str" cm="1">
        <f t="array" ref="F334">IFERROR(_xlfn.XLOOKUP(A334,Sheet2!$A$2:$A$1453,Sheet2!$F$2:$F$1453),_xlfn.XLOOKUP(A334,TEXT(Sheet2!$A$2:$A$1453,"0"),Sheet2!$F$2:$F$1453,""))</f>
        <v>26-7-2026</v>
      </c>
      <c r="G334" s="2" t="str" cm="1">
        <f t="array" ref="G334">IFERROR(_xlfn.XLOOKUP(A334,Sheet2!$A$2:$A$1453,Sheet2!$G$2:$G$1453),_xlfn.XLOOKUP(A334,TEXT(Sheet2!$A$2:$A$1453,"0"),Sheet2!$G$2:$G$1453,""))</f>
        <v>6-8-2026</v>
      </c>
    </row>
    <row r="335" spans="1:7" x14ac:dyDescent="0.2">
      <c r="A335" s="1">
        <v>20309020323</v>
      </c>
      <c r="B335" t="str" cm="1">
        <f t="array" ref="B335">IFERROR(_xlfn.XLOOKUP(A335,Sheet2!$A$2:$A$1453,Sheet2!$B$2:$B$1453),_xlfn.XLOOKUP(A335,TEXT(Sheet2!$A$2:$A$1453,"0"),Sheet2!$B$2:$B$1453,""))</f>
        <v>BEESLINE ULTRASCREEN CREAM INVISIBLE SUN FILTER SPF 50+</v>
      </c>
      <c r="C335" s="2">
        <v>74.75</v>
      </c>
      <c r="D335" s="2" cm="1">
        <f t="array" ref="D335">_xlfn.LET(_xlpm.v,IFERROR(_xlfn.XLOOKUP(A335,Sheet2!$A$2:$A$1453,Sheet2!$D$2:$D$1453),_xlfn.XLOOKUP(A335,TEXT(Sheet2!$A$2:$A$1453,"0"),Sheet2!$D$2:$D$1453,"")),IF(_xlpm.v="","",IF(_xlpm.v&lt;1,_xlpm.v*100,_xlpm.v)))</f>
        <v>20</v>
      </c>
      <c r="E335" s="2">
        <f t="shared" si="5"/>
        <v>59.800000000000004</v>
      </c>
      <c r="F335" s="2" t="str" cm="1">
        <f t="array" ref="F335">IFERROR(_xlfn.XLOOKUP(A335,Sheet2!$A$2:$A$1453,Sheet2!$F$2:$F$1453),_xlfn.XLOOKUP(A335,TEXT(Sheet2!$A$2:$A$1453,"0"),Sheet2!$F$2:$F$1453,""))</f>
        <v>26-7-2026</v>
      </c>
      <c r="G335" s="2" t="str" cm="1">
        <f t="array" ref="G335">IFERROR(_xlfn.XLOOKUP(A335,Sheet2!$A$2:$A$1453,Sheet2!$G$2:$G$1453),_xlfn.XLOOKUP(A335,TEXT(Sheet2!$A$2:$A$1453,"0"),Sheet2!$G$2:$G$1453,""))</f>
        <v>6-8-2026</v>
      </c>
    </row>
    <row r="336" spans="1:7" x14ac:dyDescent="0.2">
      <c r="A336" s="1">
        <v>20309020224</v>
      </c>
      <c r="B336" t="str" cm="1">
        <f t="array" ref="B336">IFERROR(_xlfn.XLOOKUP(A336,Sheet2!$A$2:$A$1453,Sheet2!$B$2:$B$1453),_xlfn.XLOOKUP(A336,TEXT(Sheet2!$A$2:$A$1453,"0"),Sheet2!$B$2:$B$1453,""))</f>
        <v>BEESLINE LIP CARE SHOOTHING JOUNIOR ROSE</v>
      </c>
      <c r="C336" s="2">
        <v>21.85</v>
      </c>
      <c r="D336" s="2" cm="1">
        <f t="array" ref="D336">_xlfn.LET(_xlpm.v,IFERROR(_xlfn.XLOOKUP(A336,Sheet2!$A$2:$A$1453,Sheet2!$D$2:$D$1453),_xlfn.XLOOKUP(A336,TEXT(Sheet2!$A$2:$A$1453,"0"),Sheet2!$D$2:$D$1453,"")),IF(_xlpm.v="","",IF(_xlpm.v&lt;1,_xlpm.v*100,_xlpm.v)))</f>
        <v>20</v>
      </c>
      <c r="E336" s="2">
        <f t="shared" si="5"/>
        <v>17.48</v>
      </c>
      <c r="F336" s="2" t="str" cm="1">
        <f t="array" ref="F336">IFERROR(_xlfn.XLOOKUP(A336,Sheet2!$A$2:$A$1453,Sheet2!$F$2:$F$1453),_xlfn.XLOOKUP(A336,TEXT(Sheet2!$A$2:$A$1453,"0"),Sheet2!$F$2:$F$1453,""))</f>
        <v>26-7-2026</v>
      </c>
      <c r="G336" s="2" t="str" cm="1">
        <f t="array" ref="G336">IFERROR(_xlfn.XLOOKUP(A336,Sheet2!$A$2:$A$1453,Sheet2!$G$2:$G$1453),_xlfn.XLOOKUP(A336,TEXT(Sheet2!$A$2:$A$1453,"0"),Sheet2!$G$2:$G$1453,""))</f>
        <v>6-8-2026</v>
      </c>
    </row>
    <row r="337" spans="1:7" x14ac:dyDescent="0.2">
      <c r="A337" s="1">
        <v>20309020221</v>
      </c>
      <c r="B337" t="str" cm="1">
        <f t="array" ref="B337">IFERROR(_xlfn.XLOOKUP(A337,Sheet2!$A$2:$A$1453,Sheet2!$B$2:$B$1453),_xlfn.XLOOKUP(A337,TEXT(Sheet2!$A$2:$A$1453,"0"),Sheet2!$B$2:$B$1453,""))</f>
        <v>BEESLINE ROLL ON INVISIBLE TOUCH</v>
      </c>
      <c r="C337" s="2">
        <v>65.55</v>
      </c>
      <c r="D337" s="2" cm="1">
        <f t="array" ref="D337">_xlfn.LET(_xlpm.v,IFERROR(_xlfn.XLOOKUP(A337,Sheet2!$A$2:$A$1453,Sheet2!$D$2:$D$1453),_xlfn.XLOOKUP(A337,TEXT(Sheet2!$A$2:$A$1453,"0"),Sheet2!$D$2:$D$1453,"")),IF(_xlpm.v="","",IF(_xlpm.v&lt;1,_xlpm.v*100,_xlpm.v)))</f>
        <v>20</v>
      </c>
      <c r="E337" s="2">
        <f t="shared" si="5"/>
        <v>52.44</v>
      </c>
      <c r="F337" s="2" t="str" cm="1">
        <f t="array" ref="F337">IFERROR(_xlfn.XLOOKUP(A337,Sheet2!$A$2:$A$1453,Sheet2!$F$2:$F$1453),_xlfn.XLOOKUP(A337,TEXT(Sheet2!$A$2:$A$1453,"0"),Sheet2!$F$2:$F$1453,""))</f>
        <v>26-7-2026</v>
      </c>
      <c r="G337" s="2" t="str" cm="1">
        <f t="array" ref="G337">IFERROR(_xlfn.XLOOKUP(A337,Sheet2!$A$2:$A$1453,Sheet2!$G$2:$G$1453),_xlfn.XLOOKUP(A337,TEXT(Sheet2!$A$2:$A$1453,"0"),Sheet2!$G$2:$G$1453,""))</f>
        <v>6-8-2026</v>
      </c>
    </row>
    <row r="338" spans="1:7" x14ac:dyDescent="0.2">
      <c r="A338" s="1">
        <v>20309020192</v>
      </c>
      <c r="B338" t="str" cm="1">
        <f t="array" ref="B338">IFERROR(_xlfn.XLOOKUP(A338,Sheet2!$A$2:$A$1453,Sheet2!$B$2:$B$1453),_xlfn.XLOOKUP(A338,TEXT(Sheet2!$A$2:$A$1453,"0"),Sheet2!$B$2:$B$1453,""))</f>
        <v>BEESLINE WHITENING FACIAL WA</v>
      </c>
      <c r="C338" s="2">
        <v>82.8</v>
      </c>
      <c r="D338" s="2" cm="1">
        <f t="array" ref="D338">_xlfn.LET(_xlpm.v,IFERROR(_xlfn.XLOOKUP(A338,Sheet2!$A$2:$A$1453,Sheet2!$D$2:$D$1453),_xlfn.XLOOKUP(A338,TEXT(Sheet2!$A$2:$A$1453,"0"),Sheet2!$D$2:$D$1453,"")),IF(_xlpm.v="","",IF(_xlpm.v&lt;1,_xlpm.v*100,_xlpm.v)))</f>
        <v>20</v>
      </c>
      <c r="E338" s="2">
        <f t="shared" si="5"/>
        <v>66.239999999999995</v>
      </c>
      <c r="F338" s="2" t="str" cm="1">
        <f t="array" ref="F338">IFERROR(_xlfn.XLOOKUP(A338,Sheet2!$A$2:$A$1453,Sheet2!$F$2:$F$1453),_xlfn.XLOOKUP(A338,TEXT(Sheet2!$A$2:$A$1453,"0"),Sheet2!$F$2:$F$1453,""))</f>
        <v>26-7-2026</v>
      </c>
      <c r="G338" s="2" t="str" cm="1">
        <f t="array" ref="G338">IFERROR(_xlfn.XLOOKUP(A338,Sheet2!$A$2:$A$1453,Sheet2!$G$2:$G$1453),_xlfn.XLOOKUP(A338,TEXT(Sheet2!$A$2:$A$1453,"0"),Sheet2!$G$2:$G$1453,""))</f>
        <v>6-8-2026</v>
      </c>
    </row>
    <row r="339" spans="1:7" x14ac:dyDescent="0.2">
      <c r="A339" s="1">
        <v>20309012353</v>
      </c>
      <c r="B339" t="str" cm="1">
        <f t="array" ref="B339">IFERROR(_xlfn.XLOOKUP(A339,Sheet2!$A$2:$A$1453,Sheet2!$B$2:$B$1453),_xlfn.XLOOKUP(A339,TEXT(Sheet2!$A$2:$A$1453,"0"),Sheet2!$B$2:$B$1453,""))</f>
        <v>BEESLINE SMALL HAJJ KIT 10044</v>
      </c>
      <c r="C339" s="2">
        <v>49.45</v>
      </c>
      <c r="D339" s="2" cm="1">
        <f t="array" ref="D339">_xlfn.LET(_xlpm.v,IFERROR(_xlfn.XLOOKUP(A339,Sheet2!$A$2:$A$1453,Sheet2!$D$2:$D$1453),_xlfn.XLOOKUP(A339,TEXT(Sheet2!$A$2:$A$1453,"0"),Sheet2!$D$2:$D$1453,"")),IF(_xlpm.v="","",IF(_xlpm.v&lt;1,_xlpm.v*100,_xlpm.v)))</f>
        <v>20</v>
      </c>
      <c r="E339" s="2">
        <f t="shared" si="5"/>
        <v>39.56</v>
      </c>
      <c r="F339" s="2" t="str" cm="1">
        <f t="array" ref="F339">IFERROR(_xlfn.XLOOKUP(A339,Sheet2!$A$2:$A$1453,Sheet2!$F$2:$F$1453),_xlfn.XLOOKUP(A339,TEXT(Sheet2!$A$2:$A$1453,"0"),Sheet2!$F$2:$F$1453,""))</f>
        <v>26-7-2026</v>
      </c>
      <c r="G339" s="2" t="str" cm="1">
        <f t="array" ref="G339">IFERROR(_xlfn.XLOOKUP(A339,Sheet2!$A$2:$A$1453,Sheet2!$G$2:$G$1453),_xlfn.XLOOKUP(A339,TEXT(Sheet2!$A$2:$A$1453,"0"),Sheet2!$G$2:$G$1453,""))</f>
        <v>6-8-2026</v>
      </c>
    </row>
    <row r="340" spans="1:7" x14ac:dyDescent="0.2">
      <c r="A340" s="1">
        <v>20309060770</v>
      </c>
      <c r="B340" t="str" cm="1">
        <f t="array" ref="B340">IFERROR(_xlfn.XLOOKUP(A340,Sheet2!$A$2:$A$1453,Sheet2!$B$2:$B$1453),_xlfn.XLOOKUP(A340,TEXT(Sheet2!$A$2:$A$1453,"0"),Sheet2!$B$2:$B$1453,""))</f>
        <v>BEESLINE WHITENING ROLL 1+50%DIS COOL</v>
      </c>
      <c r="C340" s="2">
        <v>94.88</v>
      </c>
      <c r="D340" s="2" cm="1">
        <f t="array" ref="D340">_xlfn.LET(_xlpm.v,IFERROR(_xlfn.XLOOKUP(A340,Sheet2!$A$2:$A$1453,Sheet2!$D$2:$D$1453),_xlfn.XLOOKUP(A340,TEXT(Sheet2!$A$2:$A$1453,"0"),Sheet2!$D$2:$D$1453,"")),IF(_xlpm.v="","",IF(_xlpm.v&lt;1,_xlpm.v*100,_xlpm.v)))</f>
        <v>20</v>
      </c>
      <c r="E340" s="2">
        <f t="shared" si="5"/>
        <v>75.903999999999996</v>
      </c>
      <c r="F340" s="2" t="str" cm="1">
        <f t="array" ref="F340">IFERROR(_xlfn.XLOOKUP(A340,Sheet2!$A$2:$A$1453,Sheet2!$F$2:$F$1453),_xlfn.XLOOKUP(A340,TEXT(Sheet2!$A$2:$A$1453,"0"),Sheet2!$F$2:$F$1453,""))</f>
        <v>26-7-2026</v>
      </c>
      <c r="G340" s="2" t="str" cm="1">
        <f t="array" ref="G340">IFERROR(_xlfn.XLOOKUP(A340,Sheet2!$A$2:$A$1453,Sheet2!$G$2:$G$1453),_xlfn.XLOOKUP(A340,TEXT(Sheet2!$A$2:$A$1453,"0"),Sheet2!$G$2:$G$1453,""))</f>
        <v>6-8-2026</v>
      </c>
    </row>
    <row r="341" spans="1:7" x14ac:dyDescent="0.2">
      <c r="A341" s="1">
        <v>20309060769</v>
      </c>
      <c r="B341" t="str" cm="1">
        <f t="array" ref="B341">IFERROR(_xlfn.XLOOKUP(A341,Sheet2!$A$2:$A$1453,Sheet2!$B$2:$B$1453),_xlfn.XLOOKUP(A341,TEXT(Sheet2!$A$2:$A$1453,"0"),Sheet2!$B$2:$B$1453,""))</f>
        <v>BEESLINE WHITENING ROLL 1+50%DIS GREE</v>
      </c>
      <c r="C341" s="2">
        <v>94.88</v>
      </c>
      <c r="D341" s="2" cm="1">
        <f t="array" ref="D341">_xlfn.LET(_xlpm.v,IFERROR(_xlfn.XLOOKUP(A341,Sheet2!$A$2:$A$1453,Sheet2!$D$2:$D$1453),_xlfn.XLOOKUP(A341,TEXT(Sheet2!$A$2:$A$1453,"0"),Sheet2!$D$2:$D$1453,"")),IF(_xlpm.v="","",IF(_xlpm.v&lt;1,_xlpm.v*100,_xlpm.v)))</f>
        <v>20</v>
      </c>
      <c r="E341" s="2">
        <f t="shared" si="5"/>
        <v>75.903999999999996</v>
      </c>
      <c r="F341" s="2" t="str" cm="1">
        <f t="array" ref="F341">IFERROR(_xlfn.XLOOKUP(A341,Sheet2!$A$2:$A$1453,Sheet2!$F$2:$F$1453),_xlfn.XLOOKUP(A341,TEXT(Sheet2!$A$2:$A$1453,"0"),Sheet2!$F$2:$F$1453,""))</f>
        <v>26-7-2026</v>
      </c>
      <c r="G341" s="2" t="str" cm="1">
        <f t="array" ref="G341">IFERROR(_xlfn.XLOOKUP(A341,Sheet2!$A$2:$A$1453,Sheet2!$G$2:$G$1453),_xlfn.XLOOKUP(A341,TEXT(Sheet2!$A$2:$A$1453,"0"),Sheet2!$G$2:$G$1453,""))</f>
        <v>6-8-2026</v>
      </c>
    </row>
    <row r="342" spans="1:7" x14ac:dyDescent="0.2">
      <c r="A342" s="1">
        <v>20309060742</v>
      </c>
      <c r="B342" t="str" cm="1">
        <f t="array" ref="B342">IFERROR(_xlfn.XLOOKUP(A342,Sheet2!$A$2:$A$1453,Sheet2!$B$2:$B$1453),_xlfn.XLOOKUP(A342,TEXT(Sheet2!$A$2:$A$1453,"0"),Sheet2!$B$2:$B$1453,""))</f>
        <v>BEESLINE WHITENING ROLL 1+50% DISC FRA</v>
      </c>
      <c r="C342" s="2">
        <v>112.13</v>
      </c>
      <c r="D342" s="2" cm="1">
        <f t="array" ref="D342">_xlfn.LET(_xlpm.v,IFERROR(_xlfn.XLOOKUP(A342,Sheet2!$A$2:$A$1453,Sheet2!$D$2:$D$1453),_xlfn.XLOOKUP(A342,TEXT(Sheet2!$A$2:$A$1453,"0"),Sheet2!$D$2:$D$1453,"")),IF(_xlpm.v="","",IF(_xlpm.v&lt;1,_xlpm.v*100,_xlpm.v)))</f>
        <v>20</v>
      </c>
      <c r="E342" s="2">
        <f t="shared" si="5"/>
        <v>89.704000000000008</v>
      </c>
      <c r="F342" s="2" t="str" cm="1">
        <f t="array" ref="F342">IFERROR(_xlfn.XLOOKUP(A342,Sheet2!$A$2:$A$1453,Sheet2!$F$2:$F$1453),_xlfn.XLOOKUP(A342,TEXT(Sheet2!$A$2:$A$1453,"0"),Sheet2!$F$2:$F$1453,""))</f>
        <v>26-7-2026</v>
      </c>
      <c r="G342" s="2" t="str" cm="1">
        <f t="array" ref="G342">IFERROR(_xlfn.XLOOKUP(A342,Sheet2!$A$2:$A$1453,Sheet2!$G$2:$G$1453),_xlfn.XLOOKUP(A342,TEXT(Sheet2!$A$2:$A$1453,"0"),Sheet2!$G$2:$G$1453,""))</f>
        <v>6-8-2026</v>
      </c>
    </row>
    <row r="343" spans="1:7" x14ac:dyDescent="0.2">
      <c r="A343" s="1">
        <v>20309070173</v>
      </c>
      <c r="B343" t="str" cm="1">
        <f t="array" ref="B343">IFERROR(_xlfn.XLOOKUP(A343,Sheet2!$A$2:$A$1453,Sheet2!$B$2:$B$1453),_xlfn.XLOOKUP(A343,TEXT(Sheet2!$A$2:$A$1453,"0"),Sheet2!$B$2:$B$1453,""))</f>
        <v>AVENT103/02 ANTI-COLIC BOTTLE 260M</v>
      </c>
      <c r="C343" s="2">
        <v>92</v>
      </c>
      <c r="D343" s="2" cm="1">
        <f t="array" ref="D343">_xlfn.LET(_xlpm.v,IFERROR(_xlfn.XLOOKUP(A343,Sheet2!$A$2:$A$1453,Sheet2!$D$2:$D$1453),_xlfn.XLOOKUP(A343,TEXT(Sheet2!$A$2:$A$1453,"0"),Sheet2!$D$2:$D$1453,"")),IF(_xlpm.v="","",IF(_xlpm.v&lt;1,_xlpm.v*100,_xlpm.v)))</f>
        <v>15</v>
      </c>
      <c r="E343" s="2">
        <f t="shared" si="5"/>
        <v>78.2</v>
      </c>
      <c r="F343" s="2" t="str" cm="1">
        <f t="array" ref="F343">IFERROR(_xlfn.XLOOKUP(A343,Sheet2!$A$2:$A$1453,Sheet2!$F$2:$F$1453),_xlfn.XLOOKUP(A343,TEXT(Sheet2!$A$2:$A$1453,"0"),Sheet2!$F$2:$F$1453,""))</f>
        <v>26-7-2026</v>
      </c>
      <c r="G343" s="2" t="str" cm="1">
        <f t="array" ref="G343">IFERROR(_xlfn.XLOOKUP(A343,Sheet2!$A$2:$A$1453,Sheet2!$G$2:$G$1453),_xlfn.XLOOKUP(A343,TEXT(Sheet2!$A$2:$A$1453,"0"),Sheet2!$G$2:$G$1453,""))</f>
        <v>6-8-2026</v>
      </c>
    </row>
    <row r="344" spans="1:7" x14ac:dyDescent="0.2">
      <c r="A344" s="1">
        <v>20309500466</v>
      </c>
      <c r="B344" t="str" cm="1">
        <f t="array" ref="B344">IFERROR(_xlfn.XLOOKUP(A344,Sheet2!$A$2:$A$1453,Sheet2!$B$2:$B$1453),_xlfn.XLOOKUP(A344,TEXT(Sheet2!$A$2:$A$1453,"0"),Sheet2!$B$2:$B$1453,""))</f>
        <v>SASMAR STRAWBERRY LUBRICANT 6</v>
      </c>
      <c r="C344" s="2">
        <v>47.3</v>
      </c>
      <c r="D344" s="2" cm="1">
        <f t="array" ref="D344">_xlfn.LET(_xlpm.v,IFERROR(_xlfn.XLOOKUP(A344,Sheet2!$A$2:$A$1453,Sheet2!$D$2:$D$1453),_xlfn.XLOOKUP(A344,TEXT(Sheet2!$A$2:$A$1453,"0"),Sheet2!$D$2:$D$1453,"")),IF(_xlpm.v="","",IF(_xlpm.v&lt;1,_xlpm.v*100,_xlpm.v)))</f>
        <v>25</v>
      </c>
      <c r="E344" s="2">
        <f t="shared" si="5"/>
        <v>35.474999999999994</v>
      </c>
      <c r="F344" s="2" t="str" cm="1">
        <f t="array" ref="F344">IFERROR(_xlfn.XLOOKUP(A344,Sheet2!$A$2:$A$1453,Sheet2!$F$2:$F$1453),_xlfn.XLOOKUP(A344,TEXT(Sheet2!$A$2:$A$1453,"0"),Sheet2!$F$2:$F$1453,""))</f>
        <v>26-7-2026</v>
      </c>
      <c r="G344" s="2" t="str" cm="1">
        <f t="array" ref="G344">IFERROR(_xlfn.XLOOKUP(A344,Sheet2!$A$2:$A$1453,Sheet2!$G$2:$G$1453),_xlfn.XLOOKUP(A344,TEXT(Sheet2!$A$2:$A$1453,"0"),Sheet2!$G$2:$G$1453,""))</f>
        <v>6-8-2026</v>
      </c>
    </row>
    <row r="345" spans="1:7" x14ac:dyDescent="0.2">
      <c r="A345" s="1">
        <v>20309021598</v>
      </c>
      <c r="B345" t="str" cm="1">
        <f t="array" ref="B345">IFERROR(_xlfn.XLOOKUP(A345,Sheet2!$A$2:$A$1453,Sheet2!$B$2:$B$1453),_xlfn.XLOOKUP(A345,TEXT(Sheet2!$A$2:$A$1453,"0"),Sheet2!$B$2:$B$1453,""))</f>
        <v>SKINLAB EYE GEL 19.8 G WITH</v>
      </c>
      <c r="C345" s="2">
        <v>74.75</v>
      </c>
      <c r="D345" s="2" cm="1">
        <f t="array" ref="D345">_xlfn.LET(_xlpm.v,IFERROR(_xlfn.XLOOKUP(A345,Sheet2!$A$2:$A$1453,Sheet2!$D$2:$D$1453),_xlfn.XLOOKUP(A345,TEXT(Sheet2!$A$2:$A$1453,"0"),Sheet2!$D$2:$D$1453,"")),IF(_xlpm.v="","",IF(_xlpm.v&lt;1,_xlpm.v*100,_xlpm.v)))</f>
        <v>25</v>
      </c>
      <c r="E345" s="2">
        <f t="shared" si="5"/>
        <v>56.0625</v>
      </c>
      <c r="F345" s="2" t="str" cm="1">
        <f t="array" ref="F345">IFERROR(_xlfn.XLOOKUP(A345,Sheet2!$A$2:$A$1453,Sheet2!$F$2:$F$1453),_xlfn.XLOOKUP(A345,TEXT(Sheet2!$A$2:$A$1453,"0"),Sheet2!$F$2:$F$1453,""))</f>
        <v>26-7-2026</v>
      </c>
      <c r="G345" s="2" t="str" cm="1">
        <f t="array" ref="G345">IFERROR(_xlfn.XLOOKUP(A345,Sheet2!$A$2:$A$1453,Sheet2!$G$2:$G$1453),_xlfn.XLOOKUP(A345,TEXT(Sheet2!$A$2:$A$1453,"0"),Sheet2!$G$2:$G$1453,""))</f>
        <v>6-8-2026</v>
      </c>
    </row>
    <row r="346" spans="1:7" x14ac:dyDescent="0.2">
      <c r="A346" s="1">
        <v>20309021597</v>
      </c>
      <c r="B346" t="str" cm="1">
        <f t="array" ref="B346">IFERROR(_xlfn.XLOOKUP(A346,Sheet2!$A$2:$A$1453,Sheet2!$B$2:$B$1453),_xlfn.XLOOKUP(A346,TEXT(Sheet2!$A$2:$A$1453,"0"),Sheet2!$B$2:$B$1453,""))</f>
        <v>SKINLAB DAILY MOISTURIZE</v>
      </c>
      <c r="C346" s="2">
        <v>74.75</v>
      </c>
      <c r="D346" s="2" cm="1">
        <f t="array" ref="D346">_xlfn.LET(_xlpm.v,IFERROR(_xlfn.XLOOKUP(A346,Sheet2!$A$2:$A$1453,Sheet2!$D$2:$D$1453),_xlfn.XLOOKUP(A346,TEXT(Sheet2!$A$2:$A$1453,"0"),Sheet2!$D$2:$D$1453,"")),IF(_xlpm.v="","",IF(_xlpm.v&lt;1,_xlpm.v*100,_xlpm.v)))</f>
        <v>25</v>
      </c>
      <c r="E346" s="2">
        <f t="shared" si="5"/>
        <v>56.0625</v>
      </c>
      <c r="F346" s="2" t="str" cm="1">
        <f t="array" ref="F346">IFERROR(_xlfn.XLOOKUP(A346,Sheet2!$A$2:$A$1453,Sheet2!$F$2:$F$1453),_xlfn.XLOOKUP(A346,TEXT(Sheet2!$A$2:$A$1453,"0"),Sheet2!$F$2:$F$1453,""))</f>
        <v>26-7-2026</v>
      </c>
      <c r="G346" s="2" t="str" cm="1">
        <f t="array" ref="G346">IFERROR(_xlfn.XLOOKUP(A346,Sheet2!$A$2:$A$1453,Sheet2!$G$2:$G$1453),_xlfn.XLOOKUP(A346,TEXT(Sheet2!$A$2:$A$1453,"0"),Sheet2!$G$2:$G$1453,""))</f>
        <v>6-8-2026</v>
      </c>
    </row>
    <row r="347" spans="1:7" x14ac:dyDescent="0.2">
      <c r="A347" s="1">
        <v>20309021596</v>
      </c>
      <c r="B347" t="str" cm="1">
        <f t="array" ref="B347">IFERROR(_xlfn.XLOOKUP(A347,Sheet2!$A$2:$A$1453,Sheet2!$B$2:$B$1453),_xlfn.XLOOKUP(A347,TEXT(Sheet2!$A$2:$A$1453,"0"),Sheet2!$B$2:$B$1453,""))</f>
        <v>SKINLAB TREATMENT SERUM</v>
      </c>
      <c r="C347" s="2">
        <v>138</v>
      </c>
      <c r="D347" s="2" cm="1">
        <f t="array" ref="D347">_xlfn.LET(_xlpm.v,IFERROR(_xlfn.XLOOKUP(A347,Sheet2!$A$2:$A$1453,Sheet2!$D$2:$D$1453),_xlfn.XLOOKUP(A347,TEXT(Sheet2!$A$2:$A$1453,"0"),Sheet2!$D$2:$D$1453,"")),IF(_xlpm.v="","",IF(_xlpm.v&lt;1,_xlpm.v*100,_xlpm.v)))</f>
        <v>25</v>
      </c>
      <c r="E347" s="2">
        <f t="shared" si="5"/>
        <v>103.5</v>
      </c>
      <c r="F347" s="2" t="str" cm="1">
        <f t="array" ref="F347">IFERROR(_xlfn.XLOOKUP(A347,Sheet2!$A$2:$A$1453,Sheet2!$F$2:$F$1453),_xlfn.XLOOKUP(A347,TEXT(Sheet2!$A$2:$A$1453,"0"),Sheet2!$F$2:$F$1453,""))</f>
        <v>26-7-2026</v>
      </c>
      <c r="G347" s="2" t="str" cm="1">
        <f t="array" ref="G347">IFERROR(_xlfn.XLOOKUP(A347,Sheet2!$A$2:$A$1453,Sheet2!$G$2:$G$1453),_xlfn.XLOOKUP(A347,TEXT(Sheet2!$A$2:$A$1453,"0"),Sheet2!$G$2:$G$1453,""))</f>
        <v>6-8-2026</v>
      </c>
    </row>
    <row r="348" spans="1:7" x14ac:dyDescent="0.2">
      <c r="A348" s="1">
        <v>20309021594</v>
      </c>
      <c r="B348" t="str" cm="1">
        <f t="array" ref="B348">IFERROR(_xlfn.XLOOKUP(A348,Sheet2!$A$2:$A$1453,Sheet2!$B$2:$B$1453),_xlfn.XLOOKUP(A348,TEXT(Sheet2!$A$2:$A$1453,"0"),Sheet2!$B$2:$B$1453,""))</f>
        <v>SKINLAB DAILY GEL CLEANS</v>
      </c>
      <c r="C348" s="2">
        <v>67.849999999999994</v>
      </c>
      <c r="D348" s="2" cm="1">
        <f t="array" ref="D348">_xlfn.LET(_xlpm.v,IFERROR(_xlfn.XLOOKUP(A348,Sheet2!$A$2:$A$1453,Sheet2!$D$2:$D$1453),_xlfn.XLOOKUP(A348,TEXT(Sheet2!$A$2:$A$1453,"0"),Sheet2!$D$2:$D$1453,"")),IF(_xlpm.v="","",IF(_xlpm.v&lt;1,_xlpm.v*100,_xlpm.v)))</f>
        <v>25</v>
      </c>
      <c r="E348" s="2">
        <f t="shared" si="5"/>
        <v>50.887499999999996</v>
      </c>
      <c r="F348" s="2" t="str" cm="1">
        <f t="array" ref="F348">IFERROR(_xlfn.XLOOKUP(A348,Sheet2!$A$2:$A$1453,Sheet2!$F$2:$F$1453),_xlfn.XLOOKUP(A348,TEXT(Sheet2!$A$2:$A$1453,"0"),Sheet2!$F$2:$F$1453,""))</f>
        <v>26-7-2026</v>
      </c>
      <c r="G348" s="2" t="str" cm="1">
        <f t="array" ref="G348">IFERROR(_xlfn.XLOOKUP(A348,Sheet2!$A$2:$A$1453,Sheet2!$G$2:$G$1453),_xlfn.XLOOKUP(A348,TEXT(Sheet2!$A$2:$A$1453,"0"),Sheet2!$G$2:$G$1453,""))</f>
        <v>6-8-2026</v>
      </c>
    </row>
    <row r="349" spans="1:7" x14ac:dyDescent="0.2">
      <c r="A349" s="1">
        <v>20309021593</v>
      </c>
      <c r="B349" t="str" cm="1">
        <f t="array" ref="B349">IFERROR(_xlfn.XLOOKUP(A349,Sheet2!$A$2:$A$1453,Sheet2!$B$2:$B$1453),_xlfn.XLOOKUP(A349,TEXT(Sheet2!$A$2:$A$1453,"0"),Sheet2!$B$2:$B$1453,""))</f>
        <v>SKINLAB MICELLAR CLEANSI</v>
      </c>
      <c r="C349" s="2">
        <v>41.75</v>
      </c>
      <c r="D349" s="2" cm="1">
        <f t="array" ref="D349">_xlfn.LET(_xlpm.v,IFERROR(_xlfn.XLOOKUP(A349,Sheet2!$A$2:$A$1453,Sheet2!$D$2:$D$1453),_xlfn.XLOOKUP(A349,TEXT(Sheet2!$A$2:$A$1453,"0"),Sheet2!$D$2:$D$1453,"")),IF(_xlpm.v="","",IF(_xlpm.v&lt;1,_xlpm.v*100,_xlpm.v)))</f>
        <v>25</v>
      </c>
      <c r="E349" s="2">
        <f t="shared" si="5"/>
        <v>31.3125</v>
      </c>
      <c r="F349" s="2" t="str" cm="1">
        <f t="array" ref="F349">IFERROR(_xlfn.XLOOKUP(A349,Sheet2!$A$2:$A$1453,Sheet2!$F$2:$F$1453),_xlfn.XLOOKUP(A349,TEXT(Sheet2!$A$2:$A$1453,"0"),Sheet2!$F$2:$F$1453,""))</f>
        <v>26-7-2026</v>
      </c>
      <c r="G349" s="2" t="str" cm="1">
        <f t="array" ref="G349">IFERROR(_xlfn.XLOOKUP(A349,Sheet2!$A$2:$A$1453,Sheet2!$G$2:$G$1453),_xlfn.XLOOKUP(A349,TEXT(Sheet2!$A$2:$A$1453,"0"),Sheet2!$G$2:$G$1453,""))</f>
        <v>6-8-2026</v>
      </c>
    </row>
    <row r="350" spans="1:7" x14ac:dyDescent="0.2">
      <c r="A350" s="1">
        <v>20309502784</v>
      </c>
      <c r="B350" t="str" cm="1">
        <f t="array" ref="B350">IFERROR(_xlfn.XLOOKUP(A350,Sheet2!$A$2:$A$1453,Sheet2!$B$2:$B$1453),_xlfn.XLOOKUP(A350,TEXT(Sheet2!$A$2:$A$1453,"0"),Sheet2!$B$2:$B$1453,""))</f>
        <v>NAIR HAIR CREAM REMOVER CHERRY BLOSSM 110 ML 302042541</v>
      </c>
      <c r="C350" s="2">
        <v>25.01</v>
      </c>
      <c r="D350" s="2" cm="1">
        <f t="array" ref="D350">_xlfn.LET(_xlpm.v,IFERROR(_xlfn.XLOOKUP(A350,Sheet2!$A$2:$A$1453,Sheet2!$D$2:$D$1453),_xlfn.XLOOKUP(A350,TEXT(Sheet2!$A$2:$A$1453,"0"),Sheet2!$D$2:$D$1453,"")),IF(_xlpm.v="","",IF(_xlpm.v&lt;1,_xlpm.v*100,_xlpm.v)))</f>
        <v>33</v>
      </c>
      <c r="E350" s="2">
        <f t="shared" si="5"/>
        <v>16.756699999999999</v>
      </c>
      <c r="F350" s="2" t="str" cm="1">
        <f t="array" ref="F350">IFERROR(_xlfn.XLOOKUP(A350,Sheet2!$A$2:$A$1453,Sheet2!$F$2:$F$1453),_xlfn.XLOOKUP(A350,TEXT(Sheet2!$A$2:$A$1453,"0"),Sheet2!$F$2:$F$1453,""))</f>
        <v>26-7-2026</v>
      </c>
      <c r="G350" s="2" t="str" cm="1">
        <f t="array" ref="G350">IFERROR(_xlfn.XLOOKUP(A350,Sheet2!$A$2:$A$1453,Sheet2!$G$2:$G$1453),_xlfn.XLOOKUP(A350,TEXT(Sheet2!$A$2:$A$1453,"0"),Sheet2!$G$2:$G$1453,""))</f>
        <v>6-8-2026</v>
      </c>
    </row>
    <row r="351" spans="1:7" x14ac:dyDescent="0.2">
      <c r="A351" s="1">
        <v>20309501652</v>
      </c>
      <c r="B351" t="str" cm="1">
        <f t="array" ref="B351">IFERROR(_xlfn.XLOOKUP(A351,Sheet2!$A$2:$A$1453,Sheet2!$B$2:$B$1453),_xlfn.XLOOKUP(A351,TEXT(Sheet2!$A$2:$A$1453,"0"),Sheet2!$B$2:$B$1453,""))</f>
        <v>NAIR MOISURIZING CREAM TUBE 302026064</v>
      </c>
      <c r="C351" s="2">
        <v>18.170000000000002</v>
      </c>
      <c r="D351" s="2" cm="1">
        <f t="array" ref="D351">_xlfn.LET(_xlpm.v,IFERROR(_xlfn.XLOOKUP(A351,Sheet2!$A$2:$A$1453,Sheet2!$D$2:$D$1453),_xlfn.XLOOKUP(A351,TEXT(Sheet2!$A$2:$A$1453,"0"),Sheet2!$D$2:$D$1453,"")),IF(_xlpm.v="","",IF(_xlpm.v&lt;1,_xlpm.v*100,_xlpm.v)))</f>
        <v>33</v>
      </c>
      <c r="E351" s="2">
        <f t="shared" si="5"/>
        <v>12.1739</v>
      </c>
      <c r="F351" s="2" t="str" cm="1">
        <f t="array" ref="F351">IFERROR(_xlfn.XLOOKUP(A351,Sheet2!$A$2:$A$1453,Sheet2!$F$2:$F$1453),_xlfn.XLOOKUP(A351,TEXT(Sheet2!$A$2:$A$1453,"0"),Sheet2!$F$2:$F$1453,""))</f>
        <v>26-7-2026</v>
      </c>
      <c r="G351" s="2" t="str" cm="1">
        <f t="array" ref="G351">IFERROR(_xlfn.XLOOKUP(A351,Sheet2!$A$2:$A$1453,Sheet2!$G$2:$G$1453),_xlfn.XLOOKUP(A351,TEXT(Sheet2!$A$2:$A$1453,"0"),Sheet2!$G$2:$G$1453,""))</f>
        <v>6-8-2026</v>
      </c>
    </row>
    <row r="352" spans="1:7" x14ac:dyDescent="0.2">
      <c r="A352" s="1">
        <v>20309012319</v>
      </c>
      <c r="B352" t="str" cm="1">
        <f t="array" ref="B352">IFERROR(_xlfn.XLOOKUP(A352,Sheet2!$A$2:$A$1453,Sheet2!$B$2:$B$1453),_xlfn.XLOOKUP(A352,TEXT(Sheet2!$A$2:$A$1453,"0"),Sheet2!$B$2:$B$1453,""))</f>
        <v>ALTA MODA KERATIN SHAMPO</v>
      </c>
      <c r="C352" s="2">
        <v>33.79</v>
      </c>
      <c r="D352" s="2" cm="1">
        <f t="array" ref="D352">_xlfn.LET(_xlpm.v,IFERROR(_xlfn.XLOOKUP(A352,Sheet2!$A$2:$A$1453,Sheet2!$D$2:$D$1453),_xlfn.XLOOKUP(A352,TEXT(Sheet2!$A$2:$A$1453,"0"),Sheet2!$D$2:$D$1453,"")),IF(_xlpm.v="","",IF(_xlpm.v&lt;1,_xlpm.v*100,_xlpm.v)))</f>
        <v>33</v>
      </c>
      <c r="E352" s="2">
        <f t="shared" si="5"/>
        <v>22.639299999999999</v>
      </c>
      <c r="F352" s="2" t="str" cm="1">
        <f t="array" ref="F352">IFERROR(_xlfn.XLOOKUP(A352,Sheet2!$A$2:$A$1453,Sheet2!$F$2:$F$1453),_xlfn.XLOOKUP(A352,TEXT(Sheet2!$A$2:$A$1453,"0"),Sheet2!$F$2:$F$1453,""))</f>
        <v>26-7-2026</v>
      </c>
      <c r="G352" s="2" t="str" cm="1">
        <f t="array" ref="G352">IFERROR(_xlfn.XLOOKUP(A352,Sheet2!$A$2:$A$1453,Sheet2!$G$2:$G$1453),_xlfn.XLOOKUP(A352,TEXT(Sheet2!$A$2:$A$1453,"0"),Sheet2!$G$2:$G$1453,""))</f>
        <v>6-8-2026</v>
      </c>
    </row>
    <row r="353" spans="1:7" x14ac:dyDescent="0.2">
      <c r="A353" s="1">
        <v>20309012324</v>
      </c>
      <c r="B353" t="str" cm="1">
        <f t="array" ref="B353">IFERROR(_xlfn.XLOOKUP(A353,Sheet2!$A$2:$A$1453,Sheet2!$B$2:$B$1453),_xlfn.XLOOKUP(A353,TEXT(Sheet2!$A$2:$A$1453,"0"),Sheet2!$B$2:$B$1453,""))</f>
        <v>ALTA MODA SHAMPO MICELL</v>
      </c>
      <c r="C353" s="2">
        <v>33.79</v>
      </c>
      <c r="D353" s="2" cm="1">
        <f t="array" ref="D353">_xlfn.LET(_xlpm.v,IFERROR(_xlfn.XLOOKUP(A353,Sheet2!$A$2:$A$1453,Sheet2!$D$2:$D$1453),_xlfn.XLOOKUP(A353,TEXT(Sheet2!$A$2:$A$1453,"0"),Sheet2!$D$2:$D$1453,"")),IF(_xlpm.v="","",IF(_xlpm.v&lt;1,_xlpm.v*100,_xlpm.v)))</f>
        <v>33</v>
      </c>
      <c r="E353" s="2">
        <f t="shared" si="5"/>
        <v>22.639299999999999</v>
      </c>
      <c r="F353" s="2" t="str" cm="1">
        <f t="array" ref="F353">IFERROR(_xlfn.XLOOKUP(A353,Sheet2!$A$2:$A$1453,Sheet2!$F$2:$F$1453),_xlfn.XLOOKUP(A353,TEXT(Sheet2!$A$2:$A$1453,"0"),Sheet2!$F$2:$F$1453,""))</f>
        <v>26-7-2026</v>
      </c>
      <c r="G353" s="2" t="str" cm="1">
        <f t="array" ref="G353">IFERROR(_xlfn.XLOOKUP(A353,Sheet2!$A$2:$A$1453,Sheet2!$G$2:$G$1453),_xlfn.XLOOKUP(A353,TEXT(Sheet2!$A$2:$A$1453,"0"),Sheet2!$G$2:$G$1453,""))</f>
        <v>6-8-2026</v>
      </c>
    </row>
    <row r="354" spans="1:7" x14ac:dyDescent="0.2">
      <c r="A354" s="1">
        <v>20309012304</v>
      </c>
      <c r="B354" t="str" cm="1">
        <f t="array" ref="B354">IFERROR(_xlfn.XLOOKUP(A354,Sheet2!$A$2:$A$1453,Sheet2!$B$2:$B$1453),_xlfn.XLOOKUP(A354,TEXT(Sheet2!$A$2:$A$1453,"0"),Sheet2!$B$2:$B$1453,""))</f>
        <v>ALTA MODE CONDITIONER MI</v>
      </c>
      <c r="C354" s="2">
        <v>33.79</v>
      </c>
      <c r="D354" s="2" cm="1">
        <f t="array" ref="D354">_xlfn.LET(_xlpm.v,IFERROR(_xlfn.XLOOKUP(A354,Sheet2!$A$2:$A$1453,Sheet2!$D$2:$D$1453),_xlfn.XLOOKUP(A354,TEXT(Sheet2!$A$2:$A$1453,"0"),Sheet2!$D$2:$D$1453,"")),IF(_xlpm.v="","",IF(_xlpm.v&lt;1,_xlpm.v*100,_xlpm.v)))</f>
        <v>33</v>
      </c>
      <c r="E354" s="2">
        <f t="shared" si="5"/>
        <v>22.639299999999999</v>
      </c>
      <c r="F354" s="2" t="str" cm="1">
        <f t="array" ref="F354">IFERROR(_xlfn.XLOOKUP(A354,Sheet2!$A$2:$A$1453,Sheet2!$F$2:$F$1453),_xlfn.XLOOKUP(A354,TEXT(Sheet2!$A$2:$A$1453,"0"),Sheet2!$F$2:$F$1453,""))</f>
        <v>26-7-2026</v>
      </c>
      <c r="G354" s="2" t="str" cm="1">
        <f t="array" ref="G354">IFERROR(_xlfn.XLOOKUP(A354,Sheet2!$A$2:$A$1453,Sheet2!$G$2:$G$1453),_xlfn.XLOOKUP(A354,TEXT(Sheet2!$A$2:$A$1453,"0"),Sheet2!$G$2:$G$1453,""))</f>
        <v>6-8-2026</v>
      </c>
    </row>
    <row r="355" spans="1:7" x14ac:dyDescent="0.2">
      <c r="A355" s="1">
        <v>20309012322</v>
      </c>
      <c r="B355" t="str" cm="1">
        <f t="array" ref="B355">IFERROR(_xlfn.XLOOKUP(A355,Sheet2!$A$2:$A$1453,Sheet2!$B$2:$B$1453),_xlfn.XLOOKUP(A355,TEXT(Sheet2!$A$2:$A$1453,"0"),Sheet2!$B$2:$B$1453,""))</f>
        <v>ALTA MODA HIDRA SAVE SHAM</v>
      </c>
      <c r="C355" s="2">
        <v>33.79</v>
      </c>
      <c r="D355" s="2" cm="1">
        <f t="array" ref="D355">_xlfn.LET(_xlpm.v,IFERROR(_xlfn.XLOOKUP(A355,Sheet2!$A$2:$A$1453,Sheet2!$D$2:$D$1453),_xlfn.XLOOKUP(A355,TEXT(Sheet2!$A$2:$A$1453,"0"),Sheet2!$D$2:$D$1453,"")),IF(_xlpm.v="","",IF(_xlpm.v&lt;1,_xlpm.v*100,_xlpm.v)))</f>
        <v>33</v>
      </c>
      <c r="E355" s="2">
        <f t="shared" si="5"/>
        <v>22.639299999999999</v>
      </c>
      <c r="F355" s="2" t="str" cm="1">
        <f t="array" ref="F355">IFERROR(_xlfn.XLOOKUP(A355,Sheet2!$A$2:$A$1453,Sheet2!$F$2:$F$1453),_xlfn.XLOOKUP(A355,TEXT(Sheet2!$A$2:$A$1453,"0"),Sheet2!$F$2:$F$1453,""))</f>
        <v>26-7-2026</v>
      </c>
      <c r="G355" s="2" t="str" cm="1">
        <f t="array" ref="G355">IFERROR(_xlfn.XLOOKUP(A355,Sheet2!$A$2:$A$1453,Sheet2!$G$2:$G$1453),_xlfn.XLOOKUP(A355,TEXT(Sheet2!$A$2:$A$1453,"0"),Sheet2!$G$2:$G$1453,""))</f>
        <v>6-8-2026</v>
      </c>
    </row>
    <row r="356" spans="1:7" x14ac:dyDescent="0.2">
      <c r="A356" s="1">
        <v>20309012303</v>
      </c>
      <c r="B356" t="str" cm="1">
        <f t="array" ref="B356">IFERROR(_xlfn.XLOOKUP(A356,Sheet2!$A$2:$A$1453,Sheet2!$B$2:$B$1453),_xlfn.XLOOKUP(A356,TEXT(Sheet2!$A$2:$A$1453,"0"),Sheet2!$B$2:$B$1453,""))</f>
        <v>ALTA MODE CONDITIONER HY</v>
      </c>
      <c r="C356" s="2">
        <v>33.79</v>
      </c>
      <c r="D356" s="2" cm="1">
        <f t="array" ref="D356">_xlfn.LET(_xlpm.v,IFERROR(_xlfn.XLOOKUP(A356,Sheet2!$A$2:$A$1453,Sheet2!$D$2:$D$1453),_xlfn.XLOOKUP(A356,TEXT(Sheet2!$A$2:$A$1453,"0"),Sheet2!$D$2:$D$1453,"")),IF(_xlpm.v="","",IF(_xlpm.v&lt;1,_xlpm.v*100,_xlpm.v)))</f>
        <v>33</v>
      </c>
      <c r="E356" s="2">
        <f t="shared" si="5"/>
        <v>22.639299999999999</v>
      </c>
      <c r="F356" s="2" t="str" cm="1">
        <f t="array" ref="F356">IFERROR(_xlfn.XLOOKUP(A356,Sheet2!$A$2:$A$1453,Sheet2!$F$2:$F$1453),_xlfn.XLOOKUP(A356,TEXT(Sheet2!$A$2:$A$1453,"0"),Sheet2!$F$2:$F$1453,""))</f>
        <v>26-7-2026</v>
      </c>
      <c r="G356" s="2" t="str" cm="1">
        <f t="array" ref="G356">IFERROR(_xlfn.XLOOKUP(A356,Sheet2!$A$2:$A$1453,Sheet2!$G$2:$G$1453),_xlfn.XLOOKUP(A356,TEXT(Sheet2!$A$2:$A$1453,"0"),Sheet2!$G$2:$G$1453,""))</f>
        <v>6-8-2026</v>
      </c>
    </row>
    <row r="357" spans="1:7" x14ac:dyDescent="0.2">
      <c r="A357" s="1">
        <v>20309012302</v>
      </c>
      <c r="B357" t="str" cm="1">
        <f t="array" ref="B357">IFERROR(_xlfn.XLOOKUP(A357,Sheet2!$A$2:$A$1453,Sheet2!$B$2:$B$1453),_xlfn.XLOOKUP(A357,TEXT(Sheet2!$A$2:$A$1453,"0"),Sheet2!$B$2:$B$1453,""))</f>
        <v>ALTA MODE CONDITIONER PE</v>
      </c>
      <c r="C357" s="2">
        <v>33.79</v>
      </c>
      <c r="D357" s="2" cm="1">
        <f t="array" ref="D357">_xlfn.LET(_xlpm.v,IFERROR(_xlfn.XLOOKUP(A357,Sheet2!$A$2:$A$1453,Sheet2!$D$2:$D$1453),_xlfn.XLOOKUP(A357,TEXT(Sheet2!$A$2:$A$1453,"0"),Sheet2!$D$2:$D$1453,"")),IF(_xlpm.v="","",IF(_xlpm.v&lt;1,_xlpm.v*100,_xlpm.v)))</f>
        <v>33</v>
      </c>
      <c r="E357" s="2">
        <f t="shared" si="5"/>
        <v>22.639299999999999</v>
      </c>
      <c r="F357" s="2" t="str" cm="1">
        <f t="array" ref="F357">IFERROR(_xlfn.XLOOKUP(A357,Sheet2!$A$2:$A$1453,Sheet2!$F$2:$F$1453),_xlfn.XLOOKUP(A357,TEXT(Sheet2!$A$2:$A$1453,"0"),Sheet2!$F$2:$F$1453,""))</f>
        <v>26-7-2026</v>
      </c>
      <c r="G357" s="2" t="str" cm="1">
        <f t="array" ref="G357">IFERROR(_xlfn.XLOOKUP(A357,Sheet2!$A$2:$A$1453,Sheet2!$G$2:$G$1453),_xlfn.XLOOKUP(A357,TEXT(Sheet2!$A$2:$A$1453,"0"),Sheet2!$G$2:$G$1453,""))</f>
        <v>6-8-2026</v>
      </c>
    </row>
    <row r="358" spans="1:7" x14ac:dyDescent="0.2">
      <c r="A358" s="1">
        <v>20309012301</v>
      </c>
      <c r="B358" t="str" cm="1">
        <f t="array" ref="B358">IFERROR(_xlfn.XLOOKUP(A358,Sheet2!$A$2:$A$1453,Sheet2!$B$2:$B$1453),_xlfn.XLOOKUP(A358,TEXT(Sheet2!$A$2:$A$1453,"0"),Sheet2!$B$2:$B$1453,""))</f>
        <v>ALTA MODE SHAMPO PERFECT</v>
      </c>
      <c r="C358" s="2">
        <v>33.79</v>
      </c>
      <c r="D358" s="2" cm="1">
        <f t="array" ref="D358">_xlfn.LET(_xlpm.v,IFERROR(_xlfn.XLOOKUP(A358,Sheet2!$A$2:$A$1453,Sheet2!$D$2:$D$1453),_xlfn.XLOOKUP(A358,TEXT(Sheet2!$A$2:$A$1453,"0"),Sheet2!$D$2:$D$1453,"")),IF(_xlpm.v="","",IF(_xlpm.v&lt;1,_xlpm.v*100,_xlpm.v)))</f>
        <v>33</v>
      </c>
      <c r="E358" s="2">
        <f t="shared" si="5"/>
        <v>22.639299999999999</v>
      </c>
      <c r="F358" s="2" t="str" cm="1">
        <f t="array" ref="F358">IFERROR(_xlfn.XLOOKUP(A358,Sheet2!$A$2:$A$1453,Sheet2!$F$2:$F$1453),_xlfn.XLOOKUP(A358,TEXT(Sheet2!$A$2:$A$1453,"0"),Sheet2!$F$2:$F$1453,""))</f>
        <v>26-7-2026</v>
      </c>
      <c r="G358" s="2" t="str" cm="1">
        <f t="array" ref="G358">IFERROR(_xlfn.XLOOKUP(A358,Sheet2!$A$2:$A$1453,Sheet2!$G$2:$G$1453),_xlfn.XLOOKUP(A358,TEXT(Sheet2!$A$2:$A$1453,"0"),Sheet2!$G$2:$G$1453,""))</f>
        <v>6-8-2026</v>
      </c>
    </row>
    <row r="359" spans="1:7" x14ac:dyDescent="0.2">
      <c r="A359" s="1">
        <v>20309012300</v>
      </c>
      <c r="B359" t="str" cm="1">
        <f t="array" ref="B359">IFERROR(_xlfn.XLOOKUP(A359,Sheet2!$A$2:$A$1453,Sheet2!$B$2:$B$1453),_xlfn.XLOOKUP(A359,TEXT(Sheet2!$A$2:$A$1453,"0"),Sheet2!$B$2:$B$1453,""))</f>
        <v>ALTA MODE CONDITIONER Bb</v>
      </c>
      <c r="C359" s="2">
        <v>33.79</v>
      </c>
      <c r="D359" s="2" cm="1">
        <f t="array" ref="D359">_xlfn.LET(_xlpm.v,IFERROR(_xlfn.XLOOKUP(A359,Sheet2!$A$2:$A$1453,Sheet2!$D$2:$D$1453),_xlfn.XLOOKUP(A359,TEXT(Sheet2!$A$2:$A$1453,"0"),Sheet2!$D$2:$D$1453,"")),IF(_xlpm.v="","",IF(_xlpm.v&lt;1,_xlpm.v*100,_xlpm.v)))</f>
        <v>33</v>
      </c>
      <c r="E359" s="2">
        <f t="shared" si="5"/>
        <v>22.639299999999999</v>
      </c>
      <c r="F359" s="2" t="str" cm="1">
        <f t="array" ref="F359">IFERROR(_xlfn.XLOOKUP(A359,Sheet2!$A$2:$A$1453,Sheet2!$F$2:$F$1453),_xlfn.XLOOKUP(A359,TEXT(Sheet2!$A$2:$A$1453,"0"),Sheet2!$F$2:$F$1453,""))</f>
        <v>26-7-2026</v>
      </c>
      <c r="G359" s="2" t="str" cm="1">
        <f t="array" ref="G359">IFERROR(_xlfn.XLOOKUP(A359,Sheet2!$A$2:$A$1453,Sheet2!$G$2:$G$1453),_xlfn.XLOOKUP(A359,TEXT(Sheet2!$A$2:$A$1453,"0"),Sheet2!$G$2:$G$1453,""))</f>
        <v>6-8-2026</v>
      </c>
    </row>
    <row r="360" spans="1:7" x14ac:dyDescent="0.2">
      <c r="A360" s="1">
        <v>20309012299</v>
      </c>
      <c r="B360" t="str" cm="1">
        <f t="array" ref="B360">IFERROR(_xlfn.XLOOKUP(A360,Sheet2!$A$2:$A$1453,Sheet2!$B$2:$B$1453),_xlfn.XLOOKUP(A360,TEXT(Sheet2!$A$2:$A$1453,"0"),Sheet2!$B$2:$B$1453,""))</f>
        <v>ALTA MODE SHAMPO Bb CREA</v>
      </c>
      <c r="C360" s="2">
        <v>33.79</v>
      </c>
      <c r="D360" s="2" cm="1">
        <f t="array" ref="D360">_xlfn.LET(_xlpm.v,IFERROR(_xlfn.XLOOKUP(A360,Sheet2!$A$2:$A$1453,Sheet2!$D$2:$D$1453),_xlfn.XLOOKUP(A360,TEXT(Sheet2!$A$2:$A$1453,"0"),Sheet2!$D$2:$D$1453,"")),IF(_xlpm.v="","",IF(_xlpm.v&lt;1,_xlpm.v*100,_xlpm.v)))</f>
        <v>33</v>
      </c>
      <c r="E360" s="2">
        <f t="shared" si="5"/>
        <v>22.639299999999999</v>
      </c>
      <c r="F360" s="2" t="str" cm="1">
        <f t="array" ref="F360">IFERROR(_xlfn.XLOOKUP(A360,Sheet2!$A$2:$A$1453,Sheet2!$F$2:$F$1453),_xlfn.XLOOKUP(A360,TEXT(Sheet2!$A$2:$A$1453,"0"),Sheet2!$F$2:$F$1453,""))</f>
        <v>26-7-2026</v>
      </c>
      <c r="G360" s="2" t="str" cm="1">
        <f t="array" ref="G360">IFERROR(_xlfn.XLOOKUP(A360,Sheet2!$A$2:$A$1453,Sheet2!$G$2:$G$1453),_xlfn.XLOOKUP(A360,TEXT(Sheet2!$A$2:$A$1453,"0"),Sheet2!$G$2:$G$1453,""))</f>
        <v>6-8-2026</v>
      </c>
    </row>
    <row r="361" spans="1:7" x14ac:dyDescent="0.2">
      <c r="A361" s="1">
        <v>20309012298</v>
      </c>
      <c r="B361" t="str" cm="1">
        <f t="array" ref="B361">IFERROR(_xlfn.XLOOKUP(A361,Sheet2!$A$2:$A$1453,Sheet2!$B$2:$B$1453),_xlfn.XLOOKUP(A361,TEXT(Sheet2!$A$2:$A$1453,"0"),Sheet2!$B$2:$B$1453,""))</f>
        <v>ALTA MODE CONDITIONER KE</v>
      </c>
      <c r="C361" s="2">
        <v>33.79</v>
      </c>
      <c r="D361" s="2" cm="1">
        <f t="array" ref="D361">_xlfn.LET(_xlpm.v,IFERROR(_xlfn.XLOOKUP(A361,Sheet2!$A$2:$A$1453,Sheet2!$D$2:$D$1453),_xlfn.XLOOKUP(A361,TEXT(Sheet2!$A$2:$A$1453,"0"),Sheet2!$D$2:$D$1453,"")),IF(_xlpm.v="","",IF(_xlpm.v&lt;1,_xlpm.v*100,_xlpm.v)))</f>
        <v>33</v>
      </c>
      <c r="E361" s="2">
        <f t="shared" si="5"/>
        <v>22.639299999999999</v>
      </c>
      <c r="F361" s="2" t="str" cm="1">
        <f t="array" ref="F361">IFERROR(_xlfn.XLOOKUP(A361,Sheet2!$A$2:$A$1453,Sheet2!$F$2:$F$1453),_xlfn.XLOOKUP(A361,TEXT(Sheet2!$A$2:$A$1453,"0"),Sheet2!$F$2:$F$1453,""))</f>
        <v>26-7-2026</v>
      </c>
      <c r="G361" s="2" t="str" cm="1">
        <f t="array" ref="G361">IFERROR(_xlfn.XLOOKUP(A361,Sheet2!$A$2:$A$1453,Sheet2!$G$2:$G$1453),_xlfn.XLOOKUP(A361,TEXT(Sheet2!$A$2:$A$1453,"0"),Sheet2!$G$2:$G$1453,""))</f>
        <v>6-8-2026</v>
      </c>
    </row>
    <row r="362" spans="1:7" x14ac:dyDescent="0.2">
      <c r="A362" s="1">
        <v>20309012297</v>
      </c>
      <c r="B362" t="str" cm="1">
        <f t="array" ref="B362">IFERROR(_xlfn.XLOOKUP(A362,Sheet2!$A$2:$A$1453,Sheet2!$B$2:$B$1453),_xlfn.XLOOKUP(A362,TEXT(Sheet2!$A$2:$A$1453,"0"),Sheet2!$B$2:$B$1453,""))</f>
        <v>ALTA MODE CONDITIONER DE</v>
      </c>
      <c r="C362" s="2">
        <v>33.79</v>
      </c>
      <c r="D362" s="2" cm="1">
        <f t="array" ref="D362">_xlfn.LET(_xlpm.v,IFERROR(_xlfn.XLOOKUP(A362,Sheet2!$A$2:$A$1453,Sheet2!$D$2:$D$1453),_xlfn.XLOOKUP(A362,TEXT(Sheet2!$A$2:$A$1453,"0"),Sheet2!$D$2:$D$1453,"")),IF(_xlpm.v="","",IF(_xlpm.v&lt;1,_xlpm.v*100,_xlpm.v)))</f>
        <v>33</v>
      </c>
      <c r="E362" s="2">
        <f t="shared" si="5"/>
        <v>22.639299999999999</v>
      </c>
      <c r="F362" s="2" t="str" cm="1">
        <f t="array" ref="F362">IFERROR(_xlfn.XLOOKUP(A362,Sheet2!$A$2:$A$1453,Sheet2!$F$2:$F$1453),_xlfn.XLOOKUP(A362,TEXT(Sheet2!$A$2:$A$1453,"0"),Sheet2!$F$2:$F$1453,""))</f>
        <v>26-7-2026</v>
      </c>
      <c r="G362" s="2" t="str" cm="1">
        <f t="array" ref="G362">IFERROR(_xlfn.XLOOKUP(A362,Sheet2!$A$2:$A$1453,Sheet2!$G$2:$G$1453),_xlfn.XLOOKUP(A362,TEXT(Sheet2!$A$2:$A$1453,"0"),Sheet2!$G$2:$G$1453,""))</f>
        <v>6-8-2026</v>
      </c>
    </row>
    <row r="363" spans="1:7" x14ac:dyDescent="0.2">
      <c r="A363" s="1">
        <v>20309503555</v>
      </c>
      <c r="B363" t="str" cm="1">
        <f t="array" ref="B363">IFERROR(_xlfn.XLOOKUP(A363,Sheet2!$A$2:$A$1453,Sheet2!$B$2:$B$1453),_xlfn.XLOOKUP(A363,TEXT(Sheet2!$A$2:$A$1453,"0"),Sheet2!$B$2:$B$1453,""))</f>
        <v>PURE BEAUTY LIP CARE LIGHTNING</v>
      </c>
      <c r="C363" s="2">
        <v>23</v>
      </c>
      <c r="D363" s="2" cm="1">
        <f t="array" ref="D363">_xlfn.LET(_xlpm.v,IFERROR(_xlfn.XLOOKUP(A363,Sheet2!$A$2:$A$1453,Sheet2!$D$2:$D$1453),_xlfn.XLOOKUP(A363,TEXT(Sheet2!$A$2:$A$1453,"0"),Sheet2!$D$2:$D$1453,"")),IF(_xlpm.v="","",IF(_xlpm.v&lt;1,_xlpm.v*100,_xlpm.v)))</f>
        <v>20</v>
      </c>
      <c r="E363" s="2">
        <f t="shared" si="5"/>
        <v>18.400000000000002</v>
      </c>
      <c r="F363" s="2" t="str" cm="1">
        <f t="array" ref="F363">IFERROR(_xlfn.XLOOKUP(A363,Sheet2!$A$2:$A$1453,Sheet2!$F$2:$F$1453),_xlfn.XLOOKUP(A363,TEXT(Sheet2!$A$2:$A$1453,"0"),Sheet2!$F$2:$F$1453,""))</f>
        <v>26-7-2026</v>
      </c>
      <c r="G363" s="2" t="str" cm="1">
        <f t="array" ref="G363">IFERROR(_xlfn.XLOOKUP(A363,Sheet2!$A$2:$A$1453,Sheet2!$G$2:$G$1453),_xlfn.XLOOKUP(A363,TEXT(Sheet2!$A$2:$A$1453,"0"),Sheet2!$G$2:$G$1453,""))</f>
        <v>6-8-2026</v>
      </c>
    </row>
    <row r="364" spans="1:7" x14ac:dyDescent="0.2">
      <c r="A364" s="1">
        <v>20309503554</v>
      </c>
      <c r="B364" t="str" cm="1">
        <f t="array" ref="B364">IFERROR(_xlfn.XLOOKUP(A364,Sheet2!$A$2:$A$1453,Sheet2!$B$2:$B$1453),_xlfn.XLOOKUP(A364,TEXT(Sheet2!$A$2:$A$1453,"0"),Sheet2!$B$2:$B$1453,""))</f>
        <v>PURE BEAUTY WHITENING FEMININE WASH 200ML-70682</v>
      </c>
      <c r="C364" s="2">
        <v>63.25</v>
      </c>
      <c r="D364" s="2" cm="1">
        <f t="array" ref="D364">_xlfn.LET(_xlpm.v,IFERROR(_xlfn.XLOOKUP(A364,Sheet2!$A$2:$A$1453,Sheet2!$D$2:$D$1453),_xlfn.XLOOKUP(A364,TEXT(Sheet2!$A$2:$A$1453,"0"),Sheet2!$D$2:$D$1453,"")),IF(_xlpm.v="","",IF(_xlpm.v&lt;1,_xlpm.v*100,_xlpm.v)))</f>
        <v>20</v>
      </c>
      <c r="E364" s="2">
        <f t="shared" si="5"/>
        <v>50.6</v>
      </c>
      <c r="F364" s="2" t="str" cm="1">
        <f t="array" ref="F364">IFERROR(_xlfn.XLOOKUP(A364,Sheet2!$A$2:$A$1453,Sheet2!$F$2:$F$1453),_xlfn.XLOOKUP(A364,TEXT(Sheet2!$A$2:$A$1453,"0"),Sheet2!$F$2:$F$1453,""))</f>
        <v>26-7-2026</v>
      </c>
      <c r="G364" s="2" t="str" cm="1">
        <f t="array" ref="G364">IFERROR(_xlfn.XLOOKUP(A364,Sheet2!$A$2:$A$1453,Sheet2!$G$2:$G$1453),_xlfn.XLOOKUP(A364,TEXT(Sheet2!$A$2:$A$1453,"0"),Sheet2!$G$2:$G$1453,""))</f>
        <v>6-8-2026</v>
      </c>
    </row>
    <row r="365" spans="1:7" x14ac:dyDescent="0.2">
      <c r="A365" s="1">
        <v>20309503550</v>
      </c>
      <c r="B365" t="str" cm="1">
        <f t="array" ref="B365">IFERROR(_xlfn.XLOOKUP(A365,Sheet2!$A$2:$A$1453,Sheet2!$B$2:$B$1453),_xlfn.XLOOKUP(A365,TEXT(Sheet2!$A$2:$A$1453,"0"),Sheet2!$B$2:$B$1453,""))</f>
        <v>PURE BEAUTY DEEP CARE HAIR SERUM 70ML-70675</v>
      </c>
      <c r="C365" s="2">
        <v>46</v>
      </c>
      <c r="D365" s="2" cm="1">
        <f t="array" ref="D365">_xlfn.LET(_xlpm.v,IFERROR(_xlfn.XLOOKUP(A365,Sheet2!$A$2:$A$1453,Sheet2!$D$2:$D$1453),_xlfn.XLOOKUP(A365,TEXT(Sheet2!$A$2:$A$1453,"0"),Sheet2!$D$2:$D$1453,"")),IF(_xlpm.v="","",IF(_xlpm.v&lt;1,_xlpm.v*100,_xlpm.v)))</f>
        <v>20</v>
      </c>
      <c r="E365" s="2">
        <f t="shared" si="5"/>
        <v>36.800000000000004</v>
      </c>
      <c r="F365" s="2" t="str" cm="1">
        <f t="array" ref="F365">IFERROR(_xlfn.XLOOKUP(A365,Sheet2!$A$2:$A$1453,Sheet2!$F$2:$F$1453),_xlfn.XLOOKUP(A365,TEXT(Sheet2!$A$2:$A$1453,"0"),Sheet2!$F$2:$F$1453,""))</f>
        <v>26-7-2026</v>
      </c>
      <c r="G365" s="2" t="str" cm="1">
        <f t="array" ref="G365">IFERROR(_xlfn.XLOOKUP(A365,Sheet2!$A$2:$A$1453,Sheet2!$G$2:$G$1453),_xlfn.XLOOKUP(A365,TEXT(Sheet2!$A$2:$A$1453,"0"),Sheet2!$G$2:$G$1453,""))</f>
        <v>6-8-2026</v>
      </c>
    </row>
    <row r="366" spans="1:7" x14ac:dyDescent="0.2">
      <c r="A366" s="1">
        <v>20309070144</v>
      </c>
      <c r="B366" t="str" cm="1">
        <f t="array" ref="B366">IFERROR(_xlfn.XLOOKUP(A366,Sheet2!$A$2:$A$1453,Sheet2!$B$2:$B$1453),_xlfn.XLOOKUP(A366,TEXT(Sheet2!$A$2:$A$1453,"0"),Sheet2!$B$2:$B$1453,""))</f>
        <v>PURE BEAUTY ORIGINAL STICK DEODORA</v>
      </c>
      <c r="C366" s="2">
        <v>44.85</v>
      </c>
      <c r="D366" s="2" cm="1">
        <f t="array" ref="D366">_xlfn.LET(_xlpm.v,IFERROR(_xlfn.XLOOKUP(A366,Sheet2!$A$2:$A$1453,Sheet2!$D$2:$D$1453),_xlfn.XLOOKUP(A366,TEXT(Sheet2!$A$2:$A$1453,"0"),Sheet2!$D$2:$D$1453,"")),IF(_xlpm.v="","",IF(_xlpm.v&lt;1,_xlpm.v*100,_xlpm.v)))</f>
        <v>20</v>
      </c>
      <c r="E366" s="2">
        <f t="shared" si="5"/>
        <v>35.880000000000003</v>
      </c>
      <c r="F366" s="2" t="str" cm="1">
        <f t="array" ref="F366">IFERROR(_xlfn.XLOOKUP(A366,Sheet2!$A$2:$A$1453,Sheet2!$F$2:$F$1453),_xlfn.XLOOKUP(A366,TEXT(Sheet2!$A$2:$A$1453,"0"),Sheet2!$F$2:$F$1453,""))</f>
        <v>26-7-2026</v>
      </c>
      <c r="G366" s="2" t="str" cm="1">
        <f t="array" ref="G366">IFERROR(_xlfn.XLOOKUP(A366,Sheet2!$A$2:$A$1453,Sheet2!$G$2:$G$1453),_xlfn.XLOOKUP(A366,TEXT(Sheet2!$A$2:$A$1453,"0"),Sheet2!$G$2:$G$1453,""))</f>
        <v>6-8-2026</v>
      </c>
    </row>
    <row r="367" spans="1:7" x14ac:dyDescent="0.2">
      <c r="A367" s="1">
        <v>20309070141</v>
      </c>
      <c r="B367" t="str" cm="1">
        <f t="array" ref="B367">IFERROR(_xlfn.XLOOKUP(A367,Sheet2!$A$2:$A$1453,Sheet2!$B$2:$B$1453),_xlfn.XLOOKUP(A367,TEXT(Sheet2!$A$2:$A$1453,"0"),Sheet2!$B$2:$B$1453,""))</f>
        <v>PURE BEAUTY ORIGINAL ROLL ON DEODO</v>
      </c>
      <c r="C367" s="2">
        <v>50.6</v>
      </c>
      <c r="D367" s="2" cm="1">
        <f t="array" ref="D367">_xlfn.LET(_xlpm.v,IFERROR(_xlfn.XLOOKUP(A367,Sheet2!$A$2:$A$1453,Sheet2!$D$2:$D$1453),_xlfn.XLOOKUP(A367,TEXT(Sheet2!$A$2:$A$1453,"0"),Sheet2!$D$2:$D$1453,"")),IF(_xlpm.v="","",IF(_xlpm.v&lt;1,_xlpm.v*100,_xlpm.v)))</f>
        <v>20</v>
      </c>
      <c r="E367" s="2">
        <f t="shared" si="5"/>
        <v>40.480000000000004</v>
      </c>
      <c r="F367" s="2" t="str" cm="1">
        <f t="array" ref="F367">IFERROR(_xlfn.XLOOKUP(A367,Sheet2!$A$2:$A$1453,Sheet2!$F$2:$F$1453),_xlfn.XLOOKUP(A367,TEXT(Sheet2!$A$2:$A$1453,"0"),Sheet2!$F$2:$F$1453,""))</f>
        <v>26-7-2026</v>
      </c>
      <c r="G367" s="2" t="str" cm="1">
        <f t="array" ref="G367">IFERROR(_xlfn.XLOOKUP(A367,Sheet2!$A$2:$A$1453,Sheet2!$G$2:$G$1453),_xlfn.XLOOKUP(A367,TEXT(Sheet2!$A$2:$A$1453,"0"),Sheet2!$G$2:$G$1453,""))</f>
        <v>6-8-2026</v>
      </c>
    </row>
    <row r="368" spans="1:7" x14ac:dyDescent="0.2">
      <c r="A368" s="1">
        <v>20309070139</v>
      </c>
      <c r="B368" t="str" cm="1">
        <f t="array" ref="B368">IFERROR(_xlfn.XLOOKUP(A368,Sheet2!$A$2:$A$1453,Sheet2!$B$2:$B$1453),_xlfn.XLOOKUP(A368,TEXT(Sheet2!$A$2:$A$1453,"0"),Sheet2!$B$2:$B$1453,""))</f>
        <v>PURE BEAUTY FRESH ROLL ON DEODORA</v>
      </c>
      <c r="C368" s="2">
        <v>50.6</v>
      </c>
      <c r="D368" s="2" cm="1">
        <f t="array" ref="D368">_xlfn.LET(_xlpm.v,IFERROR(_xlfn.XLOOKUP(A368,Sheet2!$A$2:$A$1453,Sheet2!$D$2:$D$1453),_xlfn.XLOOKUP(A368,TEXT(Sheet2!$A$2:$A$1453,"0"),Sheet2!$D$2:$D$1453,"")),IF(_xlpm.v="","",IF(_xlpm.v&lt;1,_xlpm.v*100,_xlpm.v)))</f>
        <v>20</v>
      </c>
      <c r="E368" s="2">
        <f t="shared" si="5"/>
        <v>40.480000000000004</v>
      </c>
      <c r="F368" s="2" t="str" cm="1">
        <f t="array" ref="F368">IFERROR(_xlfn.XLOOKUP(A368,Sheet2!$A$2:$A$1453,Sheet2!$F$2:$F$1453),_xlfn.XLOOKUP(A368,TEXT(Sheet2!$A$2:$A$1453,"0"),Sheet2!$F$2:$F$1453,""))</f>
        <v>26-7-2026</v>
      </c>
      <c r="G368" s="2" t="str" cm="1">
        <f t="array" ref="G368">IFERROR(_xlfn.XLOOKUP(A368,Sheet2!$A$2:$A$1453,Sheet2!$G$2:$G$1453),_xlfn.XLOOKUP(A368,TEXT(Sheet2!$A$2:$A$1453,"0"),Sheet2!$G$2:$G$1453,""))</f>
        <v>6-8-2026</v>
      </c>
    </row>
    <row r="369" spans="1:7" x14ac:dyDescent="0.2">
      <c r="A369" s="1">
        <v>20309070136</v>
      </c>
      <c r="B369" t="str" cm="1">
        <f t="array" ref="B369">IFERROR(_xlfn.XLOOKUP(A369,Sheet2!$A$2:$A$1453,Sheet2!$B$2:$B$1453),_xlfn.XLOOKUP(A369,TEXT(Sheet2!$A$2:$A$1453,"0"),Sheet2!$B$2:$B$1453,""))</f>
        <v>PURE BEAUTY WHITENING FACIAL CREA</v>
      </c>
      <c r="C369" s="2">
        <v>80.39</v>
      </c>
      <c r="D369" s="2" cm="1">
        <f t="array" ref="D369">_xlfn.LET(_xlpm.v,IFERROR(_xlfn.XLOOKUP(A369,Sheet2!$A$2:$A$1453,Sheet2!$D$2:$D$1453),_xlfn.XLOOKUP(A369,TEXT(Sheet2!$A$2:$A$1453,"0"),Sheet2!$D$2:$D$1453,"")),IF(_xlpm.v="","",IF(_xlpm.v&lt;1,_xlpm.v*100,_xlpm.v)))</f>
        <v>20</v>
      </c>
      <c r="E369" s="2">
        <f t="shared" si="5"/>
        <v>64.311999999999998</v>
      </c>
      <c r="F369" s="2" t="str" cm="1">
        <f t="array" ref="F369">IFERROR(_xlfn.XLOOKUP(A369,Sheet2!$A$2:$A$1453,Sheet2!$F$2:$F$1453),_xlfn.XLOOKUP(A369,TEXT(Sheet2!$A$2:$A$1453,"0"),Sheet2!$F$2:$F$1453,""))</f>
        <v>26-7-2026</v>
      </c>
      <c r="G369" s="2" t="str" cm="1">
        <f t="array" ref="G369">IFERROR(_xlfn.XLOOKUP(A369,Sheet2!$A$2:$A$1453,Sheet2!$G$2:$G$1453),_xlfn.XLOOKUP(A369,TEXT(Sheet2!$A$2:$A$1453,"0"),Sheet2!$G$2:$G$1453,""))</f>
        <v>6-8-2026</v>
      </c>
    </row>
    <row r="370" spans="1:7" x14ac:dyDescent="0.2">
      <c r="A370" s="1">
        <v>20309070135</v>
      </c>
      <c r="B370" t="str" cm="1">
        <f t="array" ref="B370">IFERROR(_xlfn.XLOOKUP(A370,Sheet2!$A$2:$A$1453,Sheet2!$B$2:$B$1453),_xlfn.XLOOKUP(A370,TEXT(Sheet2!$A$2:$A$1453,"0"),Sheet2!$B$2:$B$1453,""))</f>
        <v>PURE BEAUTY WHITENING&amp;ANTIAGING C</v>
      </c>
      <c r="C370" s="2">
        <v>85.1</v>
      </c>
      <c r="D370" s="2" cm="1">
        <f t="array" ref="D370">_xlfn.LET(_xlpm.v,IFERROR(_xlfn.XLOOKUP(A370,Sheet2!$A$2:$A$1453,Sheet2!$D$2:$D$1453),_xlfn.XLOOKUP(A370,TEXT(Sheet2!$A$2:$A$1453,"0"),Sheet2!$D$2:$D$1453,"")),IF(_xlpm.v="","",IF(_xlpm.v&lt;1,_xlpm.v*100,_xlpm.v)))</f>
        <v>20</v>
      </c>
      <c r="E370" s="2">
        <f t="shared" si="5"/>
        <v>68.08</v>
      </c>
      <c r="F370" s="2" t="str" cm="1">
        <f t="array" ref="F370">IFERROR(_xlfn.XLOOKUP(A370,Sheet2!$A$2:$A$1453,Sheet2!$F$2:$F$1453),_xlfn.XLOOKUP(A370,TEXT(Sheet2!$A$2:$A$1453,"0"),Sheet2!$F$2:$F$1453,""))</f>
        <v>26-7-2026</v>
      </c>
      <c r="G370" s="2" t="str" cm="1">
        <f t="array" ref="G370">IFERROR(_xlfn.XLOOKUP(A370,Sheet2!$A$2:$A$1453,Sheet2!$G$2:$G$1453),_xlfn.XLOOKUP(A370,TEXT(Sheet2!$A$2:$A$1453,"0"),Sheet2!$G$2:$G$1453,""))</f>
        <v>6-8-2026</v>
      </c>
    </row>
    <row r="371" spans="1:7" x14ac:dyDescent="0.2">
      <c r="A371" s="1">
        <v>20309070133</v>
      </c>
      <c r="B371" t="str" cm="1">
        <f t="array" ref="B371">IFERROR(_xlfn.XLOOKUP(A371,Sheet2!$A$2:$A$1453,Sheet2!$B$2:$B$1453),_xlfn.XLOOKUP(A371,TEXT(Sheet2!$A$2:$A$1453,"0"),Sheet2!$B$2:$B$1453,""))</f>
        <v>PURE BEAUTY NATURAL WHITENING SOA</v>
      </c>
      <c r="C371" s="2">
        <v>27.2</v>
      </c>
      <c r="D371" s="2" cm="1">
        <f t="array" ref="D371">_xlfn.LET(_xlpm.v,IFERROR(_xlfn.XLOOKUP(A371,Sheet2!$A$2:$A$1453,Sheet2!$D$2:$D$1453),_xlfn.XLOOKUP(A371,TEXT(Sheet2!$A$2:$A$1453,"0"),Sheet2!$D$2:$D$1453,"")),IF(_xlpm.v="","",IF(_xlpm.v&lt;1,_xlpm.v*100,_xlpm.v)))</f>
        <v>20</v>
      </c>
      <c r="E371" s="2">
        <f t="shared" si="5"/>
        <v>21.76</v>
      </c>
      <c r="F371" s="2" t="str" cm="1">
        <f t="array" ref="F371">IFERROR(_xlfn.XLOOKUP(A371,Sheet2!$A$2:$A$1453,Sheet2!$F$2:$F$1453),_xlfn.XLOOKUP(A371,TEXT(Sheet2!$A$2:$A$1453,"0"),Sheet2!$F$2:$F$1453,""))</f>
        <v>26-7-2026</v>
      </c>
      <c r="G371" s="2" t="str" cm="1">
        <f t="array" ref="G371">IFERROR(_xlfn.XLOOKUP(A371,Sheet2!$A$2:$A$1453,Sheet2!$G$2:$G$1453),_xlfn.XLOOKUP(A371,TEXT(Sheet2!$A$2:$A$1453,"0"),Sheet2!$G$2:$G$1453,""))</f>
        <v>6-8-2026</v>
      </c>
    </row>
    <row r="372" spans="1:7" x14ac:dyDescent="0.2">
      <c r="A372" s="1">
        <v>20309070131</v>
      </c>
      <c r="B372" t="str" cm="1">
        <f t="array" ref="B372">IFERROR(_xlfn.XLOOKUP(A372,Sheet2!$A$2:$A$1453,Sheet2!$B$2:$B$1453),_xlfn.XLOOKUP(A372,TEXT(Sheet2!$A$2:$A$1453,"0"),Sheet2!$B$2:$B$1453,""))</f>
        <v>PURE PEAUTY EXPERT HAIR SERUM 90 ML</v>
      </c>
      <c r="C372" s="2">
        <v>68.08</v>
      </c>
      <c r="D372" s="2" cm="1">
        <f t="array" ref="D372">_xlfn.LET(_xlpm.v,IFERROR(_xlfn.XLOOKUP(A372,Sheet2!$A$2:$A$1453,Sheet2!$D$2:$D$1453),_xlfn.XLOOKUP(A372,TEXT(Sheet2!$A$2:$A$1453,"0"),Sheet2!$D$2:$D$1453,"")),IF(_xlpm.v="","",IF(_xlpm.v&lt;1,_xlpm.v*100,_xlpm.v)))</f>
        <v>20</v>
      </c>
      <c r="E372" s="2">
        <f t="shared" si="5"/>
        <v>54.463999999999999</v>
      </c>
      <c r="F372" s="2" t="str" cm="1">
        <f t="array" ref="F372">IFERROR(_xlfn.XLOOKUP(A372,Sheet2!$A$2:$A$1453,Sheet2!$F$2:$F$1453),_xlfn.XLOOKUP(A372,TEXT(Sheet2!$A$2:$A$1453,"0"),Sheet2!$F$2:$F$1453,""))</f>
        <v>26-7-2026</v>
      </c>
      <c r="G372" s="2" t="str" cm="1">
        <f t="array" ref="G372">IFERROR(_xlfn.XLOOKUP(A372,Sheet2!$A$2:$A$1453,Sheet2!$G$2:$G$1453),_xlfn.XLOOKUP(A372,TEXT(Sheet2!$A$2:$A$1453,"0"),Sheet2!$G$2:$G$1453,""))</f>
        <v>6-8-2026</v>
      </c>
    </row>
    <row r="373" spans="1:7" x14ac:dyDescent="0.2">
      <c r="A373" s="1">
        <v>20309070130</v>
      </c>
      <c r="B373" t="str" cm="1">
        <f t="array" ref="B373">IFERROR(_xlfn.XLOOKUP(A373,Sheet2!$A$2:$A$1453,Sheet2!$B$2:$B$1453),_xlfn.XLOOKUP(A373,TEXT(Sheet2!$A$2:$A$1453,"0"),Sheet2!$B$2:$B$1453,""))</f>
        <v>PURE BEAUTY CREAM FOR SENSITIVE AR</v>
      </c>
      <c r="C373" s="2">
        <v>80.5</v>
      </c>
      <c r="D373" s="2" cm="1">
        <f t="array" ref="D373">_xlfn.LET(_xlpm.v,IFERROR(_xlfn.XLOOKUP(A373,Sheet2!$A$2:$A$1453,Sheet2!$D$2:$D$1453),_xlfn.XLOOKUP(A373,TEXT(Sheet2!$A$2:$A$1453,"0"),Sheet2!$D$2:$D$1453,"")),IF(_xlpm.v="","",IF(_xlpm.v&lt;1,_xlpm.v*100,_xlpm.v)))</f>
        <v>20</v>
      </c>
      <c r="E373" s="2">
        <f t="shared" si="5"/>
        <v>64.400000000000006</v>
      </c>
      <c r="F373" s="2" t="str" cm="1">
        <f t="array" ref="F373">IFERROR(_xlfn.XLOOKUP(A373,Sheet2!$A$2:$A$1453,Sheet2!$F$2:$F$1453),_xlfn.XLOOKUP(A373,TEXT(Sheet2!$A$2:$A$1453,"0"),Sheet2!$F$2:$F$1453,""))</f>
        <v>26-7-2026</v>
      </c>
      <c r="G373" s="2" t="str" cm="1">
        <f t="array" ref="G373">IFERROR(_xlfn.XLOOKUP(A373,Sheet2!$A$2:$A$1453,Sheet2!$G$2:$G$1453),_xlfn.XLOOKUP(A373,TEXT(Sheet2!$A$2:$A$1453,"0"),Sheet2!$G$2:$G$1453,""))</f>
        <v>6-8-2026</v>
      </c>
    </row>
    <row r="374" spans="1:7" x14ac:dyDescent="0.2">
      <c r="A374" s="1">
        <v>20309070129</v>
      </c>
      <c r="B374" t="str" cm="1">
        <f t="array" ref="B374">IFERROR(_xlfn.XLOOKUP(A374,Sheet2!$A$2:$A$1453,Sheet2!$B$2:$B$1453),_xlfn.XLOOKUP(A374,TEXT(Sheet2!$A$2:$A$1453,"0"),Sheet2!$B$2:$B$1453,""))</f>
        <v>PURE BEAUTY CLEANSING SOAP 70 GM</v>
      </c>
      <c r="C374" s="2">
        <v>19.78</v>
      </c>
      <c r="D374" s="2" cm="1">
        <f t="array" ref="D374">_xlfn.LET(_xlpm.v,IFERROR(_xlfn.XLOOKUP(A374,Sheet2!$A$2:$A$1453,Sheet2!$D$2:$D$1453),_xlfn.XLOOKUP(A374,TEXT(Sheet2!$A$2:$A$1453,"0"),Sheet2!$D$2:$D$1453,"")),IF(_xlpm.v="","",IF(_xlpm.v&lt;1,_xlpm.v*100,_xlpm.v)))</f>
        <v>20</v>
      </c>
      <c r="E374" s="2">
        <f t="shared" si="5"/>
        <v>15.824000000000002</v>
      </c>
      <c r="F374" s="2" t="str" cm="1">
        <f t="array" ref="F374">IFERROR(_xlfn.XLOOKUP(A374,Sheet2!$A$2:$A$1453,Sheet2!$F$2:$F$1453),_xlfn.XLOOKUP(A374,TEXT(Sheet2!$A$2:$A$1453,"0"),Sheet2!$F$2:$F$1453,""))</f>
        <v>26-7-2026</v>
      </c>
      <c r="G374" s="2" t="str" cm="1">
        <f t="array" ref="G374">IFERROR(_xlfn.XLOOKUP(A374,Sheet2!$A$2:$A$1453,Sheet2!$G$2:$G$1453),_xlfn.XLOOKUP(A374,TEXT(Sheet2!$A$2:$A$1453,"0"),Sheet2!$G$2:$G$1453,""))</f>
        <v>6-8-2026</v>
      </c>
    </row>
    <row r="375" spans="1:7" x14ac:dyDescent="0.2">
      <c r="A375" s="1">
        <v>20309070128</v>
      </c>
      <c r="B375" t="str" cm="1">
        <f t="array" ref="B375">IFERROR(_xlfn.XLOOKUP(A375,Sheet2!$A$2:$A$1453,Sheet2!$B$2:$B$1453),_xlfn.XLOOKUP(A375,TEXT(Sheet2!$A$2:$A$1453,"0"),Sheet2!$B$2:$B$1453,""))</f>
        <v>PURE BEAUTY BODY SPLASH SIMPLY LOV</v>
      </c>
      <c r="C375" s="2">
        <v>44.85</v>
      </c>
      <c r="D375" s="2" cm="1">
        <f t="array" ref="D375">_xlfn.LET(_xlpm.v,IFERROR(_xlfn.XLOOKUP(A375,Sheet2!$A$2:$A$1453,Sheet2!$D$2:$D$1453),_xlfn.XLOOKUP(A375,TEXT(Sheet2!$A$2:$A$1453,"0"),Sheet2!$D$2:$D$1453,"")),IF(_xlpm.v="","",IF(_xlpm.v&lt;1,_xlpm.v*100,_xlpm.v)))</f>
        <v>20</v>
      </c>
      <c r="E375" s="2">
        <f t="shared" si="5"/>
        <v>35.880000000000003</v>
      </c>
      <c r="F375" s="2" t="str" cm="1">
        <f t="array" ref="F375">IFERROR(_xlfn.XLOOKUP(A375,Sheet2!$A$2:$A$1453,Sheet2!$F$2:$F$1453),_xlfn.XLOOKUP(A375,TEXT(Sheet2!$A$2:$A$1453,"0"),Sheet2!$F$2:$F$1453,""))</f>
        <v>26-7-2026</v>
      </c>
      <c r="G375" s="2" t="str" cm="1">
        <f t="array" ref="G375">IFERROR(_xlfn.XLOOKUP(A375,Sheet2!$A$2:$A$1453,Sheet2!$G$2:$G$1453),_xlfn.XLOOKUP(A375,TEXT(Sheet2!$A$2:$A$1453,"0"),Sheet2!$G$2:$G$1453,""))</f>
        <v>6-8-2026</v>
      </c>
    </row>
    <row r="376" spans="1:7" x14ac:dyDescent="0.2">
      <c r="A376" s="1">
        <v>20309070127</v>
      </c>
      <c r="B376" t="str" cm="1">
        <f t="array" ref="B376">IFERROR(_xlfn.XLOOKUP(A376,Sheet2!$A$2:$A$1453,Sheet2!$B$2:$B$1453),_xlfn.XLOOKUP(A376,TEXT(Sheet2!$A$2:$A$1453,"0"),Sheet2!$B$2:$B$1453,""))</f>
        <v>PURE BEAUTY BODY SPLASH SWEET LOV</v>
      </c>
      <c r="C376" s="2">
        <v>44.85</v>
      </c>
      <c r="D376" s="2" cm="1">
        <f t="array" ref="D376">_xlfn.LET(_xlpm.v,IFERROR(_xlfn.XLOOKUP(A376,Sheet2!$A$2:$A$1453,Sheet2!$D$2:$D$1453),_xlfn.XLOOKUP(A376,TEXT(Sheet2!$A$2:$A$1453,"0"),Sheet2!$D$2:$D$1453,"")),IF(_xlpm.v="","",IF(_xlpm.v&lt;1,_xlpm.v*100,_xlpm.v)))</f>
        <v>20</v>
      </c>
      <c r="E376" s="2">
        <f t="shared" si="5"/>
        <v>35.880000000000003</v>
      </c>
      <c r="F376" s="2" t="str" cm="1">
        <f t="array" ref="F376">IFERROR(_xlfn.XLOOKUP(A376,Sheet2!$A$2:$A$1453,Sheet2!$F$2:$F$1453),_xlfn.XLOOKUP(A376,TEXT(Sheet2!$A$2:$A$1453,"0"),Sheet2!$F$2:$F$1453,""))</f>
        <v>26-7-2026</v>
      </c>
      <c r="G376" s="2" t="str" cm="1">
        <f t="array" ref="G376">IFERROR(_xlfn.XLOOKUP(A376,Sheet2!$A$2:$A$1453,Sheet2!$G$2:$G$1453),_xlfn.XLOOKUP(A376,TEXT(Sheet2!$A$2:$A$1453,"0"),Sheet2!$G$2:$G$1453,""))</f>
        <v>6-8-2026</v>
      </c>
    </row>
    <row r="377" spans="1:7" x14ac:dyDescent="0.2">
      <c r="A377" s="1">
        <v>20309070126</v>
      </c>
      <c r="B377" t="str" cm="1">
        <f t="array" ref="B377">IFERROR(_xlfn.XLOOKUP(A377,Sheet2!$A$2:$A$1453,Sheet2!$B$2:$B$1453),_xlfn.XLOOKUP(A377,TEXT(Sheet2!$A$2:$A$1453,"0"),Sheet2!$B$2:$B$1453,""))</f>
        <v>PURE BEAUTY BODY SPLASH SECRET LOV</v>
      </c>
      <c r="C377" s="2">
        <v>44.85</v>
      </c>
      <c r="D377" s="2" cm="1">
        <f t="array" ref="D377">_xlfn.LET(_xlpm.v,IFERROR(_xlfn.XLOOKUP(A377,Sheet2!$A$2:$A$1453,Sheet2!$D$2:$D$1453),_xlfn.XLOOKUP(A377,TEXT(Sheet2!$A$2:$A$1453,"0"),Sheet2!$D$2:$D$1453,"")),IF(_xlpm.v="","",IF(_xlpm.v&lt;1,_xlpm.v*100,_xlpm.v)))</f>
        <v>20</v>
      </c>
      <c r="E377" s="2">
        <f t="shared" si="5"/>
        <v>35.880000000000003</v>
      </c>
      <c r="F377" s="2" t="str" cm="1">
        <f t="array" ref="F377">IFERROR(_xlfn.XLOOKUP(A377,Sheet2!$A$2:$A$1453,Sheet2!$F$2:$F$1453),_xlfn.XLOOKUP(A377,TEXT(Sheet2!$A$2:$A$1453,"0"),Sheet2!$F$2:$F$1453,""))</f>
        <v>26-7-2026</v>
      </c>
      <c r="G377" s="2" t="str" cm="1">
        <f t="array" ref="G377">IFERROR(_xlfn.XLOOKUP(A377,Sheet2!$A$2:$A$1453,Sheet2!$G$2:$G$1453),_xlfn.XLOOKUP(A377,TEXT(Sheet2!$A$2:$A$1453,"0"),Sheet2!$G$2:$G$1453,""))</f>
        <v>6-8-2026</v>
      </c>
    </row>
    <row r="378" spans="1:7" x14ac:dyDescent="0.2">
      <c r="A378" s="1">
        <v>20309070123</v>
      </c>
      <c r="B378" t="str" cm="1">
        <f t="array" ref="B378">IFERROR(_xlfn.XLOOKUP(A378,Sheet2!$A$2:$A$1453,Sheet2!$B$2:$B$1453),_xlfn.XLOOKUP(A378,TEXT(Sheet2!$A$2:$A$1453,"0"),Sheet2!$B$2:$B$1453,""))</f>
        <v>PURE BEAUTY BODY SPLASH MIDNIGHT L</v>
      </c>
      <c r="C378" s="2">
        <v>44.85</v>
      </c>
      <c r="D378" s="2" cm="1">
        <f t="array" ref="D378">_xlfn.LET(_xlpm.v,IFERROR(_xlfn.XLOOKUP(A378,Sheet2!$A$2:$A$1453,Sheet2!$D$2:$D$1453),_xlfn.XLOOKUP(A378,TEXT(Sheet2!$A$2:$A$1453,"0"),Sheet2!$D$2:$D$1453,"")),IF(_xlpm.v="","",IF(_xlpm.v&lt;1,_xlpm.v*100,_xlpm.v)))</f>
        <v>20</v>
      </c>
      <c r="E378" s="2">
        <f t="shared" si="5"/>
        <v>35.880000000000003</v>
      </c>
      <c r="F378" s="2" t="str" cm="1">
        <f t="array" ref="F378">IFERROR(_xlfn.XLOOKUP(A378,Sheet2!$A$2:$A$1453,Sheet2!$F$2:$F$1453),_xlfn.XLOOKUP(A378,TEXT(Sheet2!$A$2:$A$1453,"0"),Sheet2!$F$2:$F$1453,""))</f>
        <v>26-7-2026</v>
      </c>
      <c r="G378" s="2" t="str" cm="1">
        <f t="array" ref="G378">IFERROR(_xlfn.XLOOKUP(A378,Sheet2!$A$2:$A$1453,Sheet2!$G$2:$G$1453),_xlfn.XLOOKUP(A378,TEXT(Sheet2!$A$2:$A$1453,"0"),Sheet2!$G$2:$G$1453,""))</f>
        <v>6-8-2026</v>
      </c>
    </row>
    <row r="379" spans="1:7" x14ac:dyDescent="0.2">
      <c r="A379" s="1">
        <v>20309060774</v>
      </c>
      <c r="B379" t="str" cm="1">
        <f t="array" ref="B379">IFERROR(_xlfn.XLOOKUP(A379,Sheet2!$A$2:$A$1453,Sheet2!$B$2:$B$1453),_xlfn.XLOOKUP(A379,TEXT(Sheet2!$A$2:$A$1453,"0"),Sheet2!$B$2:$B$1453,""))</f>
        <v>PURE BEAUTY WHITENING DEO</v>
      </c>
      <c r="C379" s="2">
        <v>44.85</v>
      </c>
      <c r="D379" s="2" cm="1">
        <f t="array" ref="D379">_xlfn.LET(_xlpm.v,IFERROR(_xlfn.XLOOKUP(A379,Sheet2!$A$2:$A$1453,Sheet2!$D$2:$D$1453),_xlfn.XLOOKUP(A379,TEXT(Sheet2!$A$2:$A$1453,"0"),Sheet2!$D$2:$D$1453,"")),IF(_xlpm.v="","",IF(_xlpm.v&lt;1,_xlpm.v*100,_xlpm.v)))</f>
        <v>20</v>
      </c>
      <c r="E379" s="2">
        <f t="shared" si="5"/>
        <v>35.880000000000003</v>
      </c>
      <c r="F379" s="2" t="str" cm="1">
        <f t="array" ref="F379">IFERROR(_xlfn.XLOOKUP(A379,Sheet2!$A$2:$A$1453,Sheet2!$F$2:$F$1453),_xlfn.XLOOKUP(A379,TEXT(Sheet2!$A$2:$A$1453,"0"),Sheet2!$F$2:$F$1453,""))</f>
        <v>26-7-2026</v>
      </c>
      <c r="G379" s="2" t="str" cm="1">
        <f t="array" ref="G379">IFERROR(_xlfn.XLOOKUP(A379,Sheet2!$A$2:$A$1453,Sheet2!$G$2:$G$1453),_xlfn.XLOOKUP(A379,TEXT(Sheet2!$A$2:$A$1453,"0"),Sheet2!$G$2:$G$1453,""))</f>
        <v>6-8-2026</v>
      </c>
    </row>
    <row r="380" spans="1:7" x14ac:dyDescent="0.2">
      <c r="A380" s="1">
        <v>20309060773</v>
      </c>
      <c r="B380" t="str" cm="1">
        <f t="array" ref="B380">IFERROR(_xlfn.XLOOKUP(A380,Sheet2!$A$2:$A$1453,Sheet2!$B$2:$B$1453),_xlfn.XLOOKUP(A380,TEXT(Sheet2!$A$2:$A$1453,"0"),Sheet2!$B$2:$B$1453,""))</f>
        <v>PURE BEAUTY WHITENING DEO</v>
      </c>
      <c r="C380" s="2">
        <v>44.85</v>
      </c>
      <c r="D380" s="2" cm="1">
        <f t="array" ref="D380">_xlfn.LET(_xlpm.v,IFERROR(_xlfn.XLOOKUP(A380,Sheet2!$A$2:$A$1453,Sheet2!$D$2:$D$1453),_xlfn.XLOOKUP(A380,TEXT(Sheet2!$A$2:$A$1453,"0"),Sheet2!$D$2:$D$1453,"")),IF(_xlpm.v="","",IF(_xlpm.v&lt;1,_xlpm.v*100,_xlpm.v)))</f>
        <v>20</v>
      </c>
      <c r="E380" s="2">
        <f t="shared" si="5"/>
        <v>35.880000000000003</v>
      </c>
      <c r="F380" s="2" t="str" cm="1">
        <f t="array" ref="F380">IFERROR(_xlfn.XLOOKUP(A380,Sheet2!$A$2:$A$1453,Sheet2!$F$2:$F$1453),_xlfn.XLOOKUP(A380,TEXT(Sheet2!$A$2:$A$1453,"0"),Sheet2!$F$2:$F$1453,""))</f>
        <v>26-7-2026</v>
      </c>
      <c r="G380" s="2" t="str" cm="1">
        <f t="array" ref="G380">IFERROR(_xlfn.XLOOKUP(A380,Sheet2!$A$2:$A$1453,Sheet2!$G$2:$G$1453),_xlfn.XLOOKUP(A380,TEXT(Sheet2!$A$2:$A$1453,"0"),Sheet2!$G$2:$G$1453,""))</f>
        <v>6-8-2026</v>
      </c>
    </row>
    <row r="381" spans="1:7" x14ac:dyDescent="0.2">
      <c r="A381" s="1">
        <v>20309060772</v>
      </c>
      <c r="B381" t="str" cm="1">
        <f t="array" ref="B381">IFERROR(_xlfn.XLOOKUP(A381,Sheet2!$A$2:$A$1453,Sheet2!$B$2:$B$1453),_xlfn.XLOOKUP(A381,TEXT(Sheet2!$A$2:$A$1453,"0"),Sheet2!$B$2:$B$1453,""))</f>
        <v>PURE BEAUTY WHITENING DEO</v>
      </c>
      <c r="C381" s="2">
        <v>50.6</v>
      </c>
      <c r="D381" s="2" cm="1">
        <f t="array" ref="D381">_xlfn.LET(_xlpm.v,IFERROR(_xlfn.XLOOKUP(A381,Sheet2!$A$2:$A$1453,Sheet2!$D$2:$D$1453),_xlfn.XLOOKUP(A381,TEXT(Sheet2!$A$2:$A$1453,"0"),Sheet2!$D$2:$D$1453,"")),IF(_xlpm.v="","",IF(_xlpm.v&lt;1,_xlpm.v*100,_xlpm.v)))</f>
        <v>20</v>
      </c>
      <c r="E381" s="2">
        <f t="shared" si="5"/>
        <v>40.480000000000004</v>
      </c>
      <c r="F381" s="2" t="str" cm="1">
        <f t="array" ref="F381">IFERROR(_xlfn.XLOOKUP(A381,Sheet2!$A$2:$A$1453,Sheet2!$F$2:$F$1453),_xlfn.XLOOKUP(A381,TEXT(Sheet2!$A$2:$A$1453,"0"),Sheet2!$F$2:$F$1453,""))</f>
        <v>26-7-2026</v>
      </c>
      <c r="G381" s="2" t="str" cm="1">
        <f t="array" ref="G381">IFERROR(_xlfn.XLOOKUP(A381,Sheet2!$A$2:$A$1453,Sheet2!$G$2:$G$1453),_xlfn.XLOOKUP(A381,TEXT(Sheet2!$A$2:$A$1453,"0"),Sheet2!$G$2:$G$1453,""))</f>
        <v>6-8-2026</v>
      </c>
    </row>
    <row r="382" spans="1:7" x14ac:dyDescent="0.2">
      <c r="A382" s="1">
        <v>20309060637</v>
      </c>
      <c r="B382" t="str" cm="1">
        <f t="array" ref="B382">IFERROR(_xlfn.XLOOKUP(A382,Sheet2!$A$2:$A$1453,Sheet2!$B$2:$B$1453),_xlfn.XLOOKUP(A382,TEXT(Sheet2!$A$2:$A$1453,"0"),Sheet2!$B$2:$B$1453,""))</f>
        <v>PURE BEAUTY WHITENING  ROLL ON FRA</v>
      </c>
      <c r="C382" s="2">
        <v>50.6</v>
      </c>
      <c r="D382" s="2" cm="1">
        <f t="array" ref="D382">_xlfn.LET(_xlpm.v,IFERROR(_xlfn.XLOOKUP(A382,Sheet2!$A$2:$A$1453,Sheet2!$D$2:$D$1453),_xlfn.XLOOKUP(A382,TEXT(Sheet2!$A$2:$A$1453,"0"),Sheet2!$D$2:$D$1453,"")),IF(_xlpm.v="","",IF(_xlpm.v&lt;1,_xlpm.v*100,_xlpm.v)))</f>
        <v>20</v>
      </c>
      <c r="E382" s="2">
        <f t="shared" si="5"/>
        <v>40.480000000000004</v>
      </c>
      <c r="F382" s="2" t="str" cm="1">
        <f t="array" ref="F382">IFERROR(_xlfn.XLOOKUP(A382,Sheet2!$A$2:$A$1453,Sheet2!$F$2:$F$1453),_xlfn.XLOOKUP(A382,TEXT(Sheet2!$A$2:$A$1453,"0"),Sheet2!$F$2:$F$1453,""))</f>
        <v>26-7-2026</v>
      </c>
      <c r="G382" s="2" t="str" cm="1">
        <f t="array" ref="G382">IFERROR(_xlfn.XLOOKUP(A382,Sheet2!$A$2:$A$1453,Sheet2!$G$2:$G$1453),_xlfn.XLOOKUP(A382,TEXT(Sheet2!$A$2:$A$1453,"0"),Sheet2!$G$2:$G$1453,""))</f>
        <v>6-8-2026</v>
      </c>
    </row>
    <row r="383" spans="1:7" x14ac:dyDescent="0.2">
      <c r="A383" s="1">
        <v>20309060635</v>
      </c>
      <c r="B383" t="str" cm="1">
        <f t="array" ref="B383">IFERROR(_xlfn.XLOOKUP(A383,Sheet2!$A$2:$A$1453,Sheet2!$B$2:$B$1453),_xlfn.XLOOKUP(A383,TEXT(Sheet2!$A$2:$A$1453,"0"),Sheet2!$B$2:$B$1453,""))</f>
        <v>PURE BEAUTY MEN BODY SPLASH MOST </v>
      </c>
      <c r="C383" s="2">
        <v>44.85</v>
      </c>
      <c r="D383" s="2" cm="1">
        <f t="array" ref="D383">_xlfn.LET(_xlpm.v,IFERROR(_xlfn.XLOOKUP(A383,Sheet2!$A$2:$A$1453,Sheet2!$D$2:$D$1453),_xlfn.XLOOKUP(A383,TEXT(Sheet2!$A$2:$A$1453,"0"),Sheet2!$D$2:$D$1453,"")),IF(_xlpm.v="","",IF(_xlpm.v&lt;1,_xlpm.v*100,_xlpm.v)))</f>
        <v>20</v>
      </c>
      <c r="E383" s="2">
        <f t="shared" si="5"/>
        <v>35.880000000000003</v>
      </c>
      <c r="F383" s="2" t="str" cm="1">
        <f t="array" ref="F383">IFERROR(_xlfn.XLOOKUP(A383,Sheet2!$A$2:$A$1453,Sheet2!$F$2:$F$1453),_xlfn.XLOOKUP(A383,TEXT(Sheet2!$A$2:$A$1453,"0"),Sheet2!$F$2:$F$1453,""))</f>
        <v>26-7-2026</v>
      </c>
      <c r="G383" s="2" t="str" cm="1">
        <f t="array" ref="G383">IFERROR(_xlfn.XLOOKUP(A383,Sheet2!$A$2:$A$1453,Sheet2!$G$2:$G$1453),_xlfn.XLOOKUP(A383,TEXT(Sheet2!$A$2:$A$1453,"0"),Sheet2!$G$2:$G$1453,""))</f>
        <v>6-8-2026</v>
      </c>
    </row>
    <row r="384" spans="1:7" x14ac:dyDescent="0.2">
      <c r="A384" s="1">
        <v>20309060574</v>
      </c>
      <c r="B384" t="str" cm="1">
        <f t="array" ref="B384">IFERROR(_xlfn.XLOOKUP(A384,Sheet2!$A$2:$A$1453,Sheet2!$B$2:$B$1453),_xlfn.XLOOKUP(A384,TEXT(Sheet2!$A$2:$A$1453,"0"),Sheet2!$B$2:$B$1453,""))</f>
        <v>PURE BEAUTY FRESH STICK DEODORANT</v>
      </c>
      <c r="C384" s="2">
        <v>44.85</v>
      </c>
      <c r="D384" s="2" cm="1">
        <f t="array" ref="D384">_xlfn.LET(_xlpm.v,IFERROR(_xlfn.XLOOKUP(A384,Sheet2!$A$2:$A$1453,Sheet2!$D$2:$D$1453),_xlfn.XLOOKUP(A384,TEXT(Sheet2!$A$2:$A$1453,"0"),Sheet2!$D$2:$D$1453,"")),IF(_xlpm.v="","",IF(_xlpm.v&lt;1,_xlpm.v*100,_xlpm.v)))</f>
        <v>20</v>
      </c>
      <c r="E384" s="2">
        <f t="shared" si="5"/>
        <v>35.880000000000003</v>
      </c>
      <c r="F384" s="2" t="str" cm="1">
        <f t="array" ref="F384">IFERROR(_xlfn.XLOOKUP(A384,Sheet2!$A$2:$A$1453,Sheet2!$F$2:$F$1453),_xlfn.XLOOKUP(A384,TEXT(Sheet2!$A$2:$A$1453,"0"),Sheet2!$F$2:$F$1453,""))</f>
        <v>26-7-2026</v>
      </c>
      <c r="G384" s="2" t="str" cm="1">
        <f t="array" ref="G384">IFERROR(_xlfn.XLOOKUP(A384,Sheet2!$A$2:$A$1453,Sheet2!$G$2:$G$1453),_xlfn.XLOOKUP(A384,TEXT(Sheet2!$A$2:$A$1453,"0"),Sheet2!$G$2:$G$1453,""))</f>
        <v>6-8-2026</v>
      </c>
    </row>
    <row r="385" spans="1:7" x14ac:dyDescent="0.2">
      <c r="A385" s="1">
        <v>20309030662</v>
      </c>
      <c r="B385" t="str" cm="1">
        <f t="array" ref="B385">IFERROR(_xlfn.XLOOKUP(A385,Sheet2!$A$2:$A$1453,Sheet2!$B$2:$B$1453),_xlfn.XLOOKUP(A385,TEXT(Sheet2!$A$2:$A$1453,"0"),Sheet2!$B$2:$B$1453,""))</f>
        <v>PURE BEAUTY SENSITIVE AREA WHITENIN</v>
      </c>
      <c r="C385" s="2">
        <v>28.75</v>
      </c>
      <c r="D385" s="2" cm="1">
        <f t="array" ref="D385">_xlfn.LET(_xlpm.v,IFERROR(_xlfn.XLOOKUP(A385,Sheet2!$A$2:$A$1453,Sheet2!$D$2:$D$1453),_xlfn.XLOOKUP(A385,TEXT(Sheet2!$A$2:$A$1453,"0"),Sheet2!$D$2:$D$1453,"")),IF(_xlpm.v="","",IF(_xlpm.v&lt;1,_xlpm.v*100,_xlpm.v)))</f>
        <v>20</v>
      </c>
      <c r="E385" s="2">
        <f t="shared" si="5"/>
        <v>23</v>
      </c>
      <c r="F385" s="2" t="str" cm="1">
        <f t="array" ref="F385">IFERROR(_xlfn.XLOOKUP(A385,Sheet2!$A$2:$A$1453,Sheet2!$F$2:$F$1453),_xlfn.XLOOKUP(A385,TEXT(Sheet2!$A$2:$A$1453,"0"),Sheet2!$F$2:$F$1453,""))</f>
        <v>26-7-2026</v>
      </c>
      <c r="G385" s="2" t="str" cm="1">
        <f t="array" ref="G385">IFERROR(_xlfn.XLOOKUP(A385,Sheet2!$A$2:$A$1453,Sheet2!$G$2:$G$1453),_xlfn.XLOOKUP(A385,TEXT(Sheet2!$A$2:$A$1453,"0"),Sheet2!$G$2:$G$1453,""))</f>
        <v>6-8-2026</v>
      </c>
    </row>
    <row r="386" spans="1:7" x14ac:dyDescent="0.2">
      <c r="A386" s="1">
        <v>20309021892</v>
      </c>
      <c r="B386" t="str" cm="1">
        <f t="array" ref="B386">IFERROR(_xlfn.XLOOKUP(A386,Sheet2!$A$2:$A$1453,Sheet2!$B$2:$B$1453),_xlfn.XLOOKUP(A386,TEXT(Sheet2!$A$2:$A$1453,"0"),Sheet2!$B$2:$B$1453,""))</f>
        <v>PURE BEAUTY MICELLAR WATE</v>
      </c>
      <c r="C386" s="2">
        <v>33.35</v>
      </c>
      <c r="D386" s="2" cm="1">
        <f t="array" ref="D386">_xlfn.LET(_xlpm.v,IFERROR(_xlfn.XLOOKUP(A386,Sheet2!$A$2:$A$1453,Sheet2!$D$2:$D$1453),_xlfn.XLOOKUP(A386,TEXT(Sheet2!$A$2:$A$1453,"0"),Sheet2!$D$2:$D$1453,"")),IF(_xlpm.v="","",IF(_xlpm.v&lt;1,_xlpm.v*100,_xlpm.v)))</f>
        <v>20</v>
      </c>
      <c r="E386" s="2">
        <f t="shared" si="5"/>
        <v>26.680000000000003</v>
      </c>
      <c r="F386" s="2" t="str" cm="1">
        <f t="array" ref="F386">IFERROR(_xlfn.XLOOKUP(A386,Sheet2!$A$2:$A$1453,Sheet2!$F$2:$F$1453),_xlfn.XLOOKUP(A386,TEXT(Sheet2!$A$2:$A$1453,"0"),Sheet2!$F$2:$F$1453,""))</f>
        <v>26-7-2026</v>
      </c>
      <c r="G386" s="2" t="str" cm="1">
        <f t="array" ref="G386">IFERROR(_xlfn.XLOOKUP(A386,Sheet2!$A$2:$A$1453,Sheet2!$G$2:$G$1453),_xlfn.XLOOKUP(A386,TEXT(Sheet2!$A$2:$A$1453,"0"),Sheet2!$G$2:$G$1453,""))</f>
        <v>6-8-2026</v>
      </c>
    </row>
    <row r="387" spans="1:7" x14ac:dyDescent="0.2">
      <c r="A387" s="1">
        <v>20309021891</v>
      </c>
      <c r="B387" t="str" cm="1">
        <f t="array" ref="B387">IFERROR(_xlfn.XLOOKUP(A387,Sheet2!$A$2:$A$1453,Sheet2!$B$2:$B$1453),_xlfn.XLOOKUP(A387,TEXT(Sheet2!$A$2:$A$1453,"0"),Sheet2!$B$2:$B$1453,""))</f>
        <v>PURE BEAUTY FACE&amp;BODY MO</v>
      </c>
      <c r="C387" s="2">
        <v>44.85</v>
      </c>
      <c r="D387" s="2" cm="1">
        <f t="array" ref="D387">_xlfn.LET(_xlpm.v,IFERROR(_xlfn.XLOOKUP(A387,Sheet2!$A$2:$A$1453,Sheet2!$D$2:$D$1453),_xlfn.XLOOKUP(A387,TEXT(Sheet2!$A$2:$A$1453,"0"),Sheet2!$D$2:$D$1453,"")),IF(_xlpm.v="","",IF(_xlpm.v&lt;1,_xlpm.v*100,_xlpm.v)))</f>
        <v>20</v>
      </c>
      <c r="E387" s="2">
        <f t="shared" ref="E387:E450" si="6">IF(D387="","",C387*(1-D387/100))</f>
        <v>35.880000000000003</v>
      </c>
      <c r="F387" s="2" t="str" cm="1">
        <f t="array" ref="F387">IFERROR(_xlfn.XLOOKUP(A387,Sheet2!$A$2:$A$1453,Sheet2!$F$2:$F$1453),_xlfn.XLOOKUP(A387,TEXT(Sheet2!$A$2:$A$1453,"0"),Sheet2!$F$2:$F$1453,""))</f>
        <v>26-7-2026</v>
      </c>
      <c r="G387" s="2" t="str" cm="1">
        <f t="array" ref="G387">IFERROR(_xlfn.XLOOKUP(A387,Sheet2!$A$2:$A$1453,Sheet2!$G$2:$G$1453),_xlfn.XLOOKUP(A387,TEXT(Sheet2!$A$2:$A$1453,"0"),Sheet2!$G$2:$G$1453,""))</f>
        <v>6-8-2026</v>
      </c>
    </row>
    <row r="388" spans="1:7" x14ac:dyDescent="0.2">
      <c r="A388" s="1">
        <v>20309021512</v>
      </c>
      <c r="B388" t="str" cm="1">
        <f t="array" ref="B388">IFERROR(_xlfn.XLOOKUP(A388,Sheet2!$A$2:$A$1453,Sheet2!$B$2:$B$1453),_xlfn.XLOOKUP(A388,TEXT(Sheet2!$A$2:$A$1453,"0"),Sheet2!$B$2:$B$1453,""))</f>
        <v>PURE BEAUTY SUNSCREEN CREAM SPF100 50 ML</v>
      </c>
      <c r="C388" s="2">
        <v>67.849999999999994</v>
      </c>
      <c r="D388" s="2" cm="1">
        <f t="array" ref="D388">_xlfn.LET(_xlpm.v,IFERROR(_xlfn.XLOOKUP(A388,Sheet2!$A$2:$A$1453,Sheet2!$D$2:$D$1453),_xlfn.XLOOKUP(A388,TEXT(Sheet2!$A$2:$A$1453,"0"),Sheet2!$D$2:$D$1453,"")),IF(_xlpm.v="","",IF(_xlpm.v&lt;1,_xlpm.v*100,_xlpm.v)))</f>
        <v>20</v>
      </c>
      <c r="E388" s="2">
        <f t="shared" si="6"/>
        <v>54.28</v>
      </c>
      <c r="F388" s="2" t="str" cm="1">
        <f t="array" ref="F388">IFERROR(_xlfn.XLOOKUP(A388,Sheet2!$A$2:$A$1453,Sheet2!$F$2:$F$1453),_xlfn.XLOOKUP(A388,TEXT(Sheet2!$A$2:$A$1453,"0"),Sheet2!$F$2:$F$1453,""))</f>
        <v>26-7-2026</v>
      </c>
      <c r="G388" s="2" t="str" cm="1">
        <f t="array" ref="G388">IFERROR(_xlfn.XLOOKUP(A388,Sheet2!$A$2:$A$1453,Sheet2!$G$2:$G$1453),_xlfn.XLOOKUP(A388,TEXT(Sheet2!$A$2:$A$1453,"0"),Sheet2!$G$2:$G$1453,""))</f>
        <v>6-8-2026</v>
      </c>
    </row>
    <row r="389" spans="1:7" x14ac:dyDescent="0.2">
      <c r="A389" s="1">
        <v>20309021492</v>
      </c>
      <c r="B389" t="str" cm="1">
        <f t="array" ref="B389">IFERROR(_xlfn.XLOOKUP(A389,Sheet2!$A$2:$A$1453,Sheet2!$B$2:$B$1453),_xlfn.XLOOKUP(A389,TEXT(Sheet2!$A$2:$A$1453,"0"),Sheet2!$B$2:$B$1453,""))</f>
        <v>PURE BEAUTY UNDER EYE WHITENING SERUM 15ML</v>
      </c>
      <c r="C389" s="2">
        <v>67.849999999999994</v>
      </c>
      <c r="D389" s="2" cm="1">
        <f t="array" ref="D389">_xlfn.LET(_xlpm.v,IFERROR(_xlfn.XLOOKUP(A389,Sheet2!$A$2:$A$1453,Sheet2!$D$2:$D$1453),_xlfn.XLOOKUP(A389,TEXT(Sheet2!$A$2:$A$1453,"0"),Sheet2!$D$2:$D$1453,"")),IF(_xlpm.v="","",IF(_xlpm.v&lt;1,_xlpm.v*100,_xlpm.v)))</f>
        <v>20</v>
      </c>
      <c r="E389" s="2">
        <f t="shared" si="6"/>
        <v>54.28</v>
      </c>
      <c r="F389" s="2" t="str" cm="1">
        <f t="array" ref="F389">IFERROR(_xlfn.XLOOKUP(A389,Sheet2!$A$2:$A$1453,Sheet2!$F$2:$F$1453),_xlfn.XLOOKUP(A389,TEXT(Sheet2!$A$2:$A$1453,"0"),Sheet2!$F$2:$F$1453,""))</f>
        <v>26-7-2026</v>
      </c>
      <c r="G389" s="2" t="str" cm="1">
        <f t="array" ref="G389">IFERROR(_xlfn.XLOOKUP(A389,Sheet2!$A$2:$A$1453,Sheet2!$G$2:$G$1453),_xlfn.XLOOKUP(A389,TEXT(Sheet2!$A$2:$A$1453,"0"),Sheet2!$G$2:$G$1453,""))</f>
        <v>6-8-2026</v>
      </c>
    </row>
    <row r="390" spans="1:7" x14ac:dyDescent="0.2">
      <c r="A390" s="1">
        <v>20309010849</v>
      </c>
      <c r="B390" t="str" cm="1">
        <f t="array" ref="B390">IFERROR(_xlfn.XLOOKUP(A390,Sheet2!$A$2:$A$1453,Sheet2!$B$2:$B$1453),_xlfn.XLOOKUP(A390,TEXT(Sheet2!$A$2:$A$1453,"0"),Sheet2!$B$2:$B$1453,""))</f>
        <v>PANTENE SHAMPOO MOISTARE RENEWAL 390ML</v>
      </c>
      <c r="C390" s="2">
        <v>15.65</v>
      </c>
      <c r="D390" s="2" cm="1">
        <f t="array" ref="D390">_xlfn.LET(_xlpm.v,IFERROR(_xlfn.XLOOKUP(A390,Sheet2!$A$2:$A$1453,Sheet2!$D$2:$D$1453),_xlfn.XLOOKUP(A390,TEXT(Sheet2!$A$2:$A$1453,"0"),Sheet2!$D$2:$D$1453,"")),IF(_xlpm.v="","",IF(_xlpm.v&lt;1,_xlpm.v*100,_xlpm.v)))</f>
        <v>15</v>
      </c>
      <c r="E390" s="2">
        <f t="shared" si="6"/>
        <v>13.3025</v>
      </c>
      <c r="F390" s="2" t="str" cm="1">
        <f t="array" ref="F390">IFERROR(_xlfn.XLOOKUP(A390,Sheet2!$A$2:$A$1453,Sheet2!$F$2:$F$1453),_xlfn.XLOOKUP(A390,TEXT(Sheet2!$A$2:$A$1453,"0"),Sheet2!$F$2:$F$1453,""))</f>
        <v>26-7-2026</v>
      </c>
      <c r="G390" s="2" t="str" cm="1">
        <f t="array" ref="G390">IFERROR(_xlfn.XLOOKUP(A390,Sheet2!$A$2:$A$1453,Sheet2!$G$2:$G$1453),_xlfn.XLOOKUP(A390,TEXT(Sheet2!$A$2:$A$1453,"0"),Sheet2!$G$2:$G$1453,""))</f>
        <v>6-8-2026</v>
      </c>
    </row>
    <row r="391" spans="1:7" x14ac:dyDescent="0.2">
      <c r="A391" s="1">
        <v>20309010212</v>
      </c>
      <c r="B391" t="str" cm="1">
        <f t="array" ref="B391">IFERROR(_xlfn.XLOOKUP(A391,Sheet2!$A$2:$A$1453,Sheet2!$B$2:$B$1453),_xlfn.XLOOKUP(A391,TEXT(Sheet2!$A$2:$A$1453,"0"),Sheet2!$B$2:$B$1453,""))</f>
        <v>PANTENE SHAMPOO CLASSIC CARE 2X1 400ML</v>
      </c>
      <c r="C391" s="2">
        <v>15.65</v>
      </c>
      <c r="D391" s="2" cm="1">
        <f t="array" ref="D391">_xlfn.LET(_xlpm.v,IFERROR(_xlfn.XLOOKUP(A391,Sheet2!$A$2:$A$1453,Sheet2!$D$2:$D$1453),_xlfn.XLOOKUP(A391,TEXT(Sheet2!$A$2:$A$1453,"0"),Sheet2!$D$2:$D$1453,"")),IF(_xlpm.v="","",IF(_xlpm.v&lt;1,_xlpm.v*100,_xlpm.v)))</f>
        <v>15</v>
      </c>
      <c r="E391" s="2">
        <f t="shared" si="6"/>
        <v>13.3025</v>
      </c>
      <c r="F391" s="2" t="str" cm="1">
        <f t="array" ref="F391">IFERROR(_xlfn.XLOOKUP(A391,Sheet2!$A$2:$A$1453,Sheet2!$F$2:$F$1453),_xlfn.XLOOKUP(A391,TEXT(Sheet2!$A$2:$A$1453,"0"),Sheet2!$F$2:$F$1453,""))</f>
        <v>26-7-2026</v>
      </c>
      <c r="G391" s="2" t="str" cm="1">
        <f t="array" ref="G391">IFERROR(_xlfn.XLOOKUP(A391,Sheet2!$A$2:$A$1453,Sheet2!$G$2:$G$1453),_xlfn.XLOOKUP(A391,TEXT(Sheet2!$A$2:$A$1453,"0"),Sheet2!$G$2:$G$1453,""))</f>
        <v>6-8-2026</v>
      </c>
    </row>
    <row r="392" spans="1:7" x14ac:dyDescent="0.2">
      <c r="A392" s="1">
        <v>20309010065</v>
      </c>
      <c r="B392" t="str" cm="1">
        <f t="array" ref="B392">IFERROR(_xlfn.XLOOKUP(A392,Sheet2!$A$2:$A$1453,Sheet2!$B$2:$B$1453),_xlfn.XLOOKUP(A392,TEXT(Sheet2!$A$2:$A$1453,"0"),Sheet2!$B$2:$B$1453,""))</f>
        <v>PANTENE SHAMPOO ANTI DANDRUFF 390ML</v>
      </c>
      <c r="C392" s="2">
        <v>15.65</v>
      </c>
      <c r="D392" s="2" cm="1">
        <f t="array" ref="D392">_xlfn.LET(_xlpm.v,IFERROR(_xlfn.XLOOKUP(A392,Sheet2!$A$2:$A$1453,Sheet2!$D$2:$D$1453),_xlfn.XLOOKUP(A392,TEXT(Sheet2!$A$2:$A$1453,"0"),Sheet2!$D$2:$D$1453,"")),IF(_xlpm.v="","",IF(_xlpm.v&lt;1,_xlpm.v*100,_xlpm.v)))</f>
        <v>15</v>
      </c>
      <c r="E392" s="2">
        <f t="shared" si="6"/>
        <v>13.3025</v>
      </c>
      <c r="F392" s="2" t="str" cm="1">
        <f t="array" ref="F392">IFERROR(_xlfn.XLOOKUP(A392,Sheet2!$A$2:$A$1453,Sheet2!$F$2:$F$1453),_xlfn.XLOOKUP(A392,TEXT(Sheet2!$A$2:$A$1453,"0"),Sheet2!$F$2:$F$1453,""))</f>
        <v>26-7-2026</v>
      </c>
      <c r="G392" s="2" t="str" cm="1">
        <f t="array" ref="G392">IFERROR(_xlfn.XLOOKUP(A392,Sheet2!$A$2:$A$1453,Sheet2!$G$2:$G$1453),_xlfn.XLOOKUP(A392,TEXT(Sheet2!$A$2:$A$1453,"0"),Sheet2!$G$2:$G$1453,""))</f>
        <v>6-8-2026</v>
      </c>
    </row>
    <row r="393" spans="1:7" x14ac:dyDescent="0.2">
      <c r="A393" s="1">
        <v>20309010064</v>
      </c>
      <c r="B393" t="str" cm="1">
        <f t="array" ref="B393">IFERROR(_xlfn.XLOOKUP(A393,Sheet2!$A$2:$A$1453,Sheet2!$B$2:$B$1453),_xlfn.XLOOKUP(A393,TEXT(Sheet2!$A$2:$A$1453,"0"),Sheet2!$B$2:$B$1453,""))</f>
        <v>PANTENE SHAMPOO ANTI HAIR FALL 390ML</v>
      </c>
      <c r="C393" s="2">
        <v>15.65</v>
      </c>
      <c r="D393" s="2" cm="1">
        <f t="array" ref="D393">_xlfn.LET(_xlpm.v,IFERROR(_xlfn.XLOOKUP(A393,Sheet2!$A$2:$A$1453,Sheet2!$D$2:$D$1453),_xlfn.XLOOKUP(A393,TEXT(Sheet2!$A$2:$A$1453,"0"),Sheet2!$D$2:$D$1453,"")),IF(_xlpm.v="","",IF(_xlpm.v&lt;1,_xlpm.v*100,_xlpm.v)))</f>
        <v>15</v>
      </c>
      <c r="E393" s="2">
        <f t="shared" si="6"/>
        <v>13.3025</v>
      </c>
      <c r="F393" s="2" t="str" cm="1">
        <f t="array" ref="F393">IFERROR(_xlfn.XLOOKUP(A393,Sheet2!$A$2:$A$1453,Sheet2!$F$2:$F$1453),_xlfn.XLOOKUP(A393,TEXT(Sheet2!$A$2:$A$1453,"0"),Sheet2!$F$2:$F$1453,""))</f>
        <v>26-7-2026</v>
      </c>
      <c r="G393" s="2" t="str" cm="1">
        <f t="array" ref="G393">IFERROR(_xlfn.XLOOKUP(A393,Sheet2!$A$2:$A$1453,Sheet2!$G$2:$G$1453),_xlfn.XLOOKUP(A393,TEXT(Sheet2!$A$2:$A$1453,"0"),Sheet2!$G$2:$G$1453,""))</f>
        <v>6-8-2026</v>
      </c>
    </row>
    <row r="394" spans="1:7" x14ac:dyDescent="0.2">
      <c r="A394" s="1">
        <v>20309010027</v>
      </c>
      <c r="B394" t="str" cm="1">
        <f t="array" ref="B394">IFERROR(_xlfn.XLOOKUP(A394,Sheet2!$A$2:$A$1453,Sheet2!$B$2:$B$1453),_xlfn.XLOOKUP(A394,TEXT(Sheet2!$A$2:$A$1453,"0"),Sheet2!$B$2:$B$1453,""))</f>
        <v>PANTENE SHAMPOO SMOOTH &amp; SILKY 390ML</v>
      </c>
      <c r="C394" s="2">
        <v>15.65</v>
      </c>
      <c r="D394" s="2" cm="1">
        <f t="array" ref="D394">_xlfn.LET(_xlpm.v,IFERROR(_xlfn.XLOOKUP(A394,Sheet2!$A$2:$A$1453,Sheet2!$D$2:$D$1453),_xlfn.XLOOKUP(A394,TEXT(Sheet2!$A$2:$A$1453,"0"),Sheet2!$D$2:$D$1453,"")),IF(_xlpm.v="","",IF(_xlpm.v&lt;1,_xlpm.v*100,_xlpm.v)))</f>
        <v>15</v>
      </c>
      <c r="E394" s="2">
        <f t="shared" si="6"/>
        <v>13.3025</v>
      </c>
      <c r="F394" s="2" t="str" cm="1">
        <f t="array" ref="F394">IFERROR(_xlfn.XLOOKUP(A394,Sheet2!$A$2:$A$1453,Sheet2!$F$2:$F$1453),_xlfn.XLOOKUP(A394,TEXT(Sheet2!$A$2:$A$1453,"0"),Sheet2!$F$2:$F$1453,""))</f>
        <v>26-7-2026</v>
      </c>
      <c r="G394" s="2" t="str" cm="1">
        <f t="array" ref="G394">IFERROR(_xlfn.XLOOKUP(A394,Sheet2!$A$2:$A$1453,Sheet2!$G$2:$G$1453),_xlfn.XLOOKUP(A394,TEXT(Sheet2!$A$2:$A$1453,"0"),Sheet2!$G$2:$G$1453,""))</f>
        <v>6-8-2026</v>
      </c>
    </row>
    <row r="395" spans="1:7" x14ac:dyDescent="0.2">
      <c r="A395" s="1">
        <v>20309010026</v>
      </c>
      <c r="B395" t="str" cm="1">
        <f t="array" ref="B395">IFERROR(_xlfn.XLOOKUP(A395,Sheet2!$A$2:$A$1453,Sheet2!$B$2:$B$1453),_xlfn.XLOOKUP(A395,TEXT(Sheet2!$A$2:$A$1453,"0"),Sheet2!$B$2:$B$1453,""))</f>
        <v>PANTENE SHAMPOO SHEER VALUME 390 ML</v>
      </c>
      <c r="C395" s="2">
        <v>15.65</v>
      </c>
      <c r="D395" s="2" cm="1">
        <f t="array" ref="D395">_xlfn.LET(_xlpm.v,IFERROR(_xlfn.XLOOKUP(A395,Sheet2!$A$2:$A$1453,Sheet2!$D$2:$D$1453),_xlfn.XLOOKUP(A395,TEXT(Sheet2!$A$2:$A$1453,"0"),Sheet2!$D$2:$D$1453,"")),IF(_xlpm.v="","",IF(_xlpm.v&lt;1,_xlpm.v*100,_xlpm.v)))</f>
        <v>15</v>
      </c>
      <c r="E395" s="2">
        <f t="shared" si="6"/>
        <v>13.3025</v>
      </c>
      <c r="F395" s="2" t="str" cm="1">
        <f t="array" ref="F395">IFERROR(_xlfn.XLOOKUP(A395,Sheet2!$A$2:$A$1453,Sheet2!$F$2:$F$1453),_xlfn.XLOOKUP(A395,TEXT(Sheet2!$A$2:$A$1453,"0"),Sheet2!$F$2:$F$1453,""))</f>
        <v>26-7-2026</v>
      </c>
      <c r="G395" s="2" t="str" cm="1">
        <f t="array" ref="G395">IFERROR(_xlfn.XLOOKUP(A395,Sheet2!$A$2:$A$1453,Sheet2!$G$2:$G$1453),_xlfn.XLOOKUP(A395,TEXT(Sheet2!$A$2:$A$1453,"0"),Sheet2!$G$2:$G$1453,""))</f>
        <v>6-8-2026</v>
      </c>
    </row>
    <row r="396" spans="1:7" x14ac:dyDescent="0.2">
      <c r="A396" s="1">
        <v>20309010019</v>
      </c>
      <c r="B396" t="str" cm="1">
        <f t="array" ref="B396">IFERROR(_xlfn.XLOOKUP(A396,Sheet2!$A$2:$A$1453,Sheet2!$B$2:$B$1453),_xlfn.XLOOKUP(A396,TEXT(Sheet2!$A$2:$A$1453,"0"),Sheet2!$B$2:$B$1453,""))</f>
        <v>PANTENE SHAMPOO SMOOTHY&amp;SILKY  600ML</v>
      </c>
      <c r="C396" s="2">
        <v>25.13</v>
      </c>
      <c r="D396" s="2" cm="1">
        <f t="array" ref="D396">_xlfn.LET(_xlpm.v,IFERROR(_xlfn.XLOOKUP(A396,Sheet2!$A$2:$A$1453,Sheet2!$D$2:$D$1453),_xlfn.XLOOKUP(A396,TEXT(Sheet2!$A$2:$A$1453,"0"),Sheet2!$D$2:$D$1453,"")),IF(_xlpm.v="","",IF(_xlpm.v&lt;1,_xlpm.v*100,_xlpm.v)))</f>
        <v>15</v>
      </c>
      <c r="E396" s="2">
        <f t="shared" si="6"/>
        <v>21.360499999999998</v>
      </c>
      <c r="F396" s="2" t="str" cm="1">
        <f t="array" ref="F396">IFERROR(_xlfn.XLOOKUP(A396,Sheet2!$A$2:$A$1453,Sheet2!$F$2:$F$1453),_xlfn.XLOOKUP(A396,TEXT(Sheet2!$A$2:$A$1453,"0"),Sheet2!$F$2:$F$1453,""))</f>
        <v>26-7-2026</v>
      </c>
      <c r="G396" s="2" t="str" cm="1">
        <f t="array" ref="G396">IFERROR(_xlfn.XLOOKUP(A396,Sheet2!$A$2:$A$1453,Sheet2!$G$2:$G$1453),_xlfn.XLOOKUP(A396,TEXT(Sheet2!$A$2:$A$1453,"0"),Sheet2!$G$2:$G$1453,""))</f>
        <v>6-8-2026</v>
      </c>
    </row>
    <row r="397" spans="1:7" x14ac:dyDescent="0.2">
      <c r="A397" s="1">
        <v>20309010018</v>
      </c>
      <c r="B397" t="str" cm="1">
        <f t="array" ref="B397">IFERROR(_xlfn.XLOOKUP(A397,Sheet2!$A$2:$A$1453,Sheet2!$B$2:$B$1453),_xlfn.XLOOKUP(A397,TEXT(Sheet2!$A$2:$A$1453,"0"),Sheet2!$B$2:$B$1453,""))</f>
        <v>PANTENE SHAMPOO PRO-V SHEER VALUM  600 ML</v>
      </c>
      <c r="C397" s="2">
        <v>25.13</v>
      </c>
      <c r="D397" s="2" cm="1">
        <f t="array" ref="D397">_xlfn.LET(_xlpm.v,IFERROR(_xlfn.XLOOKUP(A397,Sheet2!$A$2:$A$1453,Sheet2!$D$2:$D$1453),_xlfn.XLOOKUP(A397,TEXT(Sheet2!$A$2:$A$1453,"0"),Sheet2!$D$2:$D$1453,"")),IF(_xlpm.v="","",IF(_xlpm.v&lt;1,_xlpm.v*100,_xlpm.v)))</f>
        <v>15</v>
      </c>
      <c r="E397" s="2">
        <f t="shared" si="6"/>
        <v>21.360499999999998</v>
      </c>
      <c r="F397" s="2" t="str" cm="1">
        <f t="array" ref="F397">IFERROR(_xlfn.XLOOKUP(A397,Sheet2!$A$2:$A$1453,Sheet2!$F$2:$F$1453),_xlfn.XLOOKUP(A397,TEXT(Sheet2!$A$2:$A$1453,"0"),Sheet2!$F$2:$F$1453,""))</f>
        <v>26-7-2026</v>
      </c>
      <c r="G397" s="2" t="str" cm="1">
        <f t="array" ref="G397">IFERROR(_xlfn.XLOOKUP(A397,Sheet2!$A$2:$A$1453,Sheet2!$G$2:$G$1453),_xlfn.XLOOKUP(A397,TEXT(Sheet2!$A$2:$A$1453,"0"),Sheet2!$G$2:$G$1453,""))</f>
        <v>6-8-2026</v>
      </c>
    </row>
    <row r="398" spans="1:7" x14ac:dyDescent="0.2">
      <c r="A398" s="1">
        <v>20309010013</v>
      </c>
      <c r="B398" t="str" cm="1">
        <f t="array" ref="B398">IFERROR(_xlfn.XLOOKUP(A398,Sheet2!$A$2:$A$1453,Sheet2!$B$2:$B$1453),_xlfn.XLOOKUP(A398,TEXT(Sheet2!$A$2:$A$1453,"0"),Sheet2!$B$2:$B$1453,""))</f>
        <v>PANTENE SHAMPOO NATURLE FUSION  600ML</v>
      </c>
      <c r="C398" s="2">
        <v>25.13</v>
      </c>
      <c r="D398" s="2" cm="1">
        <f t="array" ref="D398">_xlfn.LET(_xlpm.v,IFERROR(_xlfn.XLOOKUP(A398,Sheet2!$A$2:$A$1453,Sheet2!$D$2:$D$1453),_xlfn.XLOOKUP(A398,TEXT(Sheet2!$A$2:$A$1453,"0"),Sheet2!$D$2:$D$1453,"")),IF(_xlpm.v="","",IF(_xlpm.v&lt;1,_xlpm.v*100,_xlpm.v)))</f>
        <v>15</v>
      </c>
      <c r="E398" s="2">
        <f t="shared" si="6"/>
        <v>21.360499999999998</v>
      </c>
      <c r="F398" s="2" t="str" cm="1">
        <f t="array" ref="F398">IFERROR(_xlfn.XLOOKUP(A398,Sheet2!$A$2:$A$1453,Sheet2!$F$2:$F$1453),_xlfn.XLOOKUP(A398,TEXT(Sheet2!$A$2:$A$1453,"0"),Sheet2!$F$2:$F$1453,""))</f>
        <v>26-7-2026</v>
      </c>
      <c r="G398" s="2" t="str" cm="1">
        <f t="array" ref="G398">IFERROR(_xlfn.XLOOKUP(A398,Sheet2!$A$2:$A$1453,Sheet2!$G$2:$G$1453),_xlfn.XLOOKUP(A398,TEXT(Sheet2!$A$2:$A$1453,"0"),Sheet2!$G$2:$G$1453,""))</f>
        <v>6-8-2026</v>
      </c>
    </row>
    <row r="399" spans="1:7" x14ac:dyDescent="0.2">
      <c r="A399" s="1">
        <v>20309010012</v>
      </c>
      <c r="B399" t="str" cm="1">
        <f t="array" ref="B399">IFERROR(_xlfn.XLOOKUP(A399,Sheet2!$A$2:$A$1453,Sheet2!$B$2:$B$1453),_xlfn.XLOOKUP(A399,TEXT(Sheet2!$A$2:$A$1453,"0"),Sheet2!$B$2:$B$1453,""))</f>
        <v>PANTENE SHAMPOO MILKY DAMAGE REPAIR 600ML</v>
      </c>
      <c r="C399" s="2">
        <v>25.13</v>
      </c>
      <c r="D399" s="2" cm="1">
        <f t="array" ref="D399">_xlfn.LET(_xlpm.v,IFERROR(_xlfn.XLOOKUP(A399,Sheet2!$A$2:$A$1453,Sheet2!$D$2:$D$1453),_xlfn.XLOOKUP(A399,TEXT(Sheet2!$A$2:$A$1453,"0"),Sheet2!$D$2:$D$1453,"")),IF(_xlpm.v="","",IF(_xlpm.v&lt;1,_xlpm.v*100,_xlpm.v)))</f>
        <v>15</v>
      </c>
      <c r="E399" s="2">
        <f t="shared" si="6"/>
        <v>21.360499999999998</v>
      </c>
      <c r="F399" s="2" t="str" cm="1">
        <f t="array" ref="F399">IFERROR(_xlfn.XLOOKUP(A399,Sheet2!$A$2:$A$1453,Sheet2!$F$2:$F$1453),_xlfn.XLOOKUP(A399,TEXT(Sheet2!$A$2:$A$1453,"0"),Sheet2!$F$2:$F$1453,""))</f>
        <v>26-7-2026</v>
      </c>
      <c r="G399" s="2" t="str" cm="1">
        <f t="array" ref="G399">IFERROR(_xlfn.XLOOKUP(A399,Sheet2!$A$2:$A$1453,Sheet2!$G$2:$G$1453),_xlfn.XLOOKUP(A399,TEXT(Sheet2!$A$2:$A$1453,"0"),Sheet2!$G$2:$G$1453,""))</f>
        <v>6-8-2026</v>
      </c>
    </row>
    <row r="400" spans="1:7" x14ac:dyDescent="0.2">
      <c r="A400" s="1">
        <v>20309010008</v>
      </c>
      <c r="B400" t="str" cm="1">
        <f t="array" ref="B400">IFERROR(_xlfn.XLOOKUP(A400,Sheet2!$A$2:$A$1453,Sheet2!$B$2:$B$1453),_xlfn.XLOOKUP(A400,TEXT(Sheet2!$A$2:$A$1453,"0"),Sheet2!$B$2:$B$1453,""))</f>
        <v>PANTENE SHAMPOO CLASSIC CARE 600ML</v>
      </c>
      <c r="C400" s="2">
        <v>25.13</v>
      </c>
      <c r="D400" s="2" cm="1">
        <f t="array" ref="D400">_xlfn.LET(_xlpm.v,IFERROR(_xlfn.XLOOKUP(A400,Sheet2!$A$2:$A$1453,Sheet2!$D$2:$D$1453),_xlfn.XLOOKUP(A400,TEXT(Sheet2!$A$2:$A$1453,"0"),Sheet2!$D$2:$D$1453,"")),IF(_xlpm.v="","",IF(_xlpm.v&lt;1,_xlpm.v*100,_xlpm.v)))</f>
        <v>15</v>
      </c>
      <c r="E400" s="2">
        <f t="shared" si="6"/>
        <v>21.360499999999998</v>
      </c>
      <c r="F400" s="2" t="str" cm="1">
        <f t="array" ref="F400">IFERROR(_xlfn.XLOOKUP(A400,Sheet2!$A$2:$A$1453,Sheet2!$F$2:$F$1453),_xlfn.XLOOKUP(A400,TEXT(Sheet2!$A$2:$A$1453,"0"),Sheet2!$F$2:$F$1453,""))</f>
        <v>26-7-2026</v>
      </c>
      <c r="G400" s="2" t="str" cm="1">
        <f t="array" ref="G400">IFERROR(_xlfn.XLOOKUP(A400,Sheet2!$A$2:$A$1453,Sheet2!$G$2:$G$1453),_xlfn.XLOOKUP(A400,TEXT(Sheet2!$A$2:$A$1453,"0"),Sheet2!$G$2:$G$1453,""))</f>
        <v>6-8-2026</v>
      </c>
    </row>
    <row r="401" spans="1:7" x14ac:dyDescent="0.2">
      <c r="A401" s="1">
        <v>20309010007</v>
      </c>
      <c r="B401" t="str" cm="1">
        <f t="array" ref="B401">IFERROR(_xlfn.XLOOKUP(A401,Sheet2!$A$2:$A$1453,Sheet2!$B$2:$B$1453),_xlfn.XLOOKUP(A401,TEXT(Sheet2!$A$2:$A$1453,"0"),Sheet2!$B$2:$B$1453,""))</f>
        <v>PANTENE SHAMPOO ANTI HAIR FALL 600ML</v>
      </c>
      <c r="C401" s="2">
        <v>25.13</v>
      </c>
      <c r="D401" s="2" cm="1">
        <f t="array" ref="D401">_xlfn.LET(_xlpm.v,IFERROR(_xlfn.XLOOKUP(A401,Sheet2!$A$2:$A$1453,Sheet2!$D$2:$D$1453),_xlfn.XLOOKUP(A401,TEXT(Sheet2!$A$2:$A$1453,"0"),Sheet2!$D$2:$D$1453,"")),IF(_xlpm.v="","",IF(_xlpm.v&lt;1,_xlpm.v*100,_xlpm.v)))</f>
        <v>15</v>
      </c>
      <c r="E401" s="2">
        <f t="shared" si="6"/>
        <v>21.360499999999998</v>
      </c>
      <c r="F401" s="2" t="str" cm="1">
        <f t="array" ref="F401">IFERROR(_xlfn.XLOOKUP(A401,Sheet2!$A$2:$A$1453,Sheet2!$F$2:$F$1453),_xlfn.XLOOKUP(A401,TEXT(Sheet2!$A$2:$A$1453,"0"),Sheet2!$F$2:$F$1453,""))</f>
        <v>26-7-2026</v>
      </c>
      <c r="G401" s="2" t="str" cm="1">
        <f t="array" ref="G401">IFERROR(_xlfn.XLOOKUP(A401,Sheet2!$A$2:$A$1453,Sheet2!$G$2:$G$1453),_xlfn.XLOOKUP(A401,TEXT(Sheet2!$A$2:$A$1453,"0"),Sheet2!$G$2:$G$1453,""))</f>
        <v>6-8-2026</v>
      </c>
    </row>
    <row r="402" spans="1:7" x14ac:dyDescent="0.2">
      <c r="A402" s="1">
        <v>20309010006</v>
      </c>
      <c r="B402" t="str" cm="1">
        <f t="array" ref="B402">IFERROR(_xlfn.XLOOKUP(A402,Sheet2!$A$2:$A$1453,Sheet2!$B$2:$B$1453),_xlfn.XLOOKUP(A402,TEXT(Sheet2!$A$2:$A$1453,"0"),Sheet2!$B$2:$B$1453,""))</f>
        <v>PANTENE SHAMPOO ANTI DANDRUFF  600ML</v>
      </c>
      <c r="C402" s="2">
        <v>25.13</v>
      </c>
      <c r="D402" s="2" cm="1">
        <f t="array" ref="D402">_xlfn.LET(_xlpm.v,IFERROR(_xlfn.XLOOKUP(A402,Sheet2!$A$2:$A$1453,Sheet2!$D$2:$D$1453),_xlfn.XLOOKUP(A402,TEXT(Sheet2!$A$2:$A$1453,"0"),Sheet2!$D$2:$D$1453,"")),IF(_xlpm.v="","",IF(_xlpm.v&lt;1,_xlpm.v*100,_xlpm.v)))</f>
        <v>15</v>
      </c>
      <c r="E402" s="2">
        <f t="shared" si="6"/>
        <v>21.360499999999998</v>
      </c>
      <c r="F402" s="2" t="str" cm="1">
        <f t="array" ref="F402">IFERROR(_xlfn.XLOOKUP(A402,Sheet2!$A$2:$A$1453,Sheet2!$F$2:$F$1453),_xlfn.XLOOKUP(A402,TEXT(Sheet2!$A$2:$A$1453,"0"),Sheet2!$F$2:$F$1453,""))</f>
        <v>26-7-2026</v>
      </c>
      <c r="G402" s="2" t="str" cm="1">
        <f t="array" ref="G402">IFERROR(_xlfn.XLOOKUP(A402,Sheet2!$A$2:$A$1453,Sheet2!$G$2:$G$1453),_xlfn.XLOOKUP(A402,TEXT(Sheet2!$A$2:$A$1453,"0"),Sheet2!$G$2:$G$1453,""))</f>
        <v>6-8-2026</v>
      </c>
    </row>
    <row r="403" spans="1:7" x14ac:dyDescent="0.2">
      <c r="A403" s="1">
        <v>20309010004</v>
      </c>
      <c r="B403" t="str" cm="1">
        <f t="array" ref="B403">IFERROR(_xlfn.XLOOKUP(A403,Sheet2!$A$2:$A$1453,Sheet2!$B$2:$B$1453),_xlfn.XLOOKUP(A403,TEXT(Sheet2!$A$2:$A$1453,"0"),Sheet2!$B$2:$B$1453,""))</f>
        <v>PANTENE SHAMPOO PERFECT CURLS 600ML</v>
      </c>
      <c r="C403" s="2">
        <v>25.13</v>
      </c>
      <c r="D403" s="2" cm="1">
        <f t="array" ref="D403">_xlfn.LET(_xlpm.v,IFERROR(_xlfn.XLOOKUP(A403,Sheet2!$A$2:$A$1453,Sheet2!$D$2:$D$1453),_xlfn.XLOOKUP(A403,TEXT(Sheet2!$A$2:$A$1453,"0"),Sheet2!$D$2:$D$1453,"")),IF(_xlpm.v="","",IF(_xlpm.v&lt;1,_xlpm.v*100,_xlpm.v)))</f>
        <v>15</v>
      </c>
      <c r="E403" s="2">
        <f t="shared" si="6"/>
        <v>21.360499999999998</v>
      </c>
      <c r="F403" s="2" t="str" cm="1">
        <f t="array" ref="F403">IFERROR(_xlfn.XLOOKUP(A403,Sheet2!$A$2:$A$1453,Sheet2!$F$2:$F$1453),_xlfn.XLOOKUP(A403,TEXT(Sheet2!$A$2:$A$1453,"0"),Sheet2!$F$2:$F$1453,""))</f>
        <v>26-7-2026</v>
      </c>
      <c r="G403" s="2" t="str" cm="1">
        <f t="array" ref="G403">IFERROR(_xlfn.XLOOKUP(A403,Sheet2!$A$2:$A$1453,Sheet2!$G$2:$G$1453),_xlfn.XLOOKUP(A403,TEXT(Sheet2!$A$2:$A$1453,"0"),Sheet2!$G$2:$G$1453,""))</f>
        <v>6-8-2026</v>
      </c>
    </row>
    <row r="404" spans="1:7" x14ac:dyDescent="0.2">
      <c r="A404" s="1">
        <v>20615010404</v>
      </c>
      <c r="B404" t="str" cm="1">
        <f t="array" ref="B404">IFERROR(_xlfn.XLOOKUP(A404,Sheet2!$A$2:$A$1453,Sheet2!$B$2:$B$1453),_xlfn.XLOOKUP(A404,TEXT(Sheet2!$A$2:$A$1453,"0"),Sheet2!$B$2:$B$1453,""))</f>
        <v>PAMPERS PREMUM CARE PANTS NO-4 2X50</v>
      </c>
      <c r="C404" s="2">
        <v>92</v>
      </c>
      <c r="D404" s="2" cm="1">
        <f t="array" ref="D404">_xlfn.LET(_xlpm.v,IFERROR(_xlfn.XLOOKUP(A404,Sheet2!$A$2:$A$1453,Sheet2!$D$2:$D$1453),_xlfn.XLOOKUP(A404,TEXT(Sheet2!$A$2:$A$1453,"0"),Sheet2!$D$2:$D$1453,"")),IF(_xlpm.v="","",IF(_xlpm.v&lt;1,_xlpm.v*100,_xlpm.v)))</f>
        <v>15</v>
      </c>
      <c r="E404" s="2">
        <f t="shared" si="6"/>
        <v>78.2</v>
      </c>
      <c r="F404" s="2" t="str" cm="1">
        <f t="array" ref="F404">IFERROR(_xlfn.XLOOKUP(A404,Sheet2!$A$2:$A$1453,Sheet2!$F$2:$F$1453),_xlfn.XLOOKUP(A404,TEXT(Sheet2!$A$2:$A$1453,"0"),Sheet2!$F$2:$F$1453,""))</f>
        <v>26-7-2026</v>
      </c>
      <c r="G404" s="2" t="str" cm="1">
        <f t="array" ref="G404">IFERROR(_xlfn.XLOOKUP(A404,Sheet2!$A$2:$A$1453,Sheet2!$G$2:$G$1453),_xlfn.XLOOKUP(A404,TEXT(Sheet2!$A$2:$A$1453,"0"),Sheet2!$G$2:$G$1453,""))</f>
        <v>6-8-2026</v>
      </c>
    </row>
    <row r="405" spans="1:7" x14ac:dyDescent="0.2">
      <c r="A405" s="1">
        <v>20615010023</v>
      </c>
      <c r="B405" t="str" cm="1">
        <f t="array" ref="B405">IFERROR(_xlfn.XLOOKUP(A405,Sheet2!$A$2:$A$1453,Sheet2!$B$2:$B$1453),_xlfn.XLOOKUP(A405,TEXT(Sheet2!$A$2:$A$1453,"0"),Sheet2!$B$2:$B$1453,""))</f>
        <v>PAMPERS PANTS MEGA NO-3 2X60</v>
      </c>
      <c r="C405" s="2">
        <v>87.4</v>
      </c>
      <c r="D405" s="2" cm="1">
        <f t="array" ref="D405">_xlfn.LET(_xlpm.v,IFERROR(_xlfn.XLOOKUP(A405,Sheet2!$A$2:$A$1453,Sheet2!$D$2:$D$1453),_xlfn.XLOOKUP(A405,TEXT(Sheet2!$A$2:$A$1453,"0"),Sheet2!$D$2:$D$1453,"")),IF(_xlpm.v="","",IF(_xlpm.v&lt;1,_xlpm.v*100,_xlpm.v)))</f>
        <v>15</v>
      </c>
      <c r="E405" s="2">
        <f t="shared" si="6"/>
        <v>74.290000000000006</v>
      </c>
      <c r="F405" s="2" t="str" cm="1">
        <f t="array" ref="F405">IFERROR(_xlfn.XLOOKUP(A405,Sheet2!$A$2:$A$1453,Sheet2!$F$2:$F$1453),_xlfn.XLOOKUP(A405,TEXT(Sheet2!$A$2:$A$1453,"0"),Sheet2!$F$2:$F$1453,""))</f>
        <v>26-7-2026</v>
      </c>
      <c r="G405" s="2" t="str" cm="1">
        <f t="array" ref="G405">IFERROR(_xlfn.XLOOKUP(A405,Sheet2!$A$2:$A$1453,Sheet2!$G$2:$G$1453),_xlfn.XLOOKUP(A405,TEXT(Sheet2!$A$2:$A$1453,"0"),Sheet2!$G$2:$G$1453,""))</f>
        <v>6-8-2026</v>
      </c>
    </row>
    <row r="406" spans="1:7" x14ac:dyDescent="0.2">
      <c r="A406" s="1">
        <v>20309010157</v>
      </c>
      <c r="B406" t="str" cm="1">
        <f t="array" ref="B406">IFERROR(_xlfn.XLOOKUP(A406,Sheet2!$A$2:$A$1453,Sheet2!$B$2:$B$1453),_xlfn.XLOOKUP(A406,TEXT(Sheet2!$A$2:$A$1453,"0"),Sheet2!$B$2:$B$1453,""))</f>
        <v>HEAD AND SHOULDERS SHAMPO ANTI-HAIR FALL 390 ML</v>
      </c>
      <c r="C406" s="2">
        <v>19.23</v>
      </c>
      <c r="D406" s="2" cm="1">
        <f t="array" ref="D406">_xlfn.LET(_xlpm.v,IFERROR(_xlfn.XLOOKUP(A406,Sheet2!$A$2:$A$1453,Sheet2!$D$2:$D$1453),_xlfn.XLOOKUP(A406,TEXT(Sheet2!$A$2:$A$1453,"0"),Sheet2!$D$2:$D$1453,"")),IF(_xlpm.v="","",IF(_xlpm.v&lt;1,_xlpm.v*100,_xlpm.v)))</f>
        <v>15</v>
      </c>
      <c r="E406" s="2">
        <f t="shared" si="6"/>
        <v>16.345500000000001</v>
      </c>
      <c r="F406" s="2" t="str" cm="1">
        <f t="array" ref="F406">IFERROR(_xlfn.XLOOKUP(A406,Sheet2!$A$2:$A$1453,Sheet2!$F$2:$F$1453),_xlfn.XLOOKUP(A406,TEXT(Sheet2!$A$2:$A$1453,"0"),Sheet2!$F$2:$F$1453,""))</f>
        <v>26-7-2026</v>
      </c>
      <c r="G406" s="2" t="str" cm="1">
        <f t="array" ref="G406">IFERROR(_xlfn.XLOOKUP(A406,Sheet2!$A$2:$A$1453,Sheet2!$G$2:$G$1453),_xlfn.XLOOKUP(A406,TEXT(Sheet2!$A$2:$A$1453,"0"),Sheet2!$G$2:$G$1453,""))</f>
        <v>6-8-2026</v>
      </c>
    </row>
    <row r="407" spans="1:7" x14ac:dyDescent="0.2">
      <c r="A407" s="1">
        <v>20309010145</v>
      </c>
      <c r="B407" t="str" cm="1">
        <f t="array" ref="B407">IFERROR(_xlfn.XLOOKUP(A407,Sheet2!$A$2:$A$1453,Sheet2!$B$2:$B$1453),_xlfn.XLOOKUP(A407,TEXT(Sheet2!$A$2:$A$1453,"0"),Sheet2!$B$2:$B$1453,""))</f>
        <v>HEAD&amp;SHOLDER LIVELY,SILKY SHAMPO 390ML</v>
      </c>
      <c r="C407" s="2">
        <v>19.23</v>
      </c>
      <c r="D407" s="2" cm="1">
        <f t="array" ref="D407">_xlfn.LET(_xlpm.v,IFERROR(_xlfn.XLOOKUP(A407,Sheet2!$A$2:$A$1453,Sheet2!$D$2:$D$1453),_xlfn.XLOOKUP(A407,TEXT(Sheet2!$A$2:$A$1453,"0"),Sheet2!$D$2:$D$1453,"")),IF(_xlpm.v="","",IF(_xlpm.v&lt;1,_xlpm.v*100,_xlpm.v)))</f>
        <v>15</v>
      </c>
      <c r="E407" s="2">
        <f t="shared" si="6"/>
        <v>16.345500000000001</v>
      </c>
      <c r="F407" s="2" t="str" cm="1">
        <f t="array" ref="F407">IFERROR(_xlfn.XLOOKUP(A407,Sheet2!$A$2:$A$1453,Sheet2!$F$2:$F$1453),_xlfn.XLOOKUP(A407,TEXT(Sheet2!$A$2:$A$1453,"0"),Sheet2!$F$2:$F$1453,""))</f>
        <v>26-7-2026</v>
      </c>
      <c r="G407" s="2" t="str" cm="1">
        <f t="array" ref="G407">IFERROR(_xlfn.XLOOKUP(A407,Sheet2!$A$2:$A$1453,Sheet2!$G$2:$G$1453),_xlfn.XLOOKUP(A407,TEXT(Sheet2!$A$2:$A$1453,"0"),Sheet2!$G$2:$G$1453,""))</f>
        <v>6-8-2026</v>
      </c>
    </row>
    <row r="408" spans="1:7" x14ac:dyDescent="0.2">
      <c r="A408" s="1">
        <v>20309010161</v>
      </c>
      <c r="B408" t="str" cm="1">
        <f t="array" ref="B408">IFERROR(_xlfn.XLOOKUP(A408,Sheet2!$A$2:$A$1453,Sheet2!$B$2:$B$1453),_xlfn.XLOOKUP(A408,TEXT(Sheet2!$A$2:$A$1453,"0"),Sheet2!$B$2:$B$1453,""))</f>
        <v>HEAD&amp;SHOLDER SHAMPO CITRUS FRESH LEMON 390ML</v>
      </c>
      <c r="C408" s="2">
        <v>19.23</v>
      </c>
      <c r="D408" s="2" cm="1">
        <f t="array" ref="D408">_xlfn.LET(_xlpm.v,IFERROR(_xlfn.XLOOKUP(A408,Sheet2!$A$2:$A$1453,Sheet2!$D$2:$D$1453),_xlfn.XLOOKUP(A408,TEXT(Sheet2!$A$2:$A$1453,"0"),Sheet2!$D$2:$D$1453,"")),IF(_xlpm.v="","",IF(_xlpm.v&lt;1,_xlpm.v*100,_xlpm.v)))</f>
        <v>15</v>
      </c>
      <c r="E408" s="2">
        <f t="shared" si="6"/>
        <v>16.345500000000001</v>
      </c>
      <c r="F408" s="2" t="str" cm="1">
        <f t="array" ref="F408">IFERROR(_xlfn.XLOOKUP(A408,Sheet2!$A$2:$A$1453,Sheet2!$F$2:$F$1453),_xlfn.XLOOKUP(A408,TEXT(Sheet2!$A$2:$A$1453,"0"),Sheet2!$F$2:$F$1453,""))</f>
        <v>26-7-2026</v>
      </c>
      <c r="G408" s="2" t="str" cm="1">
        <f t="array" ref="G408">IFERROR(_xlfn.XLOOKUP(A408,Sheet2!$A$2:$A$1453,Sheet2!$G$2:$G$1453),_xlfn.XLOOKUP(A408,TEXT(Sheet2!$A$2:$A$1453,"0"),Sheet2!$G$2:$G$1453,""))</f>
        <v>6-8-2026</v>
      </c>
    </row>
    <row r="409" spans="1:7" x14ac:dyDescent="0.2">
      <c r="A409" s="1">
        <v>20309502678</v>
      </c>
      <c r="B409" t="str" cm="1">
        <f t="array" ref="B409">IFERROR(_xlfn.XLOOKUP(A409,Sheet2!$A$2:$A$1453,Sheet2!$B$2:$B$1453),_xlfn.XLOOKUP(A409,TEXT(Sheet2!$A$2:$A$1453,"0"),Sheet2!$B$2:$B$1453,""))</f>
        <v>DORCO TG710-5P BAG 4+1 RAZOR 1</v>
      </c>
      <c r="C409" s="2">
        <v>10.58</v>
      </c>
      <c r="D409" s="2" cm="1">
        <f t="array" ref="D409">_xlfn.LET(_xlpm.v,IFERROR(_xlfn.XLOOKUP(A409,Sheet2!$A$2:$A$1453,Sheet2!$D$2:$D$1453),_xlfn.XLOOKUP(A409,TEXT(Sheet2!$A$2:$A$1453,"0"),Sheet2!$D$2:$D$1453,"")),IF(_xlpm.v="","",IF(_xlpm.v&lt;1,_xlpm.v*100,_xlpm.v)))</f>
        <v>25</v>
      </c>
      <c r="E409" s="2">
        <f t="shared" si="6"/>
        <v>7.9350000000000005</v>
      </c>
      <c r="F409" s="2" t="str" cm="1">
        <f t="array" ref="F409">IFERROR(_xlfn.XLOOKUP(A409,Sheet2!$A$2:$A$1453,Sheet2!$F$2:$F$1453),_xlfn.XLOOKUP(A409,TEXT(Sheet2!$A$2:$A$1453,"0"),Sheet2!$F$2:$F$1453,""))</f>
        <v>26-7-2026</v>
      </c>
      <c r="G409" s="2" t="str" cm="1">
        <f t="array" ref="G409">IFERROR(_xlfn.XLOOKUP(A409,Sheet2!$A$2:$A$1453,Sheet2!$G$2:$G$1453),_xlfn.XLOOKUP(A409,TEXT(Sheet2!$A$2:$A$1453,"0"),Sheet2!$G$2:$G$1453,""))</f>
        <v>6-8-2026</v>
      </c>
    </row>
    <row r="410" spans="1:7" x14ac:dyDescent="0.2">
      <c r="A410" s="1">
        <v>20309502715</v>
      </c>
      <c r="B410" t="str" cm="1">
        <f t="array" ref="B410">IFERROR(_xlfn.XLOOKUP(A410,Sheet2!$A$2:$A$1453,Sheet2!$B$2:$B$1453),_xlfn.XLOOKUP(A410,TEXT(Sheet2!$A$2:$A$1453,"0"),Sheet2!$B$2:$B$1453,""))</f>
        <v>DORCO PACE 2 PLUS BODY BA</v>
      </c>
      <c r="C410" s="2">
        <v>25.19</v>
      </c>
      <c r="D410" s="2" cm="1">
        <f t="array" ref="D410">_xlfn.LET(_xlpm.v,IFERROR(_xlfn.XLOOKUP(A410,Sheet2!$A$2:$A$1453,Sheet2!$D$2:$D$1453),_xlfn.XLOOKUP(A410,TEXT(Sheet2!$A$2:$A$1453,"0"),Sheet2!$D$2:$D$1453,"")),IF(_xlpm.v="","",IF(_xlpm.v&lt;1,_xlpm.v*100,_xlpm.v)))</f>
        <v>25</v>
      </c>
      <c r="E410" s="2">
        <f t="shared" si="6"/>
        <v>18.892500000000002</v>
      </c>
      <c r="F410" s="2" t="str" cm="1">
        <f t="array" ref="F410">IFERROR(_xlfn.XLOOKUP(A410,Sheet2!$A$2:$A$1453,Sheet2!$F$2:$F$1453),_xlfn.XLOOKUP(A410,TEXT(Sheet2!$A$2:$A$1453,"0"),Sheet2!$F$2:$F$1453,""))</f>
        <v>26-7-2026</v>
      </c>
      <c r="G410" s="2" t="str" cm="1">
        <f t="array" ref="G410">IFERROR(_xlfn.XLOOKUP(A410,Sheet2!$A$2:$A$1453,Sheet2!$G$2:$G$1453),_xlfn.XLOOKUP(A410,TEXT(Sheet2!$A$2:$A$1453,"0"),Sheet2!$G$2:$G$1453,""))</f>
        <v>6-8-2026</v>
      </c>
    </row>
    <row r="411" spans="1:7" x14ac:dyDescent="0.2">
      <c r="A411" s="1">
        <v>20309502679</v>
      </c>
      <c r="B411" t="str" cm="1">
        <f t="array" ref="B411">IFERROR(_xlfn.XLOOKUP(A411,Sheet2!$A$2:$A$1453,Sheet2!$B$2:$B$1453),_xlfn.XLOOKUP(A411,TEXT(Sheet2!$A$2:$A$1453,"0"),Sheet2!$B$2:$B$1453,""))</f>
        <v>DORCO TG710-12MP 12PCS IN BAG 8</v>
      </c>
      <c r="C411" s="2">
        <v>21.28</v>
      </c>
      <c r="D411" s="2" cm="1">
        <f t="array" ref="D411">_xlfn.LET(_xlpm.v,IFERROR(_xlfn.XLOOKUP(A411,Sheet2!$A$2:$A$1453,Sheet2!$D$2:$D$1453),_xlfn.XLOOKUP(A411,TEXT(Sheet2!$A$2:$A$1453,"0"),Sheet2!$D$2:$D$1453,"")),IF(_xlpm.v="","",IF(_xlpm.v&lt;1,_xlpm.v*100,_xlpm.v)))</f>
        <v>25</v>
      </c>
      <c r="E411" s="2">
        <f t="shared" si="6"/>
        <v>15.96</v>
      </c>
      <c r="F411" s="2" t="str" cm="1">
        <f t="array" ref="F411">IFERROR(_xlfn.XLOOKUP(A411,Sheet2!$A$2:$A$1453,Sheet2!$F$2:$F$1453),_xlfn.XLOOKUP(A411,TEXT(Sheet2!$A$2:$A$1453,"0"),Sheet2!$F$2:$F$1453,""))</f>
        <v>26-7-2026</v>
      </c>
      <c r="G411" s="2" t="str" cm="1">
        <f t="array" ref="G411">IFERROR(_xlfn.XLOOKUP(A411,Sheet2!$A$2:$A$1453,Sheet2!$G$2:$G$1453),_xlfn.XLOOKUP(A411,TEXT(Sheet2!$A$2:$A$1453,"0"),Sheet2!$G$2:$G$1453,""))</f>
        <v>6-8-2026</v>
      </c>
    </row>
    <row r="412" spans="1:7" x14ac:dyDescent="0.2">
      <c r="A412" s="1">
        <v>20309502718</v>
      </c>
      <c r="B412" t="str" cm="1">
        <f t="array" ref="B412">IFERROR(_xlfn.XLOOKUP(A412,Sheet2!$A$2:$A$1453,Sheet2!$B$2:$B$1453),_xlfn.XLOOKUP(A412,TEXT(Sheet2!$A$2:$A$1453,"0"),Sheet2!$B$2:$B$1453,""))</f>
        <v>DORCO 2 LONG HANDLE BODY</v>
      </c>
      <c r="C412" s="2">
        <v>18.52</v>
      </c>
      <c r="D412" s="2" cm="1">
        <f t="array" ref="D412">_xlfn.LET(_xlpm.v,IFERROR(_xlfn.XLOOKUP(A412,Sheet2!$A$2:$A$1453,Sheet2!$D$2:$D$1453),_xlfn.XLOOKUP(A412,TEXT(Sheet2!$A$2:$A$1453,"0"),Sheet2!$D$2:$D$1453,"")),IF(_xlpm.v="","",IF(_xlpm.v&lt;1,_xlpm.v*100,_xlpm.v)))</f>
        <v>25</v>
      </c>
      <c r="E412" s="2">
        <f t="shared" si="6"/>
        <v>13.89</v>
      </c>
      <c r="F412" s="2" t="str" cm="1">
        <f t="array" ref="F412">IFERROR(_xlfn.XLOOKUP(A412,Sheet2!$A$2:$A$1453,Sheet2!$F$2:$F$1453),_xlfn.XLOOKUP(A412,TEXT(Sheet2!$A$2:$A$1453,"0"),Sheet2!$F$2:$F$1453,""))</f>
        <v>26-7-2026</v>
      </c>
      <c r="G412" s="2" t="str" cm="1">
        <f t="array" ref="G412">IFERROR(_xlfn.XLOOKUP(A412,Sheet2!$A$2:$A$1453,Sheet2!$G$2:$G$1453),_xlfn.XLOOKUP(A412,TEXT(Sheet2!$A$2:$A$1453,"0"),Sheet2!$G$2:$G$1453,""))</f>
        <v>6-8-2026</v>
      </c>
    </row>
    <row r="413" spans="1:7" x14ac:dyDescent="0.2">
      <c r="A413" s="1">
        <v>20309502713</v>
      </c>
      <c r="B413" t="str" cm="1">
        <f t="array" ref="B413">IFERROR(_xlfn.XLOOKUP(A413,Sheet2!$A$2:$A$1453,Sheet2!$B$2:$B$1453),_xlfn.XLOOKUP(A413,TEXT(Sheet2!$A$2:$A$1453,"0"),Sheet2!$B$2:$B$1453,""))</f>
        <v>DORCO SHAI 2 SOFT BLADE PI</v>
      </c>
      <c r="C413" s="2">
        <v>25.19</v>
      </c>
      <c r="D413" s="2" cm="1">
        <f t="array" ref="D413">_xlfn.LET(_xlpm.v,IFERROR(_xlfn.XLOOKUP(A413,Sheet2!$A$2:$A$1453,Sheet2!$D$2:$D$1453),_xlfn.XLOOKUP(A413,TEXT(Sheet2!$A$2:$A$1453,"0"),Sheet2!$D$2:$D$1453,"")),IF(_xlpm.v="","",IF(_xlpm.v&lt;1,_xlpm.v*100,_xlpm.v)))</f>
        <v>25</v>
      </c>
      <c r="E413" s="2">
        <f t="shared" si="6"/>
        <v>18.892500000000002</v>
      </c>
      <c r="F413" s="2" t="str" cm="1">
        <f t="array" ref="F413">IFERROR(_xlfn.XLOOKUP(A413,Sheet2!$A$2:$A$1453,Sheet2!$F$2:$F$1453),_xlfn.XLOOKUP(A413,TEXT(Sheet2!$A$2:$A$1453,"0"),Sheet2!$F$2:$F$1453,""))</f>
        <v>26-7-2026</v>
      </c>
      <c r="G413" s="2" t="str" cm="1">
        <f t="array" ref="G413">IFERROR(_xlfn.XLOOKUP(A413,Sheet2!$A$2:$A$1453,Sheet2!$G$2:$G$1453),_xlfn.XLOOKUP(A413,TEXT(Sheet2!$A$2:$A$1453,"0"),Sheet2!$G$2:$G$1453,""))</f>
        <v>6-8-2026</v>
      </c>
    </row>
    <row r="414" spans="1:7" x14ac:dyDescent="0.2">
      <c r="A414" s="1">
        <v>20309502717</v>
      </c>
      <c r="B414" t="str" cm="1">
        <f t="array" ref="B414">IFERROR(_xlfn.XLOOKUP(A414,Sheet2!$A$2:$A$1453,Sheet2!$B$2:$B$1453),_xlfn.XLOOKUP(A414,TEXT(Sheet2!$A$2:$A$1453,"0"),Sheet2!$B$2:$B$1453,""))</f>
        <v>DORCO 2 LONG HANDLE BODY</v>
      </c>
      <c r="C414" s="2">
        <v>23.46</v>
      </c>
      <c r="D414" s="2" cm="1">
        <f t="array" ref="D414">_xlfn.LET(_xlpm.v,IFERROR(_xlfn.XLOOKUP(A414,Sheet2!$A$2:$A$1453,Sheet2!$D$2:$D$1453),_xlfn.XLOOKUP(A414,TEXT(Sheet2!$A$2:$A$1453,"0"),Sheet2!$D$2:$D$1453,"")),IF(_xlpm.v="","",IF(_xlpm.v&lt;1,_xlpm.v*100,_xlpm.v)))</f>
        <v>25</v>
      </c>
      <c r="E414" s="2">
        <f t="shared" si="6"/>
        <v>17.594999999999999</v>
      </c>
      <c r="F414" s="2" t="str" cm="1">
        <f t="array" ref="F414">IFERROR(_xlfn.XLOOKUP(A414,Sheet2!$A$2:$A$1453,Sheet2!$F$2:$F$1453),_xlfn.XLOOKUP(A414,TEXT(Sheet2!$A$2:$A$1453,"0"),Sheet2!$F$2:$F$1453,""))</f>
        <v>26-7-2026</v>
      </c>
      <c r="G414" s="2" t="str" cm="1">
        <f t="array" ref="G414">IFERROR(_xlfn.XLOOKUP(A414,Sheet2!$A$2:$A$1453,Sheet2!$G$2:$G$1453),_xlfn.XLOOKUP(A414,TEXT(Sheet2!$A$2:$A$1453,"0"),Sheet2!$G$2:$G$1453,""))</f>
        <v>6-8-2026</v>
      </c>
    </row>
    <row r="415" spans="1:7" x14ac:dyDescent="0.2">
      <c r="A415" s="1">
        <v>20309070158</v>
      </c>
      <c r="B415" t="str" cm="1">
        <f t="array" ref="B415">IFERROR(_xlfn.XLOOKUP(A415,Sheet2!$A$2:$A$1453,Sheet2!$B$2:$B$1453),_xlfn.XLOOKUP(A415,TEXT(Sheet2!$A$2:$A$1453,"0"),Sheet2!$B$2:$B$1453,""))</f>
        <v>DORCO 3 FIT FOR LADY 3+1 90</v>
      </c>
      <c r="C415" s="2">
        <v>19.78</v>
      </c>
      <c r="D415" s="2" cm="1">
        <f t="array" ref="D415">_xlfn.LET(_xlpm.v,IFERROR(_xlfn.XLOOKUP(A415,Sheet2!$A$2:$A$1453,Sheet2!$D$2:$D$1453),_xlfn.XLOOKUP(A415,TEXT(Sheet2!$A$2:$A$1453,"0"),Sheet2!$D$2:$D$1453,"")),IF(_xlpm.v="","",IF(_xlpm.v&lt;1,_xlpm.v*100,_xlpm.v)))</f>
        <v>25</v>
      </c>
      <c r="E415" s="2">
        <f t="shared" si="6"/>
        <v>14.835000000000001</v>
      </c>
      <c r="F415" s="2" t="str" cm="1">
        <f t="array" ref="F415">IFERROR(_xlfn.XLOOKUP(A415,Sheet2!$A$2:$A$1453,Sheet2!$F$2:$F$1453),_xlfn.XLOOKUP(A415,TEXT(Sheet2!$A$2:$A$1453,"0"),Sheet2!$F$2:$F$1453,""))</f>
        <v>26-7-2026</v>
      </c>
      <c r="G415" s="2" t="str" cm="1">
        <f t="array" ref="G415">IFERROR(_xlfn.XLOOKUP(A415,Sheet2!$A$2:$A$1453,Sheet2!$G$2:$G$1453),_xlfn.XLOOKUP(A415,TEXT(Sheet2!$A$2:$A$1453,"0"),Sheet2!$G$2:$G$1453,""))</f>
        <v>6-8-2026</v>
      </c>
    </row>
    <row r="416" spans="1:7" x14ac:dyDescent="0.2">
      <c r="A416" s="1" t="s">
        <v>33</v>
      </c>
      <c r="B416" t="str" cm="1">
        <f t="array" ref="B416">IFERROR(_xlfn.XLOOKUP(A416,Sheet2!$A$2:$A$1453,Sheet2!$B$2:$B$1453),_xlfn.XLOOKUP(A416,TEXT(Sheet2!$A$2:$A$1453,"0"),Sheet2!$B$2:$B$1453,""))</f>
        <v>NOSTRICURE  Oral Gel, 30 ML/TUBE</v>
      </c>
      <c r="C416" s="2">
        <v>46</v>
      </c>
      <c r="D416" s="2" cm="1">
        <f t="array" ref="D416">_xlfn.LET(_xlpm.v,IFERROR(_xlfn.XLOOKUP(A416,Sheet2!$A$2:$A$1453,Sheet2!$D$2:$D$1453),_xlfn.XLOOKUP(A416,TEXT(Sheet2!$A$2:$A$1453,"0"),Sheet2!$D$2:$D$1453,"")),IF(_xlpm.v="","",IF(_xlpm.v&lt;1,_xlpm.v*100,_xlpm.v)))</f>
        <v>40</v>
      </c>
      <c r="E416" s="2">
        <f t="shared" si="6"/>
        <v>27.599999999999998</v>
      </c>
      <c r="F416" s="2" t="str" cm="1">
        <f t="array" ref="F416">IFERROR(_xlfn.XLOOKUP(A416,Sheet2!$A$2:$A$1453,Sheet2!$F$2:$F$1453),_xlfn.XLOOKUP(A416,TEXT(Sheet2!$A$2:$A$1453,"0"),Sheet2!$F$2:$F$1453,""))</f>
        <v>26-7-2026</v>
      </c>
      <c r="G416" s="2" t="str" cm="1">
        <f t="array" ref="G416">IFERROR(_xlfn.XLOOKUP(A416,Sheet2!$A$2:$A$1453,Sheet2!$G$2:$G$1453),_xlfn.XLOOKUP(A416,TEXT(Sheet2!$A$2:$A$1453,"0"),Sheet2!$G$2:$G$1453,""))</f>
        <v>6-8-2026</v>
      </c>
    </row>
    <row r="417" spans="1:7" x14ac:dyDescent="0.2">
      <c r="A417" s="1">
        <v>20309010254</v>
      </c>
      <c r="B417" t="str" cm="1">
        <f t="array" ref="B417">IFERROR(_xlfn.XLOOKUP(A417,Sheet2!$A$2:$A$1453,Sheet2!$B$2:$B$1453),_xlfn.XLOOKUP(A417,TEXT(Sheet2!$A$2:$A$1453,"0"),Sheet2!$B$2:$B$1453,""))</f>
        <v> SUNSILK STUNNING BLACK SHINE 400 SHAMPO</v>
      </c>
      <c r="C417" s="2">
        <v>21.16</v>
      </c>
      <c r="D417" s="2" cm="1">
        <f t="array" ref="D417">_xlfn.LET(_xlpm.v,IFERROR(_xlfn.XLOOKUP(A417,Sheet2!$A$2:$A$1453,Sheet2!$D$2:$D$1453),_xlfn.XLOOKUP(A417,TEXT(Sheet2!$A$2:$A$1453,"0"),Sheet2!$D$2:$D$1453,"")),IF(_xlpm.v="","",IF(_xlpm.v&lt;1,_xlpm.v*100,_xlpm.v)))</f>
        <v>15</v>
      </c>
      <c r="E417" s="2">
        <f t="shared" si="6"/>
        <v>17.986000000000001</v>
      </c>
      <c r="F417" s="2" t="str" cm="1">
        <f t="array" ref="F417">IFERROR(_xlfn.XLOOKUP(A417,Sheet2!$A$2:$A$1453,Sheet2!$F$2:$F$1453),_xlfn.XLOOKUP(A417,TEXT(Sheet2!$A$2:$A$1453,"0"),Sheet2!$F$2:$F$1453,""))</f>
        <v>26-7-2026</v>
      </c>
      <c r="G417" s="2" t="str" cm="1">
        <f t="array" ref="G417">IFERROR(_xlfn.XLOOKUP(A417,Sheet2!$A$2:$A$1453,Sheet2!$G$2:$G$1453),_xlfn.XLOOKUP(A417,TEXT(Sheet2!$A$2:$A$1453,"0"),Sheet2!$G$2:$G$1453,""))</f>
        <v>6-8-2026</v>
      </c>
    </row>
    <row r="418" spans="1:7" x14ac:dyDescent="0.2">
      <c r="A418" s="1">
        <v>20309010471</v>
      </c>
      <c r="B418" t="str" cm="1">
        <f t="array" ref="B418">IFERROR(_xlfn.XLOOKUP(A418,Sheet2!$A$2:$A$1453,Sheet2!$B$2:$B$1453),_xlfn.XLOOKUP(A418,TEXT(Sheet2!$A$2:$A$1453,"0"),Sheet2!$B$2:$B$1453,""))</f>
        <v> SUNSILK HAIR FALL SOLUTION 400 ML SHAMPOO</v>
      </c>
      <c r="C418" s="2">
        <v>18.399999999999999</v>
      </c>
      <c r="D418" s="2" cm="1">
        <f t="array" ref="D418">_xlfn.LET(_xlpm.v,IFERROR(_xlfn.XLOOKUP(A418,Sheet2!$A$2:$A$1453,Sheet2!$D$2:$D$1453),_xlfn.XLOOKUP(A418,TEXT(Sheet2!$A$2:$A$1453,"0"),Sheet2!$D$2:$D$1453,"")),IF(_xlpm.v="","",IF(_xlpm.v&lt;1,_xlpm.v*100,_xlpm.v)))</f>
        <v>15</v>
      </c>
      <c r="E418" s="2">
        <f t="shared" si="6"/>
        <v>15.639999999999999</v>
      </c>
      <c r="F418" s="2" t="str" cm="1">
        <f t="array" ref="F418">IFERROR(_xlfn.XLOOKUP(A418,Sheet2!$A$2:$A$1453,Sheet2!$F$2:$F$1453),_xlfn.XLOOKUP(A418,TEXT(Sheet2!$A$2:$A$1453,"0"),Sheet2!$F$2:$F$1453,""))</f>
        <v>26-7-2026</v>
      </c>
      <c r="G418" s="2" t="str" cm="1">
        <f t="array" ref="G418">IFERROR(_xlfn.XLOOKUP(A418,Sheet2!$A$2:$A$1453,Sheet2!$G$2:$G$1453),_xlfn.XLOOKUP(A418,TEXT(Sheet2!$A$2:$A$1453,"0"),Sheet2!$G$2:$G$1453,""))</f>
        <v>6-8-2026</v>
      </c>
    </row>
    <row r="419" spans="1:7" x14ac:dyDescent="0.2">
      <c r="A419" s="1">
        <v>20309010793</v>
      </c>
      <c r="B419" t="str" cm="1">
        <f t="array" ref="B419">IFERROR(_xlfn.XLOOKUP(A419,Sheet2!$A$2:$A$1453,Sheet2!$B$2:$B$1453),_xlfn.XLOOKUP(A419,TEXT(Sheet2!$A$2:$A$1453,"0"),Sheet2!$B$2:$B$1453,""))</f>
        <v> DOVE SHAMPO SPLIT ENDS RESCUE 600ML</v>
      </c>
      <c r="C419" s="2">
        <v>30</v>
      </c>
      <c r="D419" s="2" cm="1">
        <f t="array" ref="D419">_xlfn.LET(_xlpm.v,IFERROR(_xlfn.XLOOKUP(A419,Sheet2!$A$2:$A$1453,Sheet2!$D$2:$D$1453),_xlfn.XLOOKUP(A419,TEXT(Sheet2!$A$2:$A$1453,"0"),Sheet2!$D$2:$D$1453,"")),IF(_xlpm.v="","",IF(_xlpm.v&lt;1,_xlpm.v*100,_xlpm.v)))</f>
        <v>15</v>
      </c>
      <c r="E419" s="2">
        <f t="shared" si="6"/>
        <v>25.5</v>
      </c>
      <c r="F419" s="2" t="str" cm="1">
        <f t="array" ref="F419">IFERROR(_xlfn.XLOOKUP(A419,Sheet2!$A$2:$A$1453,Sheet2!$F$2:$F$1453),_xlfn.XLOOKUP(A419,TEXT(Sheet2!$A$2:$A$1453,"0"),Sheet2!$F$2:$F$1453,""))</f>
        <v>26-7-2026</v>
      </c>
      <c r="G419" s="2" t="str" cm="1">
        <f t="array" ref="G419">IFERROR(_xlfn.XLOOKUP(A419,Sheet2!$A$2:$A$1453,Sheet2!$G$2:$G$1453),_xlfn.XLOOKUP(A419,TEXT(Sheet2!$A$2:$A$1453,"0"),Sheet2!$G$2:$G$1453,""))</f>
        <v>6-8-2026</v>
      </c>
    </row>
    <row r="420" spans="1:7" x14ac:dyDescent="0.2">
      <c r="A420" s="1">
        <v>20309010044</v>
      </c>
      <c r="B420" t="str" cm="1">
        <f t="array" ref="B420">IFERROR(_xlfn.XLOOKUP(A420,Sheet2!$A$2:$A$1453,Sheet2!$B$2:$B$1453),_xlfn.XLOOKUP(A420,TEXT(Sheet2!$A$2:$A$1453,"0"),Sheet2!$B$2:$B$1453,""))</f>
        <v> DOVE SHAMPO INTENSIVE CARE REPAIR 600ML 207629</v>
      </c>
      <c r="C420" s="2">
        <v>34.5</v>
      </c>
      <c r="D420" s="2" cm="1">
        <f t="array" ref="D420">_xlfn.LET(_xlpm.v,IFERROR(_xlfn.XLOOKUP(A420,Sheet2!$A$2:$A$1453,Sheet2!$D$2:$D$1453),_xlfn.XLOOKUP(A420,TEXT(Sheet2!$A$2:$A$1453,"0"),Sheet2!$D$2:$D$1453,"")),IF(_xlpm.v="","",IF(_xlpm.v&lt;1,_xlpm.v*100,_xlpm.v)))</f>
        <v>15</v>
      </c>
      <c r="E420" s="2">
        <f t="shared" si="6"/>
        <v>29.324999999999999</v>
      </c>
      <c r="F420" s="2" t="str" cm="1">
        <f t="array" ref="F420">IFERROR(_xlfn.XLOOKUP(A420,Sheet2!$A$2:$A$1453,Sheet2!$F$2:$F$1453),_xlfn.XLOOKUP(A420,TEXT(Sheet2!$A$2:$A$1453,"0"),Sheet2!$F$2:$F$1453,""))</f>
        <v>26-7-2026</v>
      </c>
      <c r="G420" s="2" t="str" cm="1">
        <f t="array" ref="G420">IFERROR(_xlfn.XLOOKUP(A420,Sheet2!$A$2:$A$1453,Sheet2!$G$2:$G$1453),_xlfn.XLOOKUP(A420,TEXT(Sheet2!$A$2:$A$1453,"0"),Sheet2!$G$2:$G$1453,""))</f>
        <v>6-8-2026</v>
      </c>
    </row>
    <row r="421" spans="1:7" x14ac:dyDescent="0.2">
      <c r="A421" s="1">
        <v>20309010792</v>
      </c>
      <c r="B421" t="str" cm="1">
        <f t="array" ref="B421">IFERROR(_xlfn.XLOOKUP(A421,Sheet2!$A$2:$A$1453,Sheet2!$B$2:$B$1453),_xlfn.XLOOKUP(A421,TEXT(Sheet2!$A$2:$A$1453,"0"),Sheet2!$B$2:$B$1453,""))</f>
        <v> DOVE SHAMPO SPLIT ENDS RESCUE 400ML 208536</v>
      </c>
      <c r="C421" s="2">
        <v>23.17</v>
      </c>
      <c r="D421" s="2" cm="1">
        <f t="array" ref="D421">_xlfn.LET(_xlpm.v,IFERROR(_xlfn.XLOOKUP(A421,Sheet2!$A$2:$A$1453,Sheet2!$D$2:$D$1453),_xlfn.XLOOKUP(A421,TEXT(Sheet2!$A$2:$A$1453,"0"),Sheet2!$D$2:$D$1453,"")),IF(_xlpm.v="","",IF(_xlpm.v&lt;1,_xlpm.v*100,_xlpm.v)))</f>
        <v>15</v>
      </c>
      <c r="E421" s="2">
        <f t="shared" si="6"/>
        <v>19.694500000000001</v>
      </c>
      <c r="F421" s="2" t="str" cm="1">
        <f t="array" ref="F421">IFERROR(_xlfn.XLOOKUP(A421,Sheet2!$A$2:$A$1453,Sheet2!$F$2:$F$1453),_xlfn.XLOOKUP(A421,TEXT(Sheet2!$A$2:$A$1453,"0"),Sheet2!$F$2:$F$1453,""))</f>
        <v>26-7-2026</v>
      </c>
      <c r="G421" s="2" t="str" cm="1">
        <f t="array" ref="G421">IFERROR(_xlfn.XLOOKUP(A421,Sheet2!$A$2:$A$1453,Sheet2!$G$2:$G$1453),_xlfn.XLOOKUP(A421,TEXT(Sheet2!$A$2:$A$1453,"0"),Sheet2!$G$2:$G$1453,""))</f>
        <v>6-8-2026</v>
      </c>
    </row>
    <row r="422" spans="1:7" x14ac:dyDescent="0.2">
      <c r="A422" s="1">
        <v>20309010070</v>
      </c>
      <c r="B422" t="str" cm="1">
        <f t="array" ref="B422">IFERROR(_xlfn.XLOOKUP(A422,Sheet2!$A$2:$A$1453,Sheet2!$B$2:$B$1453),_xlfn.XLOOKUP(A422,TEXT(Sheet2!$A$2:$A$1453,"0"),Sheet2!$B$2:$B$1453,""))</f>
        <v> DOVE SHAMPO NUTRI-OIL  400ML 211622</v>
      </c>
      <c r="C422" s="2">
        <v>23.17</v>
      </c>
      <c r="D422" s="2" cm="1">
        <f t="array" ref="D422">_xlfn.LET(_xlpm.v,IFERROR(_xlfn.XLOOKUP(A422,Sheet2!$A$2:$A$1453,Sheet2!$D$2:$D$1453),_xlfn.XLOOKUP(A422,TEXT(Sheet2!$A$2:$A$1453,"0"),Sheet2!$D$2:$D$1453,"")),IF(_xlpm.v="","",IF(_xlpm.v&lt;1,_xlpm.v*100,_xlpm.v)))</f>
        <v>15</v>
      </c>
      <c r="E422" s="2">
        <f t="shared" si="6"/>
        <v>19.694500000000001</v>
      </c>
      <c r="F422" s="2" t="str" cm="1">
        <f t="array" ref="F422">IFERROR(_xlfn.XLOOKUP(A422,Sheet2!$A$2:$A$1453,Sheet2!$F$2:$F$1453),_xlfn.XLOOKUP(A422,TEXT(Sheet2!$A$2:$A$1453,"0"),Sheet2!$F$2:$F$1453,""))</f>
        <v>26-7-2026</v>
      </c>
      <c r="G422" s="2" t="str" cm="1">
        <f t="array" ref="G422">IFERROR(_xlfn.XLOOKUP(A422,Sheet2!$A$2:$A$1453,Sheet2!$G$2:$G$1453),_xlfn.XLOOKUP(A422,TEXT(Sheet2!$A$2:$A$1453,"0"),Sheet2!$G$2:$G$1453,""))</f>
        <v>6-8-2026</v>
      </c>
    </row>
    <row r="423" spans="1:7" x14ac:dyDescent="0.2">
      <c r="A423" s="1">
        <v>20309011821</v>
      </c>
      <c r="B423" t="str" cm="1">
        <f t="array" ref="B423">IFERROR(_xlfn.XLOOKUP(A423,Sheet2!$A$2:$A$1453,Sheet2!$B$2:$B$1453),_xlfn.XLOOKUP(A423,TEXT(Sheet2!$A$2:$A$1453,"0"),Sheet2!$B$2:$B$1453,""))</f>
        <v> DOVE GROWTH RITUAL SHAMPO 400ML</v>
      </c>
      <c r="C423" s="2">
        <v>23.17</v>
      </c>
      <c r="D423" s="2" cm="1">
        <f t="array" ref="D423">_xlfn.LET(_xlpm.v,IFERROR(_xlfn.XLOOKUP(A423,Sheet2!$A$2:$A$1453,Sheet2!$D$2:$D$1453),_xlfn.XLOOKUP(A423,TEXT(Sheet2!$A$2:$A$1453,"0"),Sheet2!$D$2:$D$1453,"")),IF(_xlpm.v="","",IF(_xlpm.v&lt;1,_xlpm.v*100,_xlpm.v)))</f>
        <v>15</v>
      </c>
      <c r="E423" s="2">
        <f t="shared" si="6"/>
        <v>19.694500000000001</v>
      </c>
      <c r="F423" s="2" t="str" cm="1">
        <f t="array" ref="F423">IFERROR(_xlfn.XLOOKUP(A423,Sheet2!$A$2:$A$1453,Sheet2!$F$2:$F$1453),_xlfn.XLOOKUP(A423,TEXT(Sheet2!$A$2:$A$1453,"0"),Sheet2!$F$2:$F$1453,""))</f>
        <v>26-7-2026</v>
      </c>
      <c r="G423" s="2" t="str" cm="1">
        <f t="array" ref="G423">IFERROR(_xlfn.XLOOKUP(A423,Sheet2!$A$2:$A$1453,Sheet2!$G$2:$G$1453),_xlfn.XLOOKUP(A423,TEXT(Sheet2!$A$2:$A$1453,"0"),Sheet2!$G$2:$G$1453,""))</f>
        <v>6-8-2026</v>
      </c>
    </row>
    <row r="424" spans="1:7" x14ac:dyDescent="0.2">
      <c r="A424" s="1">
        <v>20309010950</v>
      </c>
      <c r="B424" t="str" cm="1">
        <f t="array" ref="B424">IFERROR(_xlfn.XLOOKUP(A424,Sheet2!$A$2:$A$1453,Sheet2!$B$2:$B$1453),_xlfn.XLOOKUP(A424,TEXT(Sheet2!$A$2:$A$1453,"0"),Sheet2!$B$2:$B$1453,""))</f>
        <v> DOVE SHAMPO MOISTURIZING 400 ML 207618</v>
      </c>
      <c r="C424" s="2">
        <v>23.17</v>
      </c>
      <c r="D424" s="2" cm="1">
        <f t="array" ref="D424">_xlfn.LET(_xlpm.v,IFERROR(_xlfn.XLOOKUP(A424,Sheet2!$A$2:$A$1453,Sheet2!$D$2:$D$1453),_xlfn.XLOOKUP(A424,TEXT(Sheet2!$A$2:$A$1453,"0"),Sheet2!$D$2:$D$1453,"")),IF(_xlpm.v="","",IF(_xlpm.v&lt;1,_xlpm.v*100,_xlpm.v)))</f>
        <v>15</v>
      </c>
      <c r="E424" s="2">
        <f t="shared" si="6"/>
        <v>19.694500000000001</v>
      </c>
      <c r="F424" s="2" t="str" cm="1">
        <f t="array" ref="F424">IFERROR(_xlfn.XLOOKUP(A424,Sheet2!$A$2:$A$1453,Sheet2!$F$2:$F$1453),_xlfn.XLOOKUP(A424,TEXT(Sheet2!$A$2:$A$1453,"0"),Sheet2!$F$2:$F$1453,""))</f>
        <v>26-7-2026</v>
      </c>
      <c r="G424" s="2" t="str" cm="1">
        <f t="array" ref="G424">IFERROR(_xlfn.XLOOKUP(A424,Sheet2!$A$2:$A$1453,Sheet2!$G$2:$G$1453),_xlfn.XLOOKUP(A424,TEXT(Sheet2!$A$2:$A$1453,"0"),Sheet2!$G$2:$G$1453,""))</f>
        <v>6-8-2026</v>
      </c>
    </row>
    <row r="425" spans="1:7" x14ac:dyDescent="0.2">
      <c r="A425" s="1">
        <v>20309010122</v>
      </c>
      <c r="B425" t="str" cm="1">
        <f t="array" ref="B425">IFERROR(_xlfn.XLOOKUP(A425,Sheet2!$A$2:$A$1453,Sheet2!$B$2:$B$1453),_xlfn.XLOOKUP(A425,TEXT(Sheet2!$A$2:$A$1453,"0"),Sheet2!$B$2:$B$1453,""))</f>
        <v> DOVE SHAMPO INTENSIVE REPAIR 400ML 207622</v>
      </c>
      <c r="C425" s="2">
        <v>23.17</v>
      </c>
      <c r="D425" s="2" cm="1">
        <f t="array" ref="D425">_xlfn.LET(_xlpm.v,IFERROR(_xlfn.XLOOKUP(A425,Sheet2!$A$2:$A$1453,Sheet2!$D$2:$D$1453),_xlfn.XLOOKUP(A425,TEXT(Sheet2!$A$2:$A$1453,"0"),Sheet2!$D$2:$D$1453,"")),IF(_xlpm.v="","",IF(_xlpm.v&lt;1,_xlpm.v*100,_xlpm.v)))</f>
        <v>15</v>
      </c>
      <c r="E425" s="2">
        <f t="shared" si="6"/>
        <v>19.694500000000001</v>
      </c>
      <c r="F425" s="2" t="str" cm="1">
        <f t="array" ref="F425">IFERROR(_xlfn.XLOOKUP(A425,Sheet2!$A$2:$A$1453,Sheet2!$F$2:$F$1453),_xlfn.XLOOKUP(A425,TEXT(Sheet2!$A$2:$A$1453,"0"),Sheet2!$F$2:$F$1453,""))</f>
        <v>26-7-2026</v>
      </c>
      <c r="G425" s="2" t="str" cm="1">
        <f t="array" ref="G425">IFERROR(_xlfn.XLOOKUP(A425,Sheet2!$A$2:$A$1453,Sheet2!$G$2:$G$1453),_xlfn.XLOOKUP(A425,TEXT(Sheet2!$A$2:$A$1453,"0"),Sheet2!$G$2:$G$1453,""))</f>
        <v>6-8-2026</v>
      </c>
    </row>
    <row r="426" spans="1:7" x14ac:dyDescent="0.2">
      <c r="A426" s="1">
        <v>20309010768</v>
      </c>
      <c r="B426" t="str" cm="1">
        <f t="array" ref="B426">IFERROR(_xlfn.XLOOKUP(A426,Sheet2!$A$2:$A$1453,Sheet2!$B$2:$B$1453),_xlfn.XLOOKUP(A426,TEXT(Sheet2!$A$2:$A$1453,"0"),Sheet2!$B$2:$B$1453,""))</f>
        <v> DOVE SHAMPO DAILY CARE 2IN 1 400ML 207620</v>
      </c>
      <c r="C426" s="2">
        <v>23.17</v>
      </c>
      <c r="D426" s="2" cm="1">
        <f t="array" ref="D426">_xlfn.LET(_xlpm.v,IFERROR(_xlfn.XLOOKUP(A426,Sheet2!$A$2:$A$1453,Sheet2!$D$2:$D$1453),_xlfn.XLOOKUP(A426,TEXT(Sheet2!$A$2:$A$1453,"0"),Sheet2!$D$2:$D$1453,"")),IF(_xlpm.v="","",IF(_xlpm.v&lt;1,_xlpm.v*100,_xlpm.v)))</f>
        <v>15</v>
      </c>
      <c r="E426" s="2">
        <f t="shared" si="6"/>
        <v>19.694500000000001</v>
      </c>
      <c r="F426" s="2" t="str" cm="1">
        <f t="array" ref="F426">IFERROR(_xlfn.XLOOKUP(A426,Sheet2!$A$2:$A$1453,Sheet2!$F$2:$F$1453),_xlfn.XLOOKUP(A426,TEXT(Sheet2!$A$2:$A$1453,"0"),Sheet2!$F$2:$F$1453,""))</f>
        <v>26-7-2026</v>
      </c>
      <c r="G426" s="2" t="str" cm="1">
        <f t="array" ref="G426">IFERROR(_xlfn.XLOOKUP(A426,Sheet2!$A$2:$A$1453,Sheet2!$G$2:$G$1453),_xlfn.XLOOKUP(A426,TEXT(Sheet2!$A$2:$A$1453,"0"),Sheet2!$G$2:$G$1453,""))</f>
        <v>6-8-2026</v>
      </c>
    </row>
    <row r="427" spans="1:7" x14ac:dyDescent="0.2">
      <c r="A427" s="1">
        <v>20309020049</v>
      </c>
      <c r="B427" t="str" cm="1">
        <f t="array" ref="B427">IFERROR(_xlfn.XLOOKUP(A427,Sheet2!$A$2:$A$1453,Sheet2!$B$2:$B$1453),_xlfn.XLOOKUP(A427,TEXT(Sheet2!$A$2:$A$1453,"0"),Sheet2!$B$2:$B$1453,""))</f>
        <v>NIVEA LOTION  NORISHING EXTRA DRY 250 ML 70053</v>
      </c>
      <c r="C427" s="2">
        <v>20.04</v>
      </c>
      <c r="D427" s="2" cm="1">
        <f t="array" ref="D427">_xlfn.LET(_xlpm.v,IFERROR(_xlfn.XLOOKUP(A427,Sheet2!$A$2:$A$1453,Sheet2!$D$2:$D$1453),_xlfn.XLOOKUP(A427,TEXT(Sheet2!$A$2:$A$1453,"0"),Sheet2!$D$2:$D$1453,"")),IF(_xlpm.v="","",IF(_xlpm.v&lt;1,_xlpm.v*100,_xlpm.v)))</f>
        <v>15</v>
      </c>
      <c r="E427" s="2">
        <f t="shared" si="6"/>
        <v>17.033999999999999</v>
      </c>
      <c r="F427" s="2" t="str" cm="1">
        <f t="array" ref="F427">IFERROR(_xlfn.XLOOKUP(A427,Sheet2!$A$2:$A$1453,Sheet2!$F$2:$F$1453),_xlfn.XLOOKUP(A427,TEXT(Sheet2!$A$2:$A$1453,"0"),Sheet2!$F$2:$F$1453,""))</f>
        <v>26-7-2026</v>
      </c>
      <c r="G427" s="2" t="str" cm="1">
        <f t="array" ref="G427">IFERROR(_xlfn.XLOOKUP(A427,Sheet2!$A$2:$A$1453,Sheet2!$G$2:$G$1453),_xlfn.XLOOKUP(A427,TEXT(Sheet2!$A$2:$A$1453,"0"),Sheet2!$G$2:$G$1453,""))</f>
        <v>6-8-2026</v>
      </c>
    </row>
    <row r="428" spans="1:7" x14ac:dyDescent="0.2">
      <c r="A428" s="1">
        <v>20309020030</v>
      </c>
      <c r="B428" t="str" cm="1">
        <f t="array" ref="B428">IFERROR(_xlfn.XLOOKUP(A428,Sheet2!$A$2:$A$1453,Sheet2!$B$2:$B$1453),_xlfn.XLOOKUP(A428,TEXT(Sheet2!$A$2:$A$1453,"0"),Sheet2!$B$2:$B$1453,""))</f>
        <v>NIVEA LOTION  NORISHING EXTRA DRY 400 ML 80014</v>
      </c>
      <c r="C428" s="2">
        <v>27.77</v>
      </c>
      <c r="D428" s="2" cm="1">
        <f t="array" ref="D428">_xlfn.LET(_xlpm.v,IFERROR(_xlfn.XLOOKUP(A428,Sheet2!$A$2:$A$1453,Sheet2!$D$2:$D$1453),_xlfn.XLOOKUP(A428,TEXT(Sheet2!$A$2:$A$1453,"0"),Sheet2!$D$2:$D$1453,"")),IF(_xlpm.v="","",IF(_xlpm.v&lt;1,_xlpm.v*100,_xlpm.v)))</f>
        <v>15</v>
      </c>
      <c r="E428" s="2">
        <f t="shared" si="6"/>
        <v>23.604499999999998</v>
      </c>
      <c r="F428" s="2" t="str" cm="1">
        <f t="array" ref="F428">IFERROR(_xlfn.XLOOKUP(A428,Sheet2!$A$2:$A$1453,Sheet2!$F$2:$F$1453),_xlfn.XLOOKUP(A428,TEXT(Sheet2!$A$2:$A$1453,"0"),Sheet2!$F$2:$F$1453,""))</f>
        <v>26-7-2026</v>
      </c>
      <c r="G428" s="2" t="str" cm="1">
        <f t="array" ref="G428">IFERROR(_xlfn.XLOOKUP(A428,Sheet2!$A$2:$A$1453,Sheet2!$G$2:$G$1453),_xlfn.XLOOKUP(A428,TEXT(Sheet2!$A$2:$A$1453,"0"),Sheet2!$G$2:$G$1453,""))</f>
        <v>6-8-2026</v>
      </c>
    </row>
    <row r="429" spans="1:7" x14ac:dyDescent="0.2">
      <c r="A429" s="1">
        <v>30420010299</v>
      </c>
      <c r="B429" t="str" cm="1">
        <f t="array" ref="B429">IFERROR(_xlfn.XLOOKUP(A429,Sheet2!$A$2:$A$1453,Sheet2!$B$2:$B$1453),_xlfn.XLOOKUP(A429,TEXT(Sheet2!$A$2:$A$1453,"0"),Sheet2!$B$2:$B$1453,""))</f>
        <v>Masculan Condom Douple Protection 10</v>
      </c>
      <c r="C429" s="2">
        <v>32</v>
      </c>
      <c r="D429" s="2" cm="1">
        <f t="array" ref="D429">_xlfn.LET(_xlpm.v,IFERROR(_xlfn.XLOOKUP(A429,Sheet2!$A$2:$A$1453,Sheet2!$D$2:$D$1453),_xlfn.XLOOKUP(A429,TEXT(Sheet2!$A$2:$A$1453,"0"),Sheet2!$D$2:$D$1453,"")),IF(_xlpm.v="","",IF(_xlpm.v&lt;1,_xlpm.v*100,_xlpm.v)))</f>
        <v>15</v>
      </c>
      <c r="E429" s="2">
        <f t="shared" si="6"/>
        <v>27.2</v>
      </c>
      <c r="F429" s="2" t="str" cm="1">
        <f t="array" ref="F429">IFERROR(_xlfn.XLOOKUP(A429,Sheet2!$A$2:$A$1453,Sheet2!$F$2:$F$1453),_xlfn.XLOOKUP(A429,TEXT(Sheet2!$A$2:$A$1453,"0"),Sheet2!$F$2:$F$1453,""))</f>
        <v>26-7-2026</v>
      </c>
      <c r="G429" s="2" t="str" cm="1">
        <f t="array" ref="G429">IFERROR(_xlfn.XLOOKUP(A429,Sheet2!$A$2:$A$1453,Sheet2!$G$2:$G$1453),_xlfn.XLOOKUP(A429,TEXT(Sheet2!$A$2:$A$1453,"0"),Sheet2!$G$2:$G$1453,""))</f>
        <v>6-8-2026</v>
      </c>
    </row>
    <row r="430" spans="1:7" x14ac:dyDescent="0.2">
      <c r="A430" s="1">
        <v>20309502161</v>
      </c>
      <c r="B430" t="str" cm="1">
        <f t="array" ref="B430">IFERROR(_xlfn.XLOOKUP(A430,Sheet2!$A$2:$A$1453,Sheet2!$B$2:$B$1453),_xlfn.XLOOKUP(A430,TEXT(Sheet2!$A$2:$A$1453,"0"),Sheet2!$B$2:$B$1453,""))</f>
        <v>MASCULAN 10 CONDOMS RIBBED+D</v>
      </c>
      <c r="C430" s="2">
        <v>25.6</v>
      </c>
      <c r="D430" s="2" cm="1">
        <f t="array" ref="D430">_xlfn.LET(_xlpm.v,IFERROR(_xlfn.XLOOKUP(A430,Sheet2!$A$2:$A$1453,Sheet2!$D$2:$D$1453),_xlfn.XLOOKUP(A430,TEXT(Sheet2!$A$2:$A$1453,"0"),Sheet2!$D$2:$D$1453,"")),IF(_xlpm.v="","",IF(_xlpm.v&lt;1,_xlpm.v*100,_xlpm.v)))</f>
        <v>15</v>
      </c>
      <c r="E430" s="2">
        <f t="shared" si="6"/>
        <v>21.76</v>
      </c>
      <c r="F430" s="2" t="str" cm="1">
        <f t="array" ref="F430">IFERROR(_xlfn.XLOOKUP(A430,Sheet2!$A$2:$A$1453,Sheet2!$F$2:$F$1453),_xlfn.XLOOKUP(A430,TEXT(Sheet2!$A$2:$A$1453,"0"),Sheet2!$F$2:$F$1453,""))</f>
        <v>26-7-2026</v>
      </c>
      <c r="G430" s="2" t="str" cm="1">
        <f t="array" ref="G430">IFERROR(_xlfn.XLOOKUP(A430,Sheet2!$A$2:$A$1453,Sheet2!$G$2:$G$1453),_xlfn.XLOOKUP(A430,TEXT(Sheet2!$A$2:$A$1453,"0"),Sheet2!$G$2:$G$1453,""))</f>
        <v>6-8-2026</v>
      </c>
    </row>
    <row r="431" spans="1:7" x14ac:dyDescent="0.2">
      <c r="A431" s="1">
        <v>30420010298</v>
      </c>
      <c r="B431" t="str" cm="1">
        <f t="array" ref="B431">IFERROR(_xlfn.XLOOKUP(A431,Sheet2!$A$2:$A$1453,Sheet2!$B$2:$B$1453),_xlfn.XLOOKUP(A431,TEXT(Sheet2!$A$2:$A$1453,"0"),Sheet2!$B$2:$B$1453,""))</f>
        <v>MASCULAN LONG PLEASURE 3PCS </v>
      </c>
      <c r="C431" s="2">
        <v>25</v>
      </c>
      <c r="D431" s="2" cm="1">
        <f t="array" ref="D431">_xlfn.LET(_xlpm.v,IFERROR(_xlfn.XLOOKUP(A431,Sheet2!$A$2:$A$1453,Sheet2!$D$2:$D$1453),_xlfn.XLOOKUP(A431,TEXT(Sheet2!$A$2:$A$1453,"0"),Sheet2!$D$2:$D$1453,"")),IF(_xlpm.v="","",IF(_xlpm.v&lt;1,_xlpm.v*100,_xlpm.v)))</f>
        <v>15</v>
      </c>
      <c r="E431" s="2">
        <f t="shared" si="6"/>
        <v>21.25</v>
      </c>
      <c r="F431" s="2" t="str" cm="1">
        <f t="array" ref="F431">IFERROR(_xlfn.XLOOKUP(A431,Sheet2!$A$2:$A$1453,Sheet2!$F$2:$F$1453),_xlfn.XLOOKUP(A431,TEXT(Sheet2!$A$2:$A$1453,"0"),Sheet2!$F$2:$F$1453,""))</f>
        <v>26-7-2026</v>
      </c>
      <c r="G431" s="2" t="str" cm="1">
        <f t="array" ref="G431">IFERROR(_xlfn.XLOOKUP(A431,Sheet2!$A$2:$A$1453,Sheet2!$G$2:$G$1453),_xlfn.XLOOKUP(A431,TEXT(Sheet2!$A$2:$A$1453,"0"),Sheet2!$G$2:$G$1453,""))</f>
        <v>6-8-2026</v>
      </c>
    </row>
    <row r="432" spans="1:7" x14ac:dyDescent="0.2">
      <c r="A432" s="1">
        <v>20309502163</v>
      </c>
      <c r="B432" t="str" cm="1">
        <f t="array" ref="B432">IFERROR(_xlfn.XLOOKUP(A432,Sheet2!$A$2:$A$1453,Sheet2!$B$2:$B$1453),_xlfn.XLOOKUP(A432,TEXT(Sheet2!$A$2:$A$1453,"0"),Sheet2!$B$2:$B$1453,""))</f>
        <v>MASCULAN 3 CONDOMS DOTTED N</v>
      </c>
      <c r="C432" s="2">
        <v>16.5</v>
      </c>
      <c r="D432" s="2" cm="1">
        <f t="array" ref="D432">_xlfn.LET(_xlpm.v,IFERROR(_xlfn.XLOOKUP(A432,Sheet2!$A$2:$A$1453,Sheet2!$D$2:$D$1453),_xlfn.XLOOKUP(A432,TEXT(Sheet2!$A$2:$A$1453,"0"),Sheet2!$D$2:$D$1453,"")),IF(_xlpm.v="","",IF(_xlpm.v&lt;1,_xlpm.v*100,_xlpm.v)))</f>
        <v>15</v>
      </c>
      <c r="E432" s="2">
        <f t="shared" si="6"/>
        <v>14.025</v>
      </c>
      <c r="F432" s="2" t="str" cm="1">
        <f t="array" ref="F432">IFERROR(_xlfn.XLOOKUP(A432,Sheet2!$A$2:$A$1453,Sheet2!$F$2:$F$1453),_xlfn.XLOOKUP(A432,TEXT(Sheet2!$A$2:$A$1453,"0"),Sheet2!$F$2:$F$1453,""))</f>
        <v>26-7-2026</v>
      </c>
      <c r="G432" s="2" t="str" cm="1">
        <f t="array" ref="G432">IFERROR(_xlfn.XLOOKUP(A432,Sheet2!$A$2:$A$1453,Sheet2!$G$2:$G$1453),_xlfn.XLOOKUP(A432,TEXT(Sheet2!$A$2:$A$1453,"0"),Sheet2!$G$2:$G$1453,""))</f>
        <v>6-8-2026</v>
      </c>
    </row>
    <row r="433" spans="1:7" x14ac:dyDescent="0.2">
      <c r="A433" s="1">
        <v>30420010725</v>
      </c>
      <c r="B433" t="str" cm="1">
        <f t="array" ref="B433">IFERROR(_xlfn.XLOOKUP(A433,Sheet2!$A$2:$A$1453,Sheet2!$B$2:$B$1453),_xlfn.XLOOKUP(A433,TEXT(Sheet2!$A$2:$A$1453,"0"),Sheet2!$B$2:$B$1453,""))</f>
        <v>MASCULAN CONDOM SILK PUR 3PC</v>
      </c>
      <c r="C433" s="2">
        <v>25</v>
      </c>
      <c r="D433" s="2" cm="1">
        <f t="array" ref="D433">_xlfn.LET(_xlpm.v,IFERROR(_xlfn.XLOOKUP(A433,Sheet2!$A$2:$A$1453,Sheet2!$D$2:$D$1453),_xlfn.XLOOKUP(A433,TEXT(Sheet2!$A$2:$A$1453,"0"),Sheet2!$D$2:$D$1453,"")),IF(_xlpm.v="","",IF(_xlpm.v&lt;1,_xlpm.v*100,_xlpm.v)))</f>
        <v>15</v>
      </c>
      <c r="E433" s="2">
        <f t="shared" si="6"/>
        <v>21.25</v>
      </c>
      <c r="F433" s="2" t="str" cm="1">
        <f t="array" ref="F433">IFERROR(_xlfn.XLOOKUP(A433,Sheet2!$A$2:$A$1453,Sheet2!$F$2:$F$1453),_xlfn.XLOOKUP(A433,TEXT(Sheet2!$A$2:$A$1453,"0"),Sheet2!$F$2:$F$1453,""))</f>
        <v>26-7-2026</v>
      </c>
      <c r="G433" s="2" t="str" cm="1">
        <f t="array" ref="G433">IFERROR(_xlfn.XLOOKUP(A433,Sheet2!$A$2:$A$1453,Sheet2!$G$2:$G$1453),_xlfn.XLOOKUP(A433,TEXT(Sheet2!$A$2:$A$1453,"0"),Sheet2!$G$2:$G$1453,""))</f>
        <v>6-8-2026</v>
      </c>
    </row>
    <row r="434" spans="1:7" x14ac:dyDescent="0.2">
      <c r="A434" s="1">
        <v>20309502160</v>
      </c>
      <c r="B434" t="str" cm="1">
        <f t="array" ref="B434">IFERROR(_xlfn.XLOOKUP(A434,Sheet2!$A$2:$A$1453,Sheet2!$B$2:$B$1453),_xlfn.XLOOKUP(A434,TEXT(Sheet2!$A$2:$A$1453,"0"),Sheet2!$B$2:$B$1453,""))</f>
        <v>MASCULAN 10 CONDOMS DOTTED </v>
      </c>
      <c r="C434" s="2">
        <v>25.6</v>
      </c>
      <c r="D434" s="2" cm="1">
        <f t="array" ref="D434">_xlfn.LET(_xlpm.v,IFERROR(_xlfn.XLOOKUP(A434,Sheet2!$A$2:$A$1453,Sheet2!$D$2:$D$1453),_xlfn.XLOOKUP(A434,TEXT(Sheet2!$A$2:$A$1453,"0"),Sheet2!$D$2:$D$1453,"")),IF(_xlpm.v="","",IF(_xlpm.v&lt;1,_xlpm.v*100,_xlpm.v)))</f>
        <v>15</v>
      </c>
      <c r="E434" s="2">
        <f t="shared" si="6"/>
        <v>21.76</v>
      </c>
      <c r="F434" s="2" t="str" cm="1">
        <f t="array" ref="F434">IFERROR(_xlfn.XLOOKUP(A434,Sheet2!$A$2:$A$1453,Sheet2!$F$2:$F$1453),_xlfn.XLOOKUP(A434,TEXT(Sheet2!$A$2:$A$1453,"0"),Sheet2!$F$2:$F$1453,""))</f>
        <v>26-7-2026</v>
      </c>
      <c r="G434" s="2" t="str" cm="1">
        <f t="array" ref="G434">IFERROR(_xlfn.XLOOKUP(A434,Sheet2!$A$2:$A$1453,Sheet2!$G$2:$G$1453),_xlfn.XLOOKUP(A434,TEXT(Sheet2!$A$2:$A$1453,"0"),Sheet2!$G$2:$G$1453,""))</f>
        <v>6-8-2026</v>
      </c>
    </row>
    <row r="435" spans="1:7" x14ac:dyDescent="0.2">
      <c r="A435" s="1">
        <v>30420010721</v>
      </c>
      <c r="B435" t="str" cm="1">
        <f t="array" ref="B435">IFERROR(_xlfn.XLOOKUP(A435,Sheet2!$A$2:$A$1453,Sheet2!$B$2:$B$1453),_xlfn.XLOOKUP(A435,TEXT(Sheet2!$A$2:$A$1453,"0"),Sheet2!$B$2:$B$1453,""))</f>
        <v>Masculan  Condom Silk Pure 10PCS. 114</v>
      </c>
      <c r="C435" s="2">
        <v>36</v>
      </c>
      <c r="D435" s="2" cm="1">
        <f t="array" ref="D435">_xlfn.LET(_xlpm.v,IFERROR(_xlfn.XLOOKUP(A435,Sheet2!$A$2:$A$1453,Sheet2!$D$2:$D$1453),_xlfn.XLOOKUP(A435,TEXT(Sheet2!$A$2:$A$1453,"0"),Sheet2!$D$2:$D$1453,"")),IF(_xlpm.v="","",IF(_xlpm.v&lt;1,_xlpm.v*100,_xlpm.v)))</f>
        <v>15</v>
      </c>
      <c r="E435" s="2">
        <f t="shared" si="6"/>
        <v>30.599999999999998</v>
      </c>
      <c r="F435" s="2" t="str" cm="1">
        <f t="array" ref="F435">IFERROR(_xlfn.XLOOKUP(A435,Sheet2!$A$2:$A$1453,Sheet2!$F$2:$F$1453),_xlfn.XLOOKUP(A435,TEXT(Sheet2!$A$2:$A$1453,"0"),Sheet2!$F$2:$F$1453,""))</f>
        <v>26-7-2026</v>
      </c>
      <c r="G435" s="2" t="str" cm="1">
        <f t="array" ref="G435">IFERROR(_xlfn.XLOOKUP(A435,Sheet2!$A$2:$A$1453,Sheet2!$G$2:$G$1453),_xlfn.XLOOKUP(A435,TEXT(Sheet2!$A$2:$A$1453,"0"),Sheet2!$G$2:$G$1453,""))</f>
        <v>6-8-2026</v>
      </c>
    </row>
    <row r="436" spans="1:7" x14ac:dyDescent="0.2">
      <c r="A436" s="1" t="s">
        <v>34</v>
      </c>
      <c r="B436" t="str" cm="1">
        <f t="array" ref="B436">IFERROR(_xlfn.XLOOKUP(A436,Sheet2!$A$2:$A$1453,Sheet2!$B$2:$B$1453),_xlfn.XLOOKUP(A436,TEXT(Sheet2!$A$2:$A$1453,"0"),Sheet2!$B$2:$B$1453,""))</f>
        <v>NOSTRIDERM  Ointment , 50 ML/TUBE</v>
      </c>
      <c r="C436" s="2">
        <v>74.75</v>
      </c>
      <c r="D436" s="2" cm="1">
        <f t="array" ref="D436">_xlfn.LET(_xlpm.v,IFERROR(_xlfn.XLOOKUP(A436,Sheet2!$A$2:$A$1453,Sheet2!$D$2:$D$1453),_xlfn.XLOOKUP(A436,TEXT(Sheet2!$A$2:$A$1453,"0"),Sheet2!$D$2:$D$1453,"")),IF(_xlpm.v="","",IF(_xlpm.v&lt;1,_xlpm.v*100,_xlpm.v)))</f>
        <v>35</v>
      </c>
      <c r="E436" s="2">
        <f t="shared" si="6"/>
        <v>48.587499999999999</v>
      </c>
      <c r="F436" s="2" t="str" cm="1">
        <f t="array" ref="F436">IFERROR(_xlfn.XLOOKUP(A436,Sheet2!$A$2:$A$1453,Sheet2!$F$2:$F$1453),_xlfn.XLOOKUP(A436,TEXT(Sheet2!$A$2:$A$1453,"0"),Sheet2!$F$2:$F$1453,""))</f>
        <v>26-7-2026</v>
      </c>
      <c r="G436" s="2" t="str" cm="1">
        <f t="array" ref="G436">IFERROR(_xlfn.XLOOKUP(A436,Sheet2!$A$2:$A$1453,Sheet2!$G$2:$G$1453),_xlfn.XLOOKUP(A436,TEXT(Sheet2!$A$2:$A$1453,"0"),Sheet2!$G$2:$G$1453,""))</f>
        <v>6-8-2026</v>
      </c>
    </row>
    <row r="437" spans="1:7" x14ac:dyDescent="0.2">
      <c r="A437" s="1" t="s">
        <v>35</v>
      </c>
      <c r="B437" t="str" cm="1">
        <f t="array" ref="B437">IFERROR(_xlfn.XLOOKUP(A437,Sheet2!$A$2:$A$1453,Sheet2!$B$2:$B$1453),_xlfn.XLOOKUP(A437,TEXT(Sheet2!$A$2:$A$1453,"0"),Sheet2!$B$2:$B$1453,""))</f>
        <v>RIZER apply Cream, 75 ML/TUBE</v>
      </c>
      <c r="C437" s="2">
        <v>69</v>
      </c>
      <c r="D437" s="2" cm="1">
        <f t="array" ref="D437">_xlfn.LET(_xlpm.v,IFERROR(_xlfn.XLOOKUP(A437,Sheet2!$A$2:$A$1453,Sheet2!$D$2:$D$1453),_xlfn.XLOOKUP(A437,TEXT(Sheet2!$A$2:$A$1453,"0"),Sheet2!$D$2:$D$1453,"")),IF(_xlpm.v="","",IF(_xlpm.v&lt;1,_xlpm.v*100,_xlpm.v)))</f>
        <v>35</v>
      </c>
      <c r="E437" s="2">
        <f t="shared" si="6"/>
        <v>44.85</v>
      </c>
      <c r="F437" s="2" t="str" cm="1">
        <f t="array" ref="F437">IFERROR(_xlfn.XLOOKUP(A437,Sheet2!$A$2:$A$1453,Sheet2!$F$2:$F$1453),_xlfn.XLOOKUP(A437,TEXT(Sheet2!$A$2:$A$1453,"0"),Sheet2!$F$2:$F$1453,""))</f>
        <v>26-7-2026</v>
      </c>
      <c r="G437" s="2" t="str" cm="1">
        <f t="array" ref="G437">IFERROR(_xlfn.XLOOKUP(A437,Sheet2!$A$2:$A$1453,Sheet2!$G$2:$G$1453),_xlfn.XLOOKUP(A437,TEXT(Sheet2!$A$2:$A$1453,"0"),Sheet2!$G$2:$G$1453,""))</f>
        <v>6-8-2026</v>
      </c>
    </row>
    <row r="438" spans="1:7" x14ac:dyDescent="0.2">
      <c r="A438" s="1">
        <v>30420013720</v>
      </c>
      <c r="B438" t="str" cm="1">
        <f t="array" ref="B438">IFERROR(_xlfn.XLOOKUP(A438,Sheet2!$A$2:$A$1453,Sheet2!$B$2:$B$1453),_xlfn.XLOOKUP(A438,TEXT(Sheet2!$A$2:$A$1453,"0"),Sheet2!$B$2:$B$1453,""))</f>
        <v>WHITE GLO WHITENING MOUT</v>
      </c>
      <c r="C438" s="2">
        <v>28.9</v>
      </c>
      <c r="D438" s="2" cm="1">
        <f t="array" ref="D438">_xlfn.LET(_xlpm.v,IFERROR(_xlfn.XLOOKUP(A438,Sheet2!$A$2:$A$1453,Sheet2!$D$2:$D$1453),_xlfn.XLOOKUP(A438,TEXT(Sheet2!$A$2:$A$1453,"0"),Sheet2!$D$2:$D$1453,"")),IF(_xlpm.v="","",IF(_xlpm.v&lt;1,_xlpm.v*100,_xlpm.v)))</f>
        <v>30</v>
      </c>
      <c r="E438" s="2">
        <f t="shared" si="6"/>
        <v>20.229999999999997</v>
      </c>
      <c r="F438" s="2" t="str" cm="1">
        <f t="array" ref="F438">IFERROR(_xlfn.XLOOKUP(A438,Sheet2!$A$2:$A$1453,Sheet2!$F$2:$F$1453),_xlfn.XLOOKUP(A438,TEXT(Sheet2!$A$2:$A$1453,"0"),Sheet2!$F$2:$F$1453,""))</f>
        <v>26-7-2026</v>
      </c>
      <c r="G438" s="2" t="str" cm="1">
        <f t="array" ref="G438">IFERROR(_xlfn.XLOOKUP(A438,Sheet2!$A$2:$A$1453,Sheet2!$G$2:$G$1453),_xlfn.XLOOKUP(A438,TEXT(Sheet2!$A$2:$A$1453,"0"),Sheet2!$G$2:$G$1453,""))</f>
        <v>6-8-2026</v>
      </c>
    </row>
    <row r="439" spans="1:7" x14ac:dyDescent="0.2">
      <c r="A439" s="1">
        <v>20309030082</v>
      </c>
      <c r="B439" t="str" cm="1">
        <f t="array" ref="B439">IFERROR(_xlfn.XLOOKUP(A439,Sheet2!$A$2:$A$1453,Sheet2!$B$2:$B$1453),_xlfn.XLOOKUP(A439,TEXT(Sheet2!$A$2:$A$1453,"0"),Sheet2!$B$2:$B$1453,""))</f>
        <v>HIMALAYA HERBALS CLEAR CO</v>
      </c>
      <c r="C439" s="2">
        <v>39.35</v>
      </c>
      <c r="D439" s="2" cm="1">
        <f t="array" ref="D439">_xlfn.LET(_xlpm.v,IFERROR(_xlfn.XLOOKUP(A439,Sheet2!$A$2:$A$1453,Sheet2!$D$2:$D$1453),_xlfn.XLOOKUP(A439,TEXT(Sheet2!$A$2:$A$1453,"0"),Sheet2!$D$2:$D$1453,"")),IF(_xlpm.v="","",IF(_xlpm.v&lt;1,_xlpm.v*100,_xlpm.v)))</f>
        <v>25</v>
      </c>
      <c r="E439" s="2">
        <f t="shared" si="6"/>
        <v>29.512500000000003</v>
      </c>
      <c r="F439" s="2" t="str" cm="1">
        <f t="array" ref="F439">IFERROR(_xlfn.XLOOKUP(A439,Sheet2!$A$2:$A$1453,Sheet2!$F$2:$F$1453),_xlfn.XLOOKUP(A439,TEXT(Sheet2!$A$2:$A$1453,"0"),Sheet2!$F$2:$F$1453,""))</f>
        <v>26-7-2026</v>
      </c>
      <c r="G439" s="2" t="str" cm="1">
        <f t="array" ref="G439">IFERROR(_xlfn.XLOOKUP(A439,Sheet2!$A$2:$A$1453,Sheet2!$G$2:$G$1453),_xlfn.XLOOKUP(A439,TEXT(Sheet2!$A$2:$A$1453,"0"),Sheet2!$G$2:$G$1453,""))</f>
        <v>6-8-2026</v>
      </c>
    </row>
    <row r="440" spans="1:7" x14ac:dyDescent="0.2">
      <c r="A440" s="1">
        <v>20309020766</v>
      </c>
      <c r="B440" t="str" cm="1">
        <f t="array" ref="B440">IFERROR(_xlfn.XLOOKUP(A440,Sheet2!$A$2:$A$1453,Sheet2!$B$2:$B$1453),_xlfn.XLOOKUP(A440,TEXT(Sheet2!$A$2:$A$1453,"0"),Sheet2!$B$2:$B$1453,""))</f>
        <v>HIMALAYA HERBALS OIL CON</v>
      </c>
      <c r="C440" s="2">
        <v>39.35</v>
      </c>
      <c r="D440" s="2" cm="1">
        <f t="array" ref="D440">_xlfn.LET(_xlpm.v,IFERROR(_xlfn.XLOOKUP(A440,Sheet2!$A$2:$A$1453,Sheet2!$D$2:$D$1453),_xlfn.XLOOKUP(A440,TEXT(Sheet2!$A$2:$A$1453,"0"),Sheet2!$D$2:$D$1453,"")),IF(_xlpm.v="","",IF(_xlpm.v&lt;1,_xlpm.v*100,_xlpm.v)))</f>
        <v>25</v>
      </c>
      <c r="E440" s="2">
        <f t="shared" si="6"/>
        <v>29.512500000000003</v>
      </c>
      <c r="F440" s="2" t="str" cm="1">
        <f t="array" ref="F440">IFERROR(_xlfn.XLOOKUP(A440,Sheet2!$A$2:$A$1453,Sheet2!$F$2:$F$1453),_xlfn.XLOOKUP(A440,TEXT(Sheet2!$A$2:$A$1453,"0"),Sheet2!$F$2:$F$1453,""))</f>
        <v>26-7-2026</v>
      </c>
      <c r="G440" s="2" t="str" cm="1">
        <f t="array" ref="G440">IFERROR(_xlfn.XLOOKUP(A440,Sheet2!$A$2:$A$1453,Sheet2!$G$2:$G$1453),_xlfn.XLOOKUP(A440,TEXT(Sheet2!$A$2:$A$1453,"0"),Sheet2!$G$2:$G$1453,""))</f>
        <v>6-8-2026</v>
      </c>
    </row>
    <row r="441" spans="1:7" x14ac:dyDescent="0.2">
      <c r="A441" s="1">
        <v>20309020614</v>
      </c>
      <c r="B441" t="str" cm="1">
        <f t="array" ref="B441">IFERROR(_xlfn.XLOOKUP(A441,Sheet2!$A$2:$A$1453,Sheet2!$B$2:$B$1453),_xlfn.XLOOKUP(A441,TEXT(Sheet2!$A$2:$A$1453,"0"),Sheet2!$B$2:$B$1453,""))</f>
        <v>HIMALAYA HERBALS PURIFYIN</v>
      </c>
      <c r="C441" s="2">
        <v>37.229999999999997</v>
      </c>
      <c r="D441" s="2" cm="1">
        <f t="array" ref="D441">_xlfn.LET(_xlpm.v,IFERROR(_xlfn.XLOOKUP(A441,Sheet2!$A$2:$A$1453,Sheet2!$D$2:$D$1453),_xlfn.XLOOKUP(A441,TEXT(Sheet2!$A$2:$A$1453,"0"),Sheet2!$D$2:$D$1453,"")),IF(_xlpm.v="","",IF(_xlpm.v&lt;1,_xlpm.v*100,_xlpm.v)))</f>
        <v>25</v>
      </c>
      <c r="E441" s="2">
        <f t="shared" si="6"/>
        <v>27.922499999999999</v>
      </c>
      <c r="F441" s="2" t="str" cm="1">
        <f t="array" ref="F441">IFERROR(_xlfn.XLOOKUP(A441,Sheet2!$A$2:$A$1453,Sheet2!$F$2:$F$1453),_xlfn.XLOOKUP(A441,TEXT(Sheet2!$A$2:$A$1453,"0"),Sheet2!$F$2:$F$1453,""))</f>
        <v>26-7-2026</v>
      </c>
      <c r="G441" s="2" t="str" cm="1">
        <f t="array" ref="G441">IFERROR(_xlfn.XLOOKUP(A441,Sheet2!$A$2:$A$1453,Sheet2!$G$2:$G$1453),_xlfn.XLOOKUP(A441,TEXT(Sheet2!$A$2:$A$1453,"0"),Sheet2!$G$2:$G$1453,""))</f>
        <v>6-8-2026</v>
      </c>
    </row>
    <row r="442" spans="1:7" x14ac:dyDescent="0.2">
      <c r="A442" s="1">
        <v>20309503231</v>
      </c>
      <c r="B442" t="str" cm="1">
        <f t="array" ref="B442">IFERROR(_xlfn.XLOOKUP(A442,Sheet2!$A$2:$A$1453,Sheet2!$B$2:$B$1453),_xlfn.XLOOKUP(A442,TEXT(Sheet2!$A$2:$A$1453,"0"),Sheet2!$B$2:$B$1453,""))</f>
        <v>HIMALAYA DETOX CHARCOAL</v>
      </c>
      <c r="C442" s="2">
        <v>37.229999999999997</v>
      </c>
      <c r="D442" s="2" cm="1">
        <f t="array" ref="D442">_xlfn.LET(_xlpm.v,IFERROR(_xlfn.XLOOKUP(A442,Sheet2!$A$2:$A$1453,Sheet2!$D$2:$D$1453),_xlfn.XLOOKUP(A442,TEXT(Sheet2!$A$2:$A$1453,"0"),Sheet2!$D$2:$D$1453,"")),IF(_xlpm.v="","",IF(_xlpm.v&lt;1,_xlpm.v*100,_xlpm.v)))</f>
        <v>25</v>
      </c>
      <c r="E442" s="2">
        <f t="shared" si="6"/>
        <v>27.922499999999999</v>
      </c>
      <c r="F442" s="2" t="str" cm="1">
        <f t="array" ref="F442">IFERROR(_xlfn.XLOOKUP(A442,Sheet2!$A$2:$A$1453,Sheet2!$F$2:$F$1453),_xlfn.XLOOKUP(A442,TEXT(Sheet2!$A$2:$A$1453,"0"),Sheet2!$F$2:$F$1453,""))</f>
        <v>26-7-2026</v>
      </c>
      <c r="G442" s="2" t="str" cm="1">
        <f t="array" ref="G442">IFERROR(_xlfn.XLOOKUP(A442,Sheet2!$A$2:$A$1453,Sheet2!$G$2:$G$1453),_xlfn.XLOOKUP(A442,TEXT(Sheet2!$A$2:$A$1453,"0"),Sheet2!$G$2:$G$1453,""))</f>
        <v>6-8-2026</v>
      </c>
    </row>
    <row r="443" spans="1:7" x14ac:dyDescent="0.2">
      <c r="A443" s="1" t="s">
        <v>37</v>
      </c>
      <c r="B443" t="str" cm="1">
        <f t="array" ref="B443">IFERROR(_xlfn.XLOOKUP(A443,Sheet2!$A$2:$A$1453,Sheet2!$B$2:$B$1453),_xlfn.XLOOKUP(A443,TEXT(Sheet2!$A$2:$A$1453,"0"),Sheet2!$B$2:$B$1453,""))</f>
        <v>MAW FERRO CARE  Orodispersible strip , 30 STRIP/BOX</v>
      </c>
      <c r="C443" s="2">
        <v>79.010000000000005</v>
      </c>
      <c r="D443" s="2" cm="1">
        <f t="array" ref="D443">_xlfn.LET(_xlpm.v,IFERROR(_xlfn.XLOOKUP(A443,Sheet2!$A$2:$A$1453,Sheet2!$D$2:$D$1453),_xlfn.XLOOKUP(A443,TEXT(Sheet2!$A$2:$A$1453,"0"),Sheet2!$D$2:$D$1453,"")),IF(_xlpm.v="","",IF(_xlpm.v&lt;1,_xlpm.v*100,_xlpm.v)))</f>
        <v>50</v>
      </c>
      <c r="E443" s="2">
        <f t="shared" si="6"/>
        <v>39.505000000000003</v>
      </c>
      <c r="F443" s="2" t="str" cm="1">
        <f t="array" ref="F443">IFERROR(_xlfn.XLOOKUP(A443,Sheet2!$A$2:$A$1453,Sheet2!$F$2:$F$1453),_xlfn.XLOOKUP(A443,TEXT(Sheet2!$A$2:$A$1453,"0"),Sheet2!$F$2:$F$1453,""))</f>
        <v>26-7-2026</v>
      </c>
      <c r="G443" s="2" t="str" cm="1">
        <f t="array" ref="G443">IFERROR(_xlfn.XLOOKUP(A443,Sheet2!$A$2:$A$1453,Sheet2!$G$2:$G$1453),_xlfn.XLOOKUP(A443,TEXT(Sheet2!$A$2:$A$1453,"0"),Sheet2!$G$2:$G$1453,""))</f>
        <v>6-8-2026</v>
      </c>
    </row>
    <row r="444" spans="1:7" x14ac:dyDescent="0.2">
      <c r="A444" s="1" t="s">
        <v>38</v>
      </c>
      <c r="B444" t="str" cm="1">
        <f t="array" ref="B444">IFERROR(_xlfn.XLOOKUP(A444,Sheet2!$A$2:$A$1453,Sheet2!$B$2:$B$1453),_xlfn.XLOOKUP(A444,TEXT(Sheet2!$A$2:$A$1453,"0"),Sheet2!$B$2:$B$1453,""))</f>
        <v>MAW STRONG HAIR &amp; NAILS tablet, 30 CHEWABLE TABLET/BOX</v>
      </c>
      <c r="C444" s="2">
        <v>138</v>
      </c>
      <c r="D444" s="2" cm="1">
        <f t="array" ref="D444">_xlfn.LET(_xlpm.v,IFERROR(_xlfn.XLOOKUP(A444,Sheet2!$A$2:$A$1453,Sheet2!$D$2:$D$1453),_xlfn.XLOOKUP(A444,TEXT(Sheet2!$A$2:$A$1453,"0"),Sheet2!$D$2:$D$1453,"")),IF(_xlpm.v="","",IF(_xlpm.v&lt;1,_xlpm.v*100,_xlpm.v)))</f>
        <v>50</v>
      </c>
      <c r="E444" s="2">
        <f t="shared" si="6"/>
        <v>69</v>
      </c>
      <c r="F444" s="2" t="str" cm="1">
        <f t="array" ref="F444">IFERROR(_xlfn.XLOOKUP(A444,Sheet2!$A$2:$A$1453,Sheet2!$F$2:$F$1453),_xlfn.XLOOKUP(A444,TEXT(Sheet2!$A$2:$A$1453,"0"),Sheet2!$F$2:$F$1453,""))</f>
        <v>26-7-2026</v>
      </c>
      <c r="G444" s="2" t="str" cm="1">
        <f t="array" ref="G444">IFERROR(_xlfn.XLOOKUP(A444,Sheet2!$A$2:$A$1453,Sheet2!$G$2:$G$1453),_xlfn.XLOOKUP(A444,TEXT(Sheet2!$A$2:$A$1453,"0"),Sheet2!$G$2:$G$1453,""))</f>
        <v>6-8-2026</v>
      </c>
    </row>
    <row r="445" spans="1:7" x14ac:dyDescent="0.2">
      <c r="A445" s="1" t="s">
        <v>39</v>
      </c>
      <c r="B445" t="str" cm="1">
        <f t="array" ref="B445">IFERROR(_xlfn.XLOOKUP(A445,Sheet2!$A$2:$A$1453,Sheet2!$B$2:$B$1453),_xlfn.XLOOKUP(A445,TEXT(Sheet2!$A$2:$A$1453,"0"),Sheet2!$B$2:$B$1453,""))</f>
        <v>OMEGA D3 PLUS 1000 mg/capsul</v>
      </c>
      <c r="C445" s="2">
        <v>149.01</v>
      </c>
      <c r="D445" s="2" cm="1">
        <f t="array" ref="D445">_xlfn.LET(_xlpm.v,IFERROR(_xlfn.XLOOKUP(A445,Sheet2!$A$2:$A$1453,Sheet2!$D$2:$D$1453),_xlfn.XLOOKUP(A445,TEXT(Sheet2!$A$2:$A$1453,"0"),Sheet2!$D$2:$D$1453,"")),IF(_xlpm.v="","",IF(_xlpm.v&lt;1,_xlpm.v*100,_xlpm.v)))</f>
        <v>50</v>
      </c>
      <c r="E445" s="2">
        <f t="shared" si="6"/>
        <v>74.504999999999995</v>
      </c>
      <c r="F445" s="2" t="str" cm="1">
        <f t="array" ref="F445">IFERROR(_xlfn.XLOOKUP(A445,Sheet2!$A$2:$A$1453,Sheet2!$F$2:$F$1453),_xlfn.XLOOKUP(A445,TEXT(Sheet2!$A$2:$A$1453,"0"),Sheet2!$F$2:$F$1453,""))</f>
        <v>26-7-2026</v>
      </c>
      <c r="G445" s="2" t="str" cm="1">
        <f t="array" ref="G445">IFERROR(_xlfn.XLOOKUP(A445,Sheet2!$A$2:$A$1453,Sheet2!$G$2:$G$1453),_xlfn.XLOOKUP(A445,TEXT(Sheet2!$A$2:$A$1453,"0"),Sheet2!$G$2:$G$1453,""))</f>
        <v>6-8-2026</v>
      </c>
    </row>
    <row r="446" spans="1:7" x14ac:dyDescent="0.2">
      <c r="A446" s="1" t="s">
        <v>40</v>
      </c>
      <c r="B446" t="str" cm="1">
        <f t="array" ref="B446">IFERROR(_xlfn.XLOOKUP(A446,Sheet2!$A$2:$A$1453,Sheet2!$B$2:$B$1453),_xlfn.XLOOKUP(A446,TEXT(Sheet2!$A$2:$A$1453,"0"),Sheet2!$B$2:$B$1453,""))</f>
        <v>MAW ROCKET 5000 SYRUP  Bottles, 60 ML/BOTTEL</v>
      </c>
      <c r="C446" s="2">
        <v>24.99</v>
      </c>
      <c r="D446" s="2" cm="1">
        <f t="array" ref="D446">_xlfn.LET(_xlpm.v,IFERROR(_xlfn.XLOOKUP(A446,Sheet2!$A$2:$A$1453,Sheet2!$D$2:$D$1453),_xlfn.XLOOKUP(A446,TEXT(Sheet2!$A$2:$A$1453,"0"),Sheet2!$D$2:$D$1453,"")),IF(_xlpm.v="","",IF(_xlpm.v&lt;1,_xlpm.v*100,_xlpm.v)))</f>
        <v>33</v>
      </c>
      <c r="E446" s="2">
        <f t="shared" si="6"/>
        <v>16.743299999999998</v>
      </c>
      <c r="F446" s="2" t="str" cm="1">
        <f t="array" ref="F446">IFERROR(_xlfn.XLOOKUP(A446,Sheet2!$A$2:$A$1453,Sheet2!$F$2:$F$1453),_xlfn.XLOOKUP(A446,TEXT(Sheet2!$A$2:$A$1453,"0"),Sheet2!$F$2:$F$1453,""))</f>
        <v>26-7-2026</v>
      </c>
      <c r="G446" s="2" t="str" cm="1">
        <f t="array" ref="G446">IFERROR(_xlfn.XLOOKUP(A446,Sheet2!$A$2:$A$1453,Sheet2!$G$2:$G$1453),_xlfn.XLOOKUP(A446,TEXT(Sheet2!$A$2:$A$1453,"0"),Sheet2!$G$2:$G$1453,""))</f>
        <v>6-8-2026</v>
      </c>
    </row>
    <row r="447" spans="1:7" x14ac:dyDescent="0.2">
      <c r="A447" s="1" t="s">
        <v>42</v>
      </c>
      <c r="B447" t="str" cm="1">
        <f t="array" ref="B447">IFERROR(_xlfn.XLOOKUP(A447,Sheet2!$A$2:$A$1453,Sheet2!$B$2:$B$1453),_xlfn.XLOOKUP(A447,TEXT(Sheet2!$A$2:$A$1453,"0"),Sheet2!$B$2:$B$1453,""))</f>
        <v>ASHWAG Capsule, 50 CAPSULE/BOTTLE</v>
      </c>
      <c r="C447" s="2">
        <v>86</v>
      </c>
      <c r="D447" s="2" cm="1">
        <f t="array" ref="D447">_xlfn.LET(_xlpm.v,IFERROR(_xlfn.XLOOKUP(A447,Sheet2!$A$2:$A$1453,Sheet2!$D$2:$D$1453),_xlfn.XLOOKUP(A447,TEXT(Sheet2!$A$2:$A$1453,"0"),Sheet2!$D$2:$D$1453,"")),IF(_xlpm.v="","",IF(_xlpm.v&lt;1,_xlpm.v*100,_xlpm.v)))</f>
        <v>30</v>
      </c>
      <c r="E447" s="2">
        <f t="shared" si="6"/>
        <v>60.199999999999996</v>
      </c>
      <c r="F447" s="2" t="str" cm="1">
        <f t="array" ref="F447">IFERROR(_xlfn.XLOOKUP(A447,Sheet2!$A$2:$A$1453,Sheet2!$F$2:$F$1453),_xlfn.XLOOKUP(A447,TEXT(Sheet2!$A$2:$A$1453,"0"),Sheet2!$F$2:$F$1453,""))</f>
        <v>26-7-2026</v>
      </c>
      <c r="G447" s="2" t="str" cm="1">
        <f t="array" ref="G447">IFERROR(_xlfn.XLOOKUP(A447,Sheet2!$A$2:$A$1453,Sheet2!$G$2:$G$1453),_xlfn.XLOOKUP(A447,TEXT(Sheet2!$A$2:$A$1453,"0"),Sheet2!$G$2:$G$1453,""))</f>
        <v>6-8-2026</v>
      </c>
    </row>
    <row r="448" spans="1:7" x14ac:dyDescent="0.2">
      <c r="A448" s="1" t="s">
        <v>43</v>
      </c>
      <c r="B448" t="str" cm="1">
        <f t="array" ref="B448">IFERROR(_xlfn.XLOOKUP(A448,Sheet2!$A$2:$A$1453,Sheet2!$B$2:$B$1453),_xlfn.XLOOKUP(A448,TEXT(Sheet2!$A$2:$A$1453,"0"),Sheet2!$B$2:$B$1453,""))</f>
        <v>UNIDOVE SUN SCREEN container Lotion, </v>
      </c>
      <c r="C448" s="2">
        <v>143.75</v>
      </c>
      <c r="D448" s="2" cm="1">
        <f t="array" ref="D448">_xlfn.LET(_xlpm.v,IFERROR(_xlfn.XLOOKUP(A448,Sheet2!$A$2:$A$1453,Sheet2!$D$2:$D$1453),_xlfn.XLOOKUP(A448,TEXT(Sheet2!$A$2:$A$1453,"0"),Sheet2!$D$2:$D$1453,"")),IF(_xlpm.v="","",IF(_xlpm.v&lt;1,_xlpm.v*100,_xlpm.v)))</f>
        <v>20</v>
      </c>
      <c r="E448" s="2">
        <f t="shared" si="6"/>
        <v>115</v>
      </c>
      <c r="F448" s="2" t="str" cm="1">
        <f t="array" ref="F448">IFERROR(_xlfn.XLOOKUP(A448,Sheet2!$A$2:$A$1453,Sheet2!$F$2:$F$1453),_xlfn.XLOOKUP(A448,TEXT(Sheet2!$A$2:$A$1453,"0"),Sheet2!$F$2:$F$1453,""))</f>
        <v>26-7-2026</v>
      </c>
      <c r="G448" s="2" t="str" cm="1">
        <f t="array" ref="G448">IFERROR(_xlfn.XLOOKUP(A448,Sheet2!$A$2:$A$1453,Sheet2!$G$2:$G$1453),_xlfn.XLOOKUP(A448,TEXT(Sheet2!$A$2:$A$1453,"0"),Sheet2!$G$2:$G$1453,""))</f>
        <v>6-8-2026</v>
      </c>
    </row>
    <row r="449" spans="1:7" x14ac:dyDescent="0.2">
      <c r="A449" s="1" t="s">
        <v>44</v>
      </c>
      <c r="B449" t="str" cm="1">
        <f t="array" ref="B449">IFERROR(_xlfn.XLOOKUP(A449,Sheet2!$A$2:$A$1453,Sheet2!$B$2:$B$1453),_xlfn.XLOOKUP(A449,TEXT(Sheet2!$A$2:$A$1453,"0"),Sheet2!$B$2:$B$1453,""))</f>
        <v>UNIDOVE FEMINE VAGINAL WASH /1ML</v>
      </c>
      <c r="C449" s="2">
        <v>112.7</v>
      </c>
      <c r="D449" s="2" cm="1">
        <f t="array" ref="D449">_xlfn.LET(_xlpm.v,IFERROR(_xlfn.XLOOKUP(A449,Sheet2!$A$2:$A$1453,Sheet2!$D$2:$D$1453),_xlfn.XLOOKUP(A449,TEXT(Sheet2!$A$2:$A$1453,"0"),Sheet2!$D$2:$D$1453,"")),IF(_xlpm.v="","",IF(_xlpm.v&lt;1,_xlpm.v*100,_xlpm.v)))</f>
        <v>20</v>
      </c>
      <c r="E449" s="2">
        <f t="shared" si="6"/>
        <v>90.160000000000011</v>
      </c>
      <c r="F449" s="2" t="str" cm="1">
        <f t="array" ref="F449">IFERROR(_xlfn.XLOOKUP(A449,Sheet2!$A$2:$A$1453,Sheet2!$F$2:$F$1453),_xlfn.XLOOKUP(A449,TEXT(Sheet2!$A$2:$A$1453,"0"),Sheet2!$F$2:$F$1453,""))</f>
        <v>26-7-2026</v>
      </c>
      <c r="G449" s="2" t="str" cm="1">
        <f t="array" ref="G449">IFERROR(_xlfn.XLOOKUP(A449,Sheet2!$A$2:$A$1453,Sheet2!$G$2:$G$1453),_xlfn.XLOOKUP(A449,TEXT(Sheet2!$A$2:$A$1453,"0"),Sheet2!$G$2:$G$1453,""))</f>
        <v>6-8-2026</v>
      </c>
    </row>
    <row r="450" spans="1:7" x14ac:dyDescent="0.2">
      <c r="A450" s="1" t="s">
        <v>47</v>
      </c>
      <c r="B450" t="str" cm="1">
        <f t="array" ref="B450">IFERROR(_xlfn.XLOOKUP(A450,Sheet2!$A$2:$A$1453,Sheet2!$B$2:$B$1453),_xlfn.XLOOKUP(A450,TEXT(Sheet2!$A$2:$A$1453,"0"),Sheet2!$B$2:$B$1453,""))</f>
        <v>NEMR ROYAL 1000 mg/capsule, 30 CAPSULE/BOX</v>
      </c>
      <c r="C450" s="2">
        <v>145</v>
      </c>
      <c r="D450" s="2" cm="1">
        <f t="array" ref="D450">_xlfn.LET(_xlpm.v,IFERROR(_xlfn.XLOOKUP(A450,Sheet2!$A$2:$A$1453,Sheet2!$D$2:$D$1453),_xlfn.XLOOKUP(A450,TEXT(Sheet2!$A$2:$A$1453,"0"),Sheet2!$D$2:$D$1453,"")),IF(_xlpm.v="","",IF(_xlpm.v&lt;1,_xlpm.v*100,_xlpm.v)))</f>
        <v>50</v>
      </c>
      <c r="E450" s="2">
        <f t="shared" si="6"/>
        <v>72.5</v>
      </c>
      <c r="F450" s="2" t="str" cm="1">
        <f t="array" ref="F450">IFERROR(_xlfn.XLOOKUP(A450,Sheet2!$A$2:$A$1453,Sheet2!$F$2:$F$1453),_xlfn.XLOOKUP(A450,TEXT(Sheet2!$A$2:$A$1453,"0"),Sheet2!$F$2:$F$1453,""))</f>
        <v>26-7-2026</v>
      </c>
      <c r="G450" s="2" t="str" cm="1">
        <f t="array" ref="G450">IFERROR(_xlfn.XLOOKUP(A450,Sheet2!$A$2:$A$1453,Sheet2!$G$2:$G$1453),_xlfn.XLOOKUP(A450,TEXT(Sheet2!$A$2:$A$1453,"0"),Sheet2!$G$2:$G$1453,""))</f>
        <v>6-8-2026</v>
      </c>
    </row>
    <row r="451" spans="1:7" x14ac:dyDescent="0.2">
      <c r="A451" s="1" t="s">
        <v>48</v>
      </c>
      <c r="B451" t="str" cm="1">
        <f t="array" ref="B451">IFERROR(_xlfn.XLOOKUP(A451,Sheet2!$A$2:$A$1453,Sheet2!$B$2:$B$1453),_xlfn.XLOOKUP(A451,TEXT(Sheet2!$A$2:$A$1453,"0"),Sheet2!$B$2:$B$1453,""))</f>
        <v>JP MACA 500 mg/capsule, 50 CAPSULE/BOTTLE</v>
      </c>
      <c r="C451" s="2">
        <v>120</v>
      </c>
      <c r="D451" s="2" cm="1">
        <f t="array" ref="D451">_xlfn.LET(_xlpm.v,IFERROR(_xlfn.XLOOKUP(A451,Sheet2!$A$2:$A$1453,Sheet2!$D$2:$D$1453),_xlfn.XLOOKUP(A451,TEXT(Sheet2!$A$2:$A$1453,"0"),Sheet2!$D$2:$D$1453,"")),IF(_xlpm.v="","",IF(_xlpm.v&lt;1,_xlpm.v*100,_xlpm.v)))</f>
        <v>50</v>
      </c>
      <c r="E451" s="2">
        <f t="shared" ref="E451:E514" si="7">IF(D451="","",C451*(1-D451/100))</f>
        <v>60</v>
      </c>
      <c r="F451" s="2" t="str" cm="1">
        <f t="array" ref="F451">IFERROR(_xlfn.XLOOKUP(A451,Sheet2!$A$2:$A$1453,Sheet2!$F$2:$F$1453),_xlfn.XLOOKUP(A451,TEXT(Sheet2!$A$2:$A$1453,"0"),Sheet2!$F$2:$F$1453,""))</f>
        <v>26-7-2026</v>
      </c>
      <c r="G451" s="2" t="str" cm="1">
        <f t="array" ref="G451">IFERROR(_xlfn.XLOOKUP(A451,Sheet2!$A$2:$A$1453,Sheet2!$G$2:$G$1453),_xlfn.XLOOKUP(A451,TEXT(Sheet2!$A$2:$A$1453,"0"),Sheet2!$G$2:$G$1453,""))</f>
        <v>6-8-2026</v>
      </c>
    </row>
    <row r="452" spans="1:7" x14ac:dyDescent="0.2">
      <c r="A452" s="1" t="s">
        <v>49</v>
      </c>
      <c r="B452" t="str" cm="1">
        <f t="array" ref="B452">IFERROR(_xlfn.XLOOKUP(A452,Sheet2!$A$2:$A$1453,Sheet2!$B$2:$B$1453),_xlfn.XLOOKUP(A452,TEXT(Sheet2!$A$2:$A$1453,"0"),Sheet2!$B$2:$B$1453,""))</f>
        <v>BIOFAR CHROMIUM COMPLEX Effervescent Tablet, 20 TABLET/CONTAINER</v>
      </c>
      <c r="C452" s="2">
        <v>40.25</v>
      </c>
      <c r="D452" s="2" cm="1">
        <f t="array" ref="D452">_xlfn.LET(_xlpm.v,IFERROR(_xlfn.XLOOKUP(A452,Sheet2!$A$2:$A$1453,Sheet2!$D$2:$D$1453),_xlfn.XLOOKUP(A452,TEXT(Sheet2!$A$2:$A$1453,"0"),Sheet2!$D$2:$D$1453,"")),IF(_xlpm.v="","",IF(_xlpm.v&lt;1,_xlpm.v*100,_xlpm.v)))</f>
        <v>40</v>
      </c>
      <c r="E452" s="2">
        <f t="shared" si="7"/>
        <v>24.15</v>
      </c>
      <c r="F452" s="2" t="str" cm="1">
        <f t="array" ref="F452">IFERROR(_xlfn.XLOOKUP(A452,Sheet2!$A$2:$A$1453,Sheet2!$F$2:$F$1453),_xlfn.XLOOKUP(A452,TEXT(Sheet2!$A$2:$A$1453,"0"),Sheet2!$F$2:$F$1453,""))</f>
        <v>26-7-2026</v>
      </c>
      <c r="G452" s="2" t="str" cm="1">
        <f t="array" ref="G452">IFERROR(_xlfn.XLOOKUP(A452,Sheet2!$A$2:$A$1453,Sheet2!$G$2:$G$1453),_xlfn.XLOOKUP(A452,TEXT(Sheet2!$A$2:$A$1453,"0"),Sheet2!$G$2:$G$1453,""))</f>
        <v>6-8-2026</v>
      </c>
    </row>
    <row r="453" spans="1:7" x14ac:dyDescent="0.2">
      <c r="A453" s="1" t="s">
        <v>50</v>
      </c>
      <c r="B453" t="str" cm="1">
        <f t="array" ref="B453">IFERROR(_xlfn.XLOOKUP(A453,Sheet2!$A$2:$A$1453,Sheet2!$B$2:$B$1453),_xlfn.XLOOKUP(A453,TEXT(Sheet2!$A$2:$A$1453,"0"),Sheet2!$B$2:$B$1453,""))</f>
        <v>BIOFAR GOOD NIGHT 7/7 DIRE</v>
      </c>
      <c r="C453" s="2">
        <v>102.93</v>
      </c>
      <c r="D453" s="2" cm="1">
        <f t="array" ref="D453">_xlfn.LET(_xlpm.v,IFERROR(_xlfn.XLOOKUP(A453,Sheet2!$A$2:$A$1453,Sheet2!$D$2:$D$1453),_xlfn.XLOOKUP(A453,TEXT(Sheet2!$A$2:$A$1453,"0"),Sheet2!$D$2:$D$1453,"")),IF(_xlpm.v="","",IF(_xlpm.v&lt;1,_xlpm.v*100,_xlpm.v)))</f>
        <v>40</v>
      </c>
      <c r="E453" s="2">
        <f t="shared" si="7"/>
        <v>61.758000000000003</v>
      </c>
      <c r="F453" s="2" t="str" cm="1">
        <f t="array" ref="F453">IFERROR(_xlfn.XLOOKUP(A453,Sheet2!$A$2:$A$1453,Sheet2!$F$2:$F$1453),_xlfn.XLOOKUP(A453,TEXT(Sheet2!$A$2:$A$1453,"0"),Sheet2!$F$2:$F$1453,""))</f>
        <v>26-7-2026</v>
      </c>
      <c r="G453" s="2" t="str" cm="1">
        <f t="array" ref="G453">IFERROR(_xlfn.XLOOKUP(A453,Sheet2!$A$2:$A$1453,Sheet2!$G$2:$G$1453),_xlfn.XLOOKUP(A453,TEXT(Sheet2!$A$2:$A$1453,"0"),Sheet2!$G$2:$G$1453,""))</f>
        <v>6-8-2026</v>
      </c>
    </row>
    <row r="454" spans="1:7" x14ac:dyDescent="0.2">
      <c r="A454" s="1" t="s">
        <v>51</v>
      </c>
      <c r="B454" t="str" cm="1">
        <f t="array" ref="B454">IFERROR(_xlfn.XLOOKUP(A454,Sheet2!$A$2:$A$1453,Sheet2!$B$2:$B$1453),_xlfn.XLOOKUP(A454,TEXT(Sheet2!$A$2:$A$1453,"0"),Sheet2!$B$2:$B$1453,""))</f>
        <v>BIOFAR PHYTO DIGESTION gm Effervescent Tablet, 8 TABLET/CONTAINER</v>
      </c>
      <c r="C454" s="2">
        <v>45.43</v>
      </c>
      <c r="D454" s="2" cm="1">
        <f t="array" ref="D454">_xlfn.LET(_xlpm.v,IFERROR(_xlfn.XLOOKUP(A454,Sheet2!$A$2:$A$1453,Sheet2!$D$2:$D$1453),_xlfn.XLOOKUP(A454,TEXT(Sheet2!$A$2:$A$1453,"0"),Sheet2!$D$2:$D$1453,"")),IF(_xlpm.v="","",IF(_xlpm.v&lt;1,_xlpm.v*100,_xlpm.v)))</f>
        <v>40</v>
      </c>
      <c r="E454" s="2">
        <f t="shared" si="7"/>
        <v>27.257999999999999</v>
      </c>
      <c r="F454" s="2" t="str" cm="1">
        <f t="array" ref="F454">IFERROR(_xlfn.XLOOKUP(A454,Sheet2!$A$2:$A$1453,Sheet2!$F$2:$F$1453),_xlfn.XLOOKUP(A454,TEXT(Sheet2!$A$2:$A$1453,"0"),Sheet2!$F$2:$F$1453,""))</f>
        <v>26-7-2026</v>
      </c>
      <c r="G454" s="2" t="str" cm="1">
        <f t="array" ref="G454">IFERROR(_xlfn.XLOOKUP(A454,Sheet2!$A$2:$A$1453,Sheet2!$G$2:$G$1453),_xlfn.XLOOKUP(A454,TEXT(Sheet2!$A$2:$A$1453,"0"),Sheet2!$G$2:$G$1453,""))</f>
        <v>6-8-2026</v>
      </c>
    </row>
    <row r="455" spans="1:7" x14ac:dyDescent="0.2">
      <c r="A455" s="1" t="s">
        <v>52</v>
      </c>
      <c r="B455" t="str" cm="1">
        <f t="array" ref="B455">IFERROR(_xlfn.XLOOKUP(A455,Sheet2!$A$2:$A$1453,Sheet2!$B$2:$B$1453),_xlfn.XLOOKUP(A455,TEXT(Sheet2!$A$2:$A$1453,"0"),Sheet2!$B$2:$B$1453,""))</f>
        <v>BIOFAR ACE SELENIUM-ZINC tablet, 20 TABLET/BOX</v>
      </c>
      <c r="C455" s="2">
        <v>48.88</v>
      </c>
      <c r="D455" s="2" cm="1">
        <f t="array" ref="D455">_xlfn.LET(_xlpm.v,IFERROR(_xlfn.XLOOKUP(A455,Sheet2!$A$2:$A$1453,Sheet2!$D$2:$D$1453),_xlfn.XLOOKUP(A455,TEXT(Sheet2!$A$2:$A$1453,"0"),Sheet2!$D$2:$D$1453,"")),IF(_xlpm.v="","",IF(_xlpm.v&lt;1,_xlpm.v*100,_xlpm.v)))</f>
        <v>40</v>
      </c>
      <c r="E455" s="2">
        <f t="shared" si="7"/>
        <v>29.327999999999999</v>
      </c>
      <c r="F455" s="2" t="str" cm="1">
        <f t="array" ref="F455">IFERROR(_xlfn.XLOOKUP(A455,Sheet2!$A$2:$A$1453,Sheet2!$F$2:$F$1453),_xlfn.XLOOKUP(A455,TEXT(Sheet2!$A$2:$A$1453,"0"),Sheet2!$F$2:$F$1453,""))</f>
        <v>26-7-2026</v>
      </c>
      <c r="G455" s="2" t="str" cm="1">
        <f t="array" ref="G455">IFERROR(_xlfn.XLOOKUP(A455,Sheet2!$A$2:$A$1453,Sheet2!$G$2:$G$1453),_xlfn.XLOOKUP(A455,TEXT(Sheet2!$A$2:$A$1453,"0"),Sheet2!$G$2:$G$1453,""))</f>
        <v>6-8-2026</v>
      </c>
    </row>
    <row r="456" spans="1:7" x14ac:dyDescent="0.2">
      <c r="A456" s="1" t="s">
        <v>53</v>
      </c>
      <c r="B456" t="str" cm="1">
        <f t="array" ref="B456">IFERROR(_xlfn.XLOOKUP(A456,Sheet2!$A$2:$A$1453,Sheet2!$B$2:$B$1453),_xlfn.XLOOKUP(A456,TEXT(Sheet2!$A$2:$A$1453,"0"),Sheet2!$B$2:$B$1453,""))</f>
        <v>BIOFAR MAGNE-TIME 400 DIRE</v>
      </c>
      <c r="C456" s="2">
        <v>51.75</v>
      </c>
      <c r="D456" s="2" cm="1">
        <f t="array" ref="D456">_xlfn.LET(_xlpm.v,IFERROR(_xlfn.XLOOKUP(A456,Sheet2!$A$2:$A$1453,Sheet2!$D$2:$D$1453),_xlfn.XLOOKUP(A456,TEXT(Sheet2!$A$2:$A$1453,"0"),Sheet2!$D$2:$D$1453,"")),IF(_xlpm.v="","",IF(_xlpm.v&lt;1,_xlpm.v*100,_xlpm.v)))</f>
        <v>40</v>
      </c>
      <c r="E456" s="2">
        <f t="shared" si="7"/>
        <v>31.049999999999997</v>
      </c>
      <c r="F456" s="2" t="str" cm="1">
        <f t="array" ref="F456">IFERROR(_xlfn.XLOOKUP(A456,Sheet2!$A$2:$A$1453,Sheet2!$F$2:$F$1453),_xlfn.XLOOKUP(A456,TEXT(Sheet2!$A$2:$A$1453,"0"),Sheet2!$F$2:$F$1453,""))</f>
        <v>26-7-2026</v>
      </c>
      <c r="G456" s="2" t="str" cm="1">
        <f t="array" ref="G456">IFERROR(_xlfn.XLOOKUP(A456,Sheet2!$A$2:$A$1453,Sheet2!$G$2:$G$1453),_xlfn.XLOOKUP(A456,TEXT(Sheet2!$A$2:$A$1453,"0"),Sheet2!$G$2:$G$1453,""))</f>
        <v>6-8-2026</v>
      </c>
    </row>
    <row r="457" spans="1:7" x14ac:dyDescent="0.2">
      <c r="A457" s="1" t="s">
        <v>54</v>
      </c>
      <c r="B457" t="str" cm="1">
        <f t="array" ref="B457">IFERROR(_xlfn.XLOOKUP(A457,Sheet2!$A$2:$A$1453,Sheet2!$B$2:$B$1453),_xlfn.XLOOKUP(A457,TEXT(Sheet2!$A$2:$A$1453,"0"),Sheet2!$B$2:$B$1453,""))</f>
        <v>JP MELATONIN 5 mg/tablet Soft Gel Cap, 100 TABLET/BOX</v>
      </c>
      <c r="C457" s="2">
        <v>159</v>
      </c>
      <c r="D457" s="2" cm="1">
        <f t="array" ref="D457">_xlfn.LET(_xlpm.v,IFERROR(_xlfn.XLOOKUP(A457,Sheet2!$A$2:$A$1453,Sheet2!$D$2:$D$1453),_xlfn.XLOOKUP(A457,TEXT(Sheet2!$A$2:$A$1453,"0"),Sheet2!$D$2:$D$1453,"")),IF(_xlpm.v="","",IF(_xlpm.v&lt;1,_xlpm.v*100,_xlpm.v)))</f>
        <v>50</v>
      </c>
      <c r="E457" s="2">
        <f t="shared" si="7"/>
        <v>79.5</v>
      </c>
      <c r="F457" s="2" t="str" cm="1">
        <f t="array" ref="F457">IFERROR(_xlfn.XLOOKUP(A457,Sheet2!$A$2:$A$1453,Sheet2!$F$2:$F$1453),_xlfn.XLOOKUP(A457,TEXT(Sheet2!$A$2:$A$1453,"0"),Sheet2!$F$2:$F$1453,""))</f>
        <v>26-7-2026</v>
      </c>
      <c r="G457" s="2" t="str" cm="1">
        <f t="array" ref="G457">IFERROR(_xlfn.XLOOKUP(A457,Sheet2!$A$2:$A$1453,Sheet2!$G$2:$G$1453),_xlfn.XLOOKUP(A457,TEXT(Sheet2!$A$2:$A$1453,"0"),Sheet2!$G$2:$G$1453,""))</f>
        <v>6-8-2026</v>
      </c>
    </row>
    <row r="458" spans="1:7" x14ac:dyDescent="0.2">
      <c r="A458" s="1">
        <v>20315041274</v>
      </c>
      <c r="B458" t="str" cm="1">
        <f t="array" ref="B458">IFERROR(_xlfn.XLOOKUP(A458,Sheet2!$A$2:$A$1453,Sheet2!$B$2:$B$1453),_xlfn.XLOOKUP(A458,TEXT(Sheet2!$A$2:$A$1453,"0"),Sheet2!$B$2:$B$1453,""))</f>
        <v>AVENT SCF039/17 NATURAL 2.0 BOTTLE</v>
      </c>
      <c r="C458" s="2">
        <v>64.52</v>
      </c>
      <c r="D458" s="2" cm="1">
        <f t="array" ref="D458">_xlfn.LET(_xlpm.v,IFERROR(_xlfn.XLOOKUP(A458,Sheet2!$A$2:$A$1453,Sheet2!$D$2:$D$1453),_xlfn.XLOOKUP(A458,TEXT(Sheet2!$A$2:$A$1453,"0"),Sheet2!$D$2:$D$1453,"")),IF(_xlpm.v="","",IF(_xlpm.v&lt;1,_xlpm.v*100,_xlpm.v)))</f>
        <v>15</v>
      </c>
      <c r="E458" s="2">
        <f t="shared" si="7"/>
        <v>54.841999999999992</v>
      </c>
      <c r="F458" s="2" t="str" cm="1">
        <f t="array" ref="F458">IFERROR(_xlfn.XLOOKUP(A458,Sheet2!$A$2:$A$1453,Sheet2!$F$2:$F$1453),_xlfn.XLOOKUP(A458,TEXT(Sheet2!$A$2:$A$1453,"0"),Sheet2!$F$2:$F$1453,""))</f>
        <v>26-7-2026</v>
      </c>
      <c r="G458" s="2" t="str" cm="1">
        <f t="array" ref="G458">IFERROR(_xlfn.XLOOKUP(A458,Sheet2!$A$2:$A$1453,Sheet2!$G$2:$G$1453),_xlfn.XLOOKUP(A458,TEXT(Sheet2!$A$2:$A$1453,"0"),Sheet2!$G$2:$G$1453,""))</f>
        <v>6-8-2026</v>
      </c>
    </row>
    <row r="459" spans="1:7" x14ac:dyDescent="0.2">
      <c r="A459" s="1">
        <v>20315040737</v>
      </c>
      <c r="B459" t="str" cm="1">
        <f t="array" ref="B459">IFERROR(_xlfn.XLOOKUP(A459,Sheet2!$A$2:$A$1453,Sheet2!$B$2:$B$1453),_xlfn.XLOOKUP(A459,TEXT(Sheet2!$A$2:$A$1453,"0"),Sheet2!$B$2:$B$1453,""))</f>
        <v>AVENT 103/01 ANTI-COLIC BOTTLE 260M</v>
      </c>
      <c r="C459" s="2">
        <v>52</v>
      </c>
      <c r="D459" s="2" cm="1">
        <f t="array" ref="D459">_xlfn.LET(_xlpm.v,IFERROR(_xlfn.XLOOKUP(A459,Sheet2!$A$2:$A$1453,Sheet2!$D$2:$D$1453),_xlfn.XLOOKUP(A459,TEXT(Sheet2!$A$2:$A$1453,"0"),Sheet2!$D$2:$D$1453,"")),IF(_xlpm.v="","",IF(_xlpm.v&lt;1,_xlpm.v*100,_xlpm.v)))</f>
        <v>15</v>
      </c>
      <c r="E459" s="2">
        <f t="shared" si="7"/>
        <v>44.199999999999996</v>
      </c>
      <c r="F459" s="2" t="str" cm="1">
        <f t="array" ref="F459">IFERROR(_xlfn.XLOOKUP(A459,Sheet2!$A$2:$A$1453,Sheet2!$F$2:$F$1453),_xlfn.XLOOKUP(A459,TEXT(Sheet2!$A$2:$A$1453,"0"),Sheet2!$F$2:$F$1453,""))</f>
        <v>26-7-2026</v>
      </c>
      <c r="G459" s="2" t="str" cm="1">
        <f t="array" ref="G459">IFERROR(_xlfn.XLOOKUP(A459,Sheet2!$A$2:$A$1453,Sheet2!$G$2:$G$1453),_xlfn.XLOOKUP(A459,TEXT(Sheet2!$A$2:$A$1453,"0"),Sheet2!$G$2:$G$1453,""))</f>
        <v>6-8-2026</v>
      </c>
    </row>
    <row r="460" spans="1:7" x14ac:dyDescent="0.2">
      <c r="A460" s="1">
        <v>20309503892</v>
      </c>
      <c r="B460" t="str" cm="1">
        <f t="array" ref="B460">IFERROR(_xlfn.XLOOKUP(A460,Sheet2!$A$2:$A$1453,Sheet2!$B$2:$B$1453),_xlfn.XLOOKUP(A460,TEXT(Sheet2!$A$2:$A$1453,"0"),Sheet2!$B$2:$B$1453,""))</f>
        <v>AVENT NATURAL 3 FEEDING BOTTLE GL</v>
      </c>
      <c r="C460" s="2">
        <v>85.01</v>
      </c>
      <c r="D460" s="2" cm="1">
        <f t="array" ref="D460">_xlfn.LET(_xlpm.v,IFERROR(_xlfn.XLOOKUP(A460,Sheet2!$A$2:$A$1453,Sheet2!$D$2:$D$1453),_xlfn.XLOOKUP(A460,TEXT(Sheet2!$A$2:$A$1453,"0"),Sheet2!$D$2:$D$1453,"")),IF(_xlpm.v="","",IF(_xlpm.v&lt;1,_xlpm.v*100,_xlpm.v)))</f>
        <v>15</v>
      </c>
      <c r="E460" s="2">
        <f t="shared" si="7"/>
        <v>72.258499999999998</v>
      </c>
      <c r="F460" s="2" t="str" cm="1">
        <f t="array" ref="F460">IFERROR(_xlfn.XLOOKUP(A460,Sheet2!$A$2:$A$1453,Sheet2!$F$2:$F$1453),_xlfn.XLOOKUP(A460,TEXT(Sheet2!$A$2:$A$1453,"0"),Sheet2!$F$2:$F$1453,""))</f>
        <v>26-7-2026</v>
      </c>
      <c r="G460" s="2" t="str" cm="1">
        <f t="array" ref="G460">IFERROR(_xlfn.XLOOKUP(A460,Sheet2!$A$2:$A$1453,Sheet2!$G$2:$G$1453),_xlfn.XLOOKUP(A460,TEXT(Sheet2!$A$2:$A$1453,"0"),Sheet2!$G$2:$G$1453,""))</f>
        <v>6-8-2026</v>
      </c>
    </row>
    <row r="461" spans="1:7" x14ac:dyDescent="0.2">
      <c r="A461" s="1">
        <v>20315040830</v>
      </c>
      <c r="B461" t="str" cm="1">
        <f t="array" ref="B461">IFERROR(_xlfn.XLOOKUP(A461,Sheet2!$A$2:$A$1453,Sheet2!$B$2:$B$1453),_xlfn.XLOOKUP(A461,TEXT(Sheet2!$A$2:$A$1453,"0"),Sheet2!$B$2:$B$1453,""))</f>
        <v>Philips Avent 903/01 NATURAL 3.0 FEEDIN</v>
      </c>
      <c r="C461" s="2">
        <v>69</v>
      </c>
      <c r="D461" s="2" cm="1">
        <f t="array" ref="D461">_xlfn.LET(_xlpm.v,IFERROR(_xlfn.XLOOKUP(A461,Sheet2!$A$2:$A$1453,Sheet2!$D$2:$D$1453),_xlfn.XLOOKUP(A461,TEXT(Sheet2!$A$2:$A$1453,"0"),Sheet2!$D$2:$D$1453,"")),IF(_xlpm.v="","",IF(_xlpm.v&lt;1,_xlpm.v*100,_xlpm.v)))</f>
        <v>15</v>
      </c>
      <c r="E461" s="2">
        <f t="shared" si="7"/>
        <v>58.65</v>
      </c>
      <c r="F461" s="2" t="str" cm="1">
        <f t="array" ref="F461">IFERROR(_xlfn.XLOOKUP(A461,Sheet2!$A$2:$A$1453,Sheet2!$F$2:$F$1453),_xlfn.XLOOKUP(A461,TEXT(Sheet2!$A$2:$A$1453,"0"),Sheet2!$F$2:$F$1453,""))</f>
        <v>26-7-2026</v>
      </c>
      <c r="G461" s="2" t="str" cm="1">
        <f t="array" ref="G461">IFERROR(_xlfn.XLOOKUP(A461,Sheet2!$A$2:$A$1453,Sheet2!$G$2:$G$1453),_xlfn.XLOOKUP(A461,TEXT(Sheet2!$A$2:$A$1453,"0"),Sheet2!$G$2:$G$1453,""))</f>
        <v>6-8-2026</v>
      </c>
    </row>
    <row r="462" spans="1:7" x14ac:dyDescent="0.2">
      <c r="A462" s="1">
        <v>20315040065</v>
      </c>
      <c r="B462" t="str" cm="1">
        <f t="array" ref="B462">IFERROR(_xlfn.XLOOKUP(A462,Sheet2!$A$2:$A$1453,Sheet2!$B$2:$B$1453),_xlfn.XLOOKUP(A462,TEXT(Sheet2!$A$2:$A$1453,"0"),Sheet2!$B$2:$B$1453,""))</f>
        <v>AVENT SCF036/17 NATURAL 2.0 BOTTLE</v>
      </c>
      <c r="C462" s="2">
        <v>79.010000000000005</v>
      </c>
      <c r="D462" s="2" cm="1">
        <f t="array" ref="D462">_xlfn.LET(_xlpm.v,IFERROR(_xlfn.XLOOKUP(A462,Sheet2!$A$2:$A$1453,Sheet2!$D$2:$D$1453),_xlfn.XLOOKUP(A462,TEXT(Sheet2!$A$2:$A$1453,"0"),Sheet2!$D$2:$D$1453,"")),IF(_xlpm.v="","",IF(_xlpm.v&lt;1,_xlpm.v*100,_xlpm.v)))</f>
        <v>15</v>
      </c>
      <c r="E462" s="2">
        <f t="shared" si="7"/>
        <v>67.158500000000004</v>
      </c>
      <c r="F462" s="2" t="str" cm="1">
        <f t="array" ref="F462">IFERROR(_xlfn.XLOOKUP(A462,Sheet2!$A$2:$A$1453,Sheet2!$F$2:$F$1453),_xlfn.XLOOKUP(A462,TEXT(Sheet2!$A$2:$A$1453,"0"),Sheet2!$F$2:$F$1453,""))</f>
        <v>26-7-2026</v>
      </c>
      <c r="G462" s="2" t="str" cm="1">
        <f t="array" ref="G462">IFERROR(_xlfn.XLOOKUP(A462,Sheet2!$A$2:$A$1453,Sheet2!$G$2:$G$1453),_xlfn.XLOOKUP(A462,TEXT(Sheet2!$A$2:$A$1453,"0"),Sheet2!$G$2:$G$1453,""))</f>
        <v>6-8-2026</v>
      </c>
    </row>
    <row r="463" spans="1:7" x14ac:dyDescent="0.2">
      <c r="A463" s="1">
        <v>20309503836</v>
      </c>
      <c r="B463" t="str" cm="1">
        <f t="array" ref="B463">IFERROR(_xlfn.XLOOKUP(A463,Sheet2!$A$2:$A$1453,Sheet2!$B$2:$B$1453),_xlfn.XLOOKUP(A463,TEXT(Sheet2!$A$2:$A$1453,"0"),Sheet2!$B$2:$B$1453,""))</f>
        <v>PHILIPS AVENT 963/02 NATURAL 3.0 FEE</v>
      </c>
      <c r="C463" s="2">
        <v>48.01</v>
      </c>
      <c r="D463" s="2" cm="1">
        <f t="array" ref="D463">_xlfn.LET(_xlpm.v,IFERROR(_xlfn.XLOOKUP(A463,Sheet2!$A$2:$A$1453,Sheet2!$D$2:$D$1453),_xlfn.XLOOKUP(A463,TEXT(Sheet2!$A$2:$A$1453,"0"),Sheet2!$D$2:$D$1453,"")),IF(_xlpm.v="","",IF(_xlpm.v&lt;1,_xlpm.v*100,_xlpm.v)))</f>
        <v>15</v>
      </c>
      <c r="E463" s="2">
        <f t="shared" si="7"/>
        <v>40.808499999999995</v>
      </c>
      <c r="F463" s="2" t="str" cm="1">
        <f t="array" ref="F463">IFERROR(_xlfn.XLOOKUP(A463,Sheet2!$A$2:$A$1453,Sheet2!$F$2:$F$1453),_xlfn.XLOOKUP(A463,TEXT(Sheet2!$A$2:$A$1453,"0"),Sheet2!$F$2:$F$1453,""))</f>
        <v>26-7-2026</v>
      </c>
      <c r="G463" s="2" t="str" cm="1">
        <f t="array" ref="G463">IFERROR(_xlfn.XLOOKUP(A463,Sheet2!$A$2:$A$1453,Sheet2!$G$2:$G$1453),_xlfn.XLOOKUP(A463,TEXT(Sheet2!$A$2:$A$1453,"0"),Sheet2!$G$2:$G$1453,""))</f>
        <v>6-8-2026</v>
      </c>
    </row>
    <row r="464" spans="1:7" x14ac:dyDescent="0.2">
      <c r="A464" s="1">
        <v>20309060767</v>
      </c>
      <c r="B464" t="str" cm="1">
        <f t="array" ref="B464">IFERROR(_xlfn.XLOOKUP(A464,Sheet2!$A$2:$A$1453,Sheet2!$B$2:$B$1453),_xlfn.XLOOKUP(A464,TEXT(Sheet2!$A$2:$A$1453,"0"),Sheet2!$B$2:$B$1453,""))</f>
        <v>BEESLINE WHITENING ROLL 1+50%DIS SPOR</v>
      </c>
      <c r="C464" s="2">
        <v>94.88</v>
      </c>
      <c r="D464" s="2" cm="1">
        <f t="array" ref="D464">_xlfn.LET(_xlpm.v,IFERROR(_xlfn.XLOOKUP(A464,Sheet2!$A$2:$A$1453,Sheet2!$D$2:$D$1453),_xlfn.XLOOKUP(A464,TEXT(Sheet2!$A$2:$A$1453,"0"),Sheet2!$D$2:$D$1453,"")),IF(_xlpm.v="","",IF(_xlpm.v&lt;1,_xlpm.v*100,_xlpm.v)))</f>
        <v>20</v>
      </c>
      <c r="E464" s="2">
        <f t="shared" si="7"/>
        <v>75.903999999999996</v>
      </c>
      <c r="F464" s="2" t="str" cm="1">
        <f t="array" ref="F464">IFERROR(_xlfn.XLOOKUP(A464,Sheet2!$A$2:$A$1453,Sheet2!$F$2:$F$1453),_xlfn.XLOOKUP(A464,TEXT(Sheet2!$A$2:$A$1453,"0"),Sheet2!$F$2:$F$1453,""))</f>
        <v>26-7-2026</v>
      </c>
      <c r="G464" s="2" t="str" cm="1">
        <f t="array" ref="G464">IFERROR(_xlfn.XLOOKUP(A464,Sheet2!$A$2:$A$1453,Sheet2!$G$2:$G$1453),_xlfn.XLOOKUP(A464,TEXT(Sheet2!$A$2:$A$1453,"0"),Sheet2!$G$2:$G$1453,""))</f>
        <v>6-8-2026</v>
      </c>
    </row>
    <row r="465" spans="1:7" x14ac:dyDescent="0.2">
      <c r="A465" s="1">
        <v>20309060464</v>
      </c>
      <c r="B465" t="str" cm="1">
        <f t="array" ref="B465">IFERROR(_xlfn.XLOOKUP(A465,Sheet2!$A$2:$A$1453,Sheet2!$B$2:$B$1453),_xlfn.XLOOKUP(A465,TEXT(Sheet2!$A$2:$A$1453,"0"),Sheet2!$B$2:$B$1453,""))</f>
        <v>BEESLINE WHITENING DEO ROLL B</v>
      </c>
      <c r="C465" s="2">
        <v>65.55</v>
      </c>
      <c r="D465" s="2" cm="1">
        <f t="array" ref="D465">_xlfn.LET(_xlpm.v,IFERROR(_xlfn.XLOOKUP(A465,Sheet2!$A$2:$A$1453,Sheet2!$D$2:$D$1453),_xlfn.XLOOKUP(A465,TEXT(Sheet2!$A$2:$A$1453,"0"),Sheet2!$D$2:$D$1453,"")),IF(_xlpm.v="","",IF(_xlpm.v&lt;1,_xlpm.v*100,_xlpm.v)))</f>
        <v>20</v>
      </c>
      <c r="E465" s="2">
        <f t="shared" si="7"/>
        <v>52.44</v>
      </c>
      <c r="F465" s="2" t="str" cm="1">
        <f t="array" ref="F465">IFERROR(_xlfn.XLOOKUP(A465,Sheet2!$A$2:$A$1453,Sheet2!$F$2:$F$1453),_xlfn.XLOOKUP(A465,TEXT(Sheet2!$A$2:$A$1453,"0"),Sheet2!$F$2:$F$1453,""))</f>
        <v>26-7-2026</v>
      </c>
      <c r="G465" s="2" t="str" cm="1">
        <f t="array" ref="G465">IFERROR(_xlfn.XLOOKUP(A465,Sheet2!$A$2:$A$1453,Sheet2!$G$2:$G$1453),_xlfn.XLOOKUP(A465,TEXT(Sheet2!$A$2:$A$1453,"0"),Sheet2!$G$2:$G$1453,""))</f>
        <v>6-8-2026</v>
      </c>
    </row>
    <row r="466" spans="1:7" x14ac:dyDescent="0.2">
      <c r="A466" s="1" t="s">
        <v>55</v>
      </c>
      <c r="B466" t="str" cm="1">
        <f t="array" ref="B466">IFERROR(_xlfn.XLOOKUP(A466,Sheet2!$A$2:$A$1453,Sheet2!$B$2:$B$1453),_xlfn.XLOOKUP(A466,TEXT(Sheet2!$A$2:$A$1453,"0"),Sheet2!$B$2:$B$1453,""))</f>
        <v>HAPPY DREAMS -MAW ml Syru</v>
      </c>
      <c r="C466" s="2">
        <v>17.95</v>
      </c>
      <c r="D466" s="2" cm="1">
        <f t="array" ref="D466">_xlfn.LET(_xlpm.v,IFERROR(_xlfn.XLOOKUP(A466,Sheet2!$A$2:$A$1453,Sheet2!$D$2:$D$1453),_xlfn.XLOOKUP(A466,TEXT(Sheet2!$A$2:$A$1453,"0"),Sheet2!$D$2:$D$1453,"")),IF(_xlpm.v="","",IF(_xlpm.v&lt;1,_xlpm.v*100,_xlpm.v)))</f>
        <v>25</v>
      </c>
      <c r="E466" s="2">
        <f t="shared" si="7"/>
        <v>13.462499999999999</v>
      </c>
      <c r="F466" s="2" t="str" cm="1">
        <f t="array" ref="F466">IFERROR(_xlfn.XLOOKUP(A466,Sheet2!$A$2:$A$1453,Sheet2!$F$2:$F$1453),_xlfn.XLOOKUP(A466,TEXT(Sheet2!$A$2:$A$1453,"0"),Sheet2!$F$2:$F$1453,""))</f>
        <v>26-7-2026</v>
      </c>
      <c r="G466" s="2" t="str" cm="1">
        <f t="array" ref="G466">IFERROR(_xlfn.XLOOKUP(A466,Sheet2!$A$2:$A$1453,Sheet2!$G$2:$G$1453),_xlfn.XLOOKUP(A466,TEXT(Sheet2!$A$2:$A$1453,"0"),Sheet2!$G$2:$G$1453,""))</f>
        <v>6-8-2026</v>
      </c>
    </row>
    <row r="467" spans="1:7" x14ac:dyDescent="0.2">
      <c r="A467" s="1">
        <v>20309060671</v>
      </c>
      <c r="B467" t="str" cm="1">
        <f t="array" ref="B467">IFERROR(_xlfn.XLOOKUP(A467,Sheet2!$A$2:$A$1453,Sheet2!$B$2:$B$1453),_xlfn.XLOOKUP(A467,TEXT(Sheet2!$A$2:$A$1453,"0"),Sheet2!$B$2:$B$1453,""))</f>
        <v>NIVEA DEO ROLL ON FM FRESH CHERRY 50ML 80172</v>
      </c>
      <c r="C467" s="2">
        <v>18.84</v>
      </c>
      <c r="D467" s="2" cm="1">
        <f t="array" ref="D467">_xlfn.LET(_xlpm.v,IFERROR(_xlfn.XLOOKUP(A467,Sheet2!$A$2:$A$1453,Sheet2!$D$2:$D$1453),_xlfn.XLOOKUP(A467,TEXT(Sheet2!$A$2:$A$1453,"0"),Sheet2!$D$2:$D$1453,"")),IF(_xlpm.v="","",IF(_xlpm.v&lt;1,_xlpm.v*100,_xlpm.v)))</f>
        <v>15</v>
      </c>
      <c r="E467" s="2">
        <f t="shared" si="7"/>
        <v>16.013999999999999</v>
      </c>
      <c r="F467" s="2" t="str" cm="1">
        <f t="array" ref="F467">IFERROR(_xlfn.XLOOKUP(A467,Sheet2!$A$2:$A$1453,Sheet2!$F$2:$F$1453),_xlfn.XLOOKUP(A467,TEXT(Sheet2!$A$2:$A$1453,"0"),Sheet2!$F$2:$F$1453,""))</f>
        <v>26-7-2026</v>
      </c>
      <c r="G467" s="2" t="str" cm="1">
        <f t="array" ref="G467">IFERROR(_xlfn.XLOOKUP(A467,Sheet2!$A$2:$A$1453,Sheet2!$G$2:$G$1453),_xlfn.XLOOKUP(A467,TEXT(Sheet2!$A$2:$A$1453,"0"),Sheet2!$G$2:$G$1453,""))</f>
        <v>6-8-2026</v>
      </c>
    </row>
    <row r="468" spans="1:7" x14ac:dyDescent="0.2">
      <c r="A468" s="1">
        <v>20309010237</v>
      </c>
      <c r="B468" t="str" cm="1">
        <f t="array" ref="B468">IFERROR(_xlfn.XLOOKUP(A468,Sheet2!$A$2:$A$1453,Sheet2!$B$2:$B$1453),_xlfn.XLOOKUP(A468,TEXT(Sheet2!$A$2:$A$1453,"0"),Sheet2!$B$2:$B$1453,""))</f>
        <v> SUNSILK SHAMPO NOURSHING SOFT &amp; SMOTH  400ML 206166</v>
      </c>
      <c r="C468" s="2">
        <v>21.16</v>
      </c>
      <c r="D468" s="2" cm="1">
        <f t="array" ref="D468">_xlfn.LET(_xlpm.v,IFERROR(_xlfn.XLOOKUP(A468,Sheet2!$A$2:$A$1453,Sheet2!$D$2:$D$1453),_xlfn.XLOOKUP(A468,TEXT(Sheet2!$A$2:$A$1453,"0"),Sheet2!$D$2:$D$1453,"")),IF(_xlpm.v="","",IF(_xlpm.v&lt;1,_xlpm.v*100,_xlpm.v)))</f>
        <v>15</v>
      </c>
      <c r="E468" s="2">
        <f t="shared" si="7"/>
        <v>17.986000000000001</v>
      </c>
      <c r="F468" s="2" t="str" cm="1">
        <f t="array" ref="F468">IFERROR(_xlfn.XLOOKUP(A468,Sheet2!$A$2:$A$1453,Sheet2!$F$2:$F$1453),_xlfn.XLOOKUP(A468,TEXT(Sheet2!$A$2:$A$1453,"0"),Sheet2!$F$2:$F$1453,""))</f>
        <v>26-7-2026</v>
      </c>
      <c r="G468" s="2" t="str" cm="1">
        <f t="array" ref="G468">IFERROR(_xlfn.XLOOKUP(A468,Sheet2!$A$2:$A$1453,Sheet2!$G$2:$G$1453),_xlfn.XLOOKUP(A468,TEXT(Sheet2!$A$2:$A$1453,"0"),Sheet2!$G$2:$G$1453,""))</f>
        <v>6-8-2026</v>
      </c>
    </row>
    <row r="469" spans="1:7" x14ac:dyDescent="0.2">
      <c r="A469" s="1">
        <v>20309060193</v>
      </c>
      <c r="B469" t="str" cm="1">
        <f t="array" ref="B469">IFERROR(_xlfn.XLOOKUP(A469,Sheet2!$A$2:$A$1453,Sheet2!$B$2:$B$1453),_xlfn.XLOOKUP(A469,TEXT(Sheet2!$A$2:$A$1453,"0"),Sheet2!$B$2:$B$1453,""))</f>
        <v>NIVEA ROLL FRESH FEMAL  50ML 80030</v>
      </c>
      <c r="C469" s="2">
        <v>18.84</v>
      </c>
      <c r="D469" s="2" cm="1">
        <f t="array" ref="D469">_xlfn.LET(_xlpm.v,IFERROR(_xlfn.XLOOKUP(A469,Sheet2!$A$2:$A$1453,Sheet2!$D$2:$D$1453),_xlfn.XLOOKUP(A469,TEXT(Sheet2!$A$2:$A$1453,"0"),Sheet2!$D$2:$D$1453,"")),IF(_xlpm.v="","",IF(_xlpm.v&lt;1,_xlpm.v*100,_xlpm.v)))</f>
        <v>15</v>
      </c>
      <c r="E469" s="2">
        <f t="shared" si="7"/>
        <v>16.013999999999999</v>
      </c>
      <c r="F469" s="2" t="str" cm="1">
        <f t="array" ref="F469">IFERROR(_xlfn.XLOOKUP(A469,Sheet2!$A$2:$A$1453,Sheet2!$F$2:$F$1453),_xlfn.XLOOKUP(A469,TEXT(Sheet2!$A$2:$A$1453,"0"),Sheet2!$F$2:$F$1453,""))</f>
        <v>26-7-2026</v>
      </c>
      <c r="G469" s="2" t="str" cm="1">
        <f t="array" ref="G469">IFERROR(_xlfn.XLOOKUP(A469,Sheet2!$A$2:$A$1453,Sheet2!$G$2:$G$1453),_xlfn.XLOOKUP(A469,TEXT(Sheet2!$A$2:$A$1453,"0"),Sheet2!$G$2:$G$1453,""))</f>
        <v>6-8-2026</v>
      </c>
    </row>
    <row r="470" spans="1:7" x14ac:dyDescent="0.2">
      <c r="A470" s="1">
        <v>20309060191</v>
      </c>
      <c r="B470" t="str" cm="1">
        <f t="array" ref="B470">IFERROR(_xlfn.XLOOKUP(A470,Sheet2!$A$2:$A$1453,Sheet2!$B$2:$B$1453),_xlfn.XLOOKUP(A470,TEXT(Sheet2!$A$2:$A$1453,"0"),Sheet2!$B$2:$B$1453,""))</f>
        <v>NIVEA ROLL DRY WOMEN 50ML 80032</v>
      </c>
      <c r="C470" s="2">
        <v>18.84</v>
      </c>
      <c r="D470" s="2" cm="1">
        <f t="array" ref="D470">_xlfn.LET(_xlpm.v,IFERROR(_xlfn.XLOOKUP(A470,Sheet2!$A$2:$A$1453,Sheet2!$D$2:$D$1453),_xlfn.XLOOKUP(A470,TEXT(Sheet2!$A$2:$A$1453,"0"),Sheet2!$D$2:$D$1453,"")),IF(_xlpm.v="","",IF(_xlpm.v&lt;1,_xlpm.v*100,_xlpm.v)))</f>
        <v>15</v>
      </c>
      <c r="E470" s="2">
        <f t="shared" si="7"/>
        <v>16.013999999999999</v>
      </c>
      <c r="F470" s="2" t="str" cm="1">
        <f t="array" ref="F470">IFERROR(_xlfn.XLOOKUP(A470,Sheet2!$A$2:$A$1453,Sheet2!$F$2:$F$1453),_xlfn.XLOOKUP(A470,TEXT(Sheet2!$A$2:$A$1453,"0"),Sheet2!$F$2:$F$1453,""))</f>
        <v>26-7-2026</v>
      </c>
      <c r="G470" s="2" t="str" cm="1">
        <f t="array" ref="G470">IFERROR(_xlfn.XLOOKUP(A470,Sheet2!$A$2:$A$1453,Sheet2!$G$2:$G$1453),_xlfn.XLOOKUP(A470,TEXT(Sheet2!$A$2:$A$1453,"0"),Sheet2!$G$2:$G$1453,""))</f>
        <v>6-8-2026</v>
      </c>
    </row>
    <row r="471" spans="1:7" x14ac:dyDescent="0.2">
      <c r="A471" s="1">
        <v>20309500503</v>
      </c>
      <c r="B471" t="str" cm="1">
        <f t="array" ref="B471">IFERROR(_xlfn.XLOOKUP(A471,Sheet2!$A$2:$A$1453,Sheet2!$B$2:$B$1453),_xlfn.XLOOKUP(A471,TEXT(Sheet2!$A$2:$A$1453,"0"),Sheet2!$B$2:$B$1453,""))</f>
        <v> VEET WAX STRIPS SENSETIVE SKIN 20 WAX STRIPS</v>
      </c>
      <c r="C471" s="2">
        <v>40.83</v>
      </c>
      <c r="D471" s="2" cm="1">
        <f t="array" ref="D471">_xlfn.LET(_xlpm.v,IFERROR(_xlfn.XLOOKUP(A471,Sheet2!$A$2:$A$1453,Sheet2!$D$2:$D$1453),_xlfn.XLOOKUP(A471,TEXT(Sheet2!$A$2:$A$1453,"0"),Sheet2!$D$2:$D$1453,"")),IF(_xlpm.v="","",IF(_xlpm.v&lt;1,_xlpm.v*100,_xlpm.v)))</f>
        <v>20</v>
      </c>
      <c r="E471" s="2">
        <f t="shared" si="7"/>
        <v>32.664000000000001</v>
      </c>
      <c r="F471" s="2" t="str" cm="1">
        <f t="array" ref="F471">IFERROR(_xlfn.XLOOKUP(A471,Sheet2!$A$2:$A$1453,Sheet2!$F$2:$F$1453),_xlfn.XLOOKUP(A471,TEXT(Sheet2!$A$2:$A$1453,"0"),Sheet2!$F$2:$F$1453,""))</f>
        <v>26-7-2026</v>
      </c>
      <c r="G471" s="2" t="str" cm="1">
        <f t="array" ref="G471">IFERROR(_xlfn.XLOOKUP(A471,Sheet2!$A$2:$A$1453,Sheet2!$G$2:$G$1453),_xlfn.XLOOKUP(A471,TEXT(Sheet2!$A$2:$A$1453,"0"),Sheet2!$G$2:$G$1453,""))</f>
        <v>6-8-2026</v>
      </c>
    </row>
    <row r="472" spans="1:7" x14ac:dyDescent="0.2">
      <c r="A472" s="1">
        <v>20309060596</v>
      </c>
      <c r="B472" t="str" cm="1">
        <f t="array" ref="B472">IFERROR(_xlfn.XLOOKUP(A472,Sheet2!$A$2:$A$1453,Sheet2!$B$2:$B$1453),_xlfn.XLOOKUP(A472,TEXT(Sheet2!$A$2:$A$1453,"0"),Sheet2!$B$2:$B$1453,""))</f>
        <v>NIVEA B&amp;W MEN DEO ROLL 50 ML 80053</v>
      </c>
      <c r="C472" s="2">
        <v>18.84</v>
      </c>
      <c r="D472" s="2" cm="1">
        <f t="array" ref="D472">_xlfn.LET(_xlpm.v,IFERROR(_xlfn.XLOOKUP(A472,Sheet2!$A$2:$A$1453,Sheet2!$D$2:$D$1453),_xlfn.XLOOKUP(A472,TEXT(Sheet2!$A$2:$A$1453,"0"),Sheet2!$D$2:$D$1453,"")),IF(_xlpm.v="","",IF(_xlpm.v&lt;1,_xlpm.v*100,_xlpm.v)))</f>
        <v>15</v>
      </c>
      <c r="E472" s="2">
        <f t="shared" si="7"/>
        <v>16.013999999999999</v>
      </c>
      <c r="F472" s="2" t="str" cm="1">
        <f t="array" ref="F472">IFERROR(_xlfn.XLOOKUP(A472,Sheet2!$A$2:$A$1453,Sheet2!$F$2:$F$1453),_xlfn.XLOOKUP(A472,TEXT(Sheet2!$A$2:$A$1453,"0"),Sheet2!$F$2:$F$1453,""))</f>
        <v>26-7-2026</v>
      </c>
      <c r="G472" s="2" t="str" cm="1">
        <f t="array" ref="G472">IFERROR(_xlfn.XLOOKUP(A472,Sheet2!$A$2:$A$1453,Sheet2!$G$2:$G$1453),_xlfn.XLOOKUP(A472,TEXT(Sheet2!$A$2:$A$1453,"0"),Sheet2!$G$2:$G$1453,""))</f>
        <v>6-8-2026</v>
      </c>
    </row>
    <row r="473" spans="1:7" x14ac:dyDescent="0.2">
      <c r="A473" s="1">
        <v>20309020102</v>
      </c>
      <c r="B473" t="str" cm="1">
        <f t="array" ref="B473">IFERROR(_xlfn.XLOOKUP(A473,Sheet2!$A$2:$A$1453,Sheet2!$B$2:$B$1453),_xlfn.XLOOKUP(A473,TEXT(Sheet2!$A$2:$A$1453,"0"),Sheet2!$B$2:$B$1453,""))</f>
        <v>VASELINE HEALTHY EVEN TONE LOTION 200 ML205179</v>
      </c>
      <c r="C473" s="2">
        <v>19.78</v>
      </c>
      <c r="D473" s="2" cm="1">
        <f t="array" ref="D473">_xlfn.LET(_xlpm.v,IFERROR(_xlfn.XLOOKUP(A473,Sheet2!$A$2:$A$1453,Sheet2!$D$2:$D$1453),_xlfn.XLOOKUP(A473,TEXT(Sheet2!$A$2:$A$1453,"0"),Sheet2!$D$2:$D$1453,"")),IF(_xlpm.v="","",IF(_xlpm.v&lt;1,_xlpm.v*100,_xlpm.v)))</f>
        <v>15</v>
      </c>
      <c r="E473" s="2">
        <f t="shared" si="7"/>
        <v>16.812999999999999</v>
      </c>
      <c r="F473" s="2" t="str" cm="1">
        <f t="array" ref="F473">IFERROR(_xlfn.XLOOKUP(A473,Sheet2!$A$2:$A$1453,Sheet2!$F$2:$F$1453),_xlfn.XLOOKUP(A473,TEXT(Sheet2!$A$2:$A$1453,"0"),Sheet2!$F$2:$F$1453,""))</f>
        <v>26-7-2026</v>
      </c>
      <c r="G473" s="2" t="str" cm="1">
        <f t="array" ref="G473">IFERROR(_xlfn.XLOOKUP(A473,Sheet2!$A$2:$A$1453,Sheet2!$G$2:$G$1453),_xlfn.XLOOKUP(A473,TEXT(Sheet2!$A$2:$A$1453,"0"),Sheet2!$G$2:$G$1453,""))</f>
        <v>6-8-2026</v>
      </c>
    </row>
    <row r="474" spans="1:7" x14ac:dyDescent="0.2">
      <c r="A474" s="1">
        <v>20309060665</v>
      </c>
      <c r="B474" t="str" cm="1">
        <f t="array" ref="B474">IFERROR(_xlfn.XLOOKUP(A474,Sheet2!$A$2:$A$1453,Sheet2!$B$2:$B$1453),_xlfn.XLOOKUP(A474,TEXT(Sheet2!$A$2:$A$1453,"0"),Sheet2!$B$2:$B$1453,""))</f>
        <v>NIVEA DEO ROLL-ON MALE DEEP 50ML 80141</v>
      </c>
      <c r="C474" s="2">
        <v>18.84</v>
      </c>
      <c r="D474" s="2" cm="1">
        <f t="array" ref="D474">_xlfn.LET(_xlpm.v,IFERROR(_xlfn.XLOOKUP(A474,Sheet2!$A$2:$A$1453,Sheet2!$D$2:$D$1453),_xlfn.XLOOKUP(A474,TEXT(Sheet2!$A$2:$A$1453,"0"),Sheet2!$D$2:$D$1453,"")),IF(_xlpm.v="","",IF(_xlpm.v&lt;1,_xlpm.v*100,_xlpm.v)))</f>
        <v>15</v>
      </c>
      <c r="E474" s="2">
        <f t="shared" si="7"/>
        <v>16.013999999999999</v>
      </c>
      <c r="F474" s="2" t="str" cm="1">
        <f t="array" ref="F474">IFERROR(_xlfn.XLOOKUP(A474,Sheet2!$A$2:$A$1453,Sheet2!$F$2:$F$1453),_xlfn.XLOOKUP(A474,TEXT(Sheet2!$A$2:$A$1453,"0"),Sheet2!$F$2:$F$1453,""))</f>
        <v>26-7-2026</v>
      </c>
      <c r="G474" s="2" t="str" cm="1">
        <f t="array" ref="G474">IFERROR(_xlfn.XLOOKUP(A474,Sheet2!$A$2:$A$1453,Sheet2!$G$2:$G$1453),_xlfn.XLOOKUP(A474,TEXT(Sheet2!$A$2:$A$1453,"0"),Sheet2!$G$2:$G$1453,""))</f>
        <v>6-8-2026</v>
      </c>
    </row>
    <row r="475" spans="1:7" x14ac:dyDescent="0.2">
      <c r="A475" s="1">
        <v>20309011806</v>
      </c>
      <c r="B475" t="str" cm="1">
        <f t="array" ref="B475">IFERROR(_xlfn.XLOOKUP(A475,Sheet2!$A$2:$A$1453,Sheet2!$B$2:$B$1453),_xlfn.XLOOKUP(A475,TEXT(Sheet2!$A$2:$A$1453,"0"),Sheet2!$B$2:$B$1453,""))</f>
        <v>HERBAL ESSENCES SHAMPO ARGAN OIL OF MOROCCO 400ML</v>
      </c>
      <c r="C475" s="2">
        <v>24.73</v>
      </c>
      <c r="D475" s="2" cm="1">
        <f t="array" ref="D475">_xlfn.LET(_xlpm.v,IFERROR(_xlfn.XLOOKUP(A475,Sheet2!$A$2:$A$1453,Sheet2!$D$2:$D$1453),_xlfn.XLOOKUP(A475,TEXT(Sheet2!$A$2:$A$1453,"0"),Sheet2!$D$2:$D$1453,"")),IF(_xlpm.v="","",IF(_xlpm.v&lt;1,_xlpm.v*100,_xlpm.v)))</f>
        <v>15</v>
      </c>
      <c r="E475" s="2">
        <f t="shared" si="7"/>
        <v>21.020499999999998</v>
      </c>
      <c r="F475" s="2" t="str" cm="1">
        <f t="array" ref="F475">IFERROR(_xlfn.XLOOKUP(A475,Sheet2!$A$2:$A$1453,Sheet2!$F$2:$F$1453),_xlfn.XLOOKUP(A475,TEXT(Sheet2!$A$2:$A$1453,"0"),Sheet2!$F$2:$F$1453,""))</f>
        <v>26-7-2026</v>
      </c>
      <c r="G475" s="2" t="str" cm="1">
        <f t="array" ref="G475">IFERROR(_xlfn.XLOOKUP(A475,Sheet2!$A$2:$A$1453,Sheet2!$G$2:$G$1453),_xlfn.XLOOKUP(A475,TEXT(Sheet2!$A$2:$A$1453,"0"),Sheet2!$G$2:$G$1453,""))</f>
        <v>6-8-2026</v>
      </c>
    </row>
    <row r="476" spans="1:7" x14ac:dyDescent="0.2">
      <c r="A476" s="1">
        <v>20309502166</v>
      </c>
      <c r="B476" t="str" cm="1">
        <f t="array" ref="B476">IFERROR(_xlfn.XLOOKUP(A476,Sheet2!$A$2:$A$1453,Sheet2!$B$2:$B$1453),_xlfn.XLOOKUP(A476,TEXT(Sheet2!$A$2:$A$1453,"0"),Sheet2!$B$2:$B$1453,""))</f>
        <v>MASCULAN LUBRICANT 75ML STRA</v>
      </c>
      <c r="C476" s="2">
        <v>30.6</v>
      </c>
      <c r="D476" s="2" cm="1">
        <f t="array" ref="D476">_xlfn.LET(_xlpm.v,IFERROR(_xlfn.XLOOKUP(A476,Sheet2!$A$2:$A$1453,Sheet2!$D$2:$D$1453),_xlfn.XLOOKUP(A476,TEXT(Sheet2!$A$2:$A$1453,"0"),Sheet2!$D$2:$D$1453,"")),IF(_xlpm.v="","",IF(_xlpm.v&lt;1,_xlpm.v*100,_xlpm.v)))</f>
        <v>15</v>
      </c>
      <c r="E476" s="2">
        <f t="shared" si="7"/>
        <v>26.01</v>
      </c>
      <c r="F476" s="2" t="str" cm="1">
        <f t="array" ref="F476">IFERROR(_xlfn.XLOOKUP(A476,Sheet2!$A$2:$A$1453,Sheet2!$F$2:$F$1453),_xlfn.XLOOKUP(A476,TEXT(Sheet2!$A$2:$A$1453,"0"),Sheet2!$F$2:$F$1453,""))</f>
        <v>26-7-2026</v>
      </c>
      <c r="G476" s="2" t="str" cm="1">
        <f t="array" ref="G476">IFERROR(_xlfn.XLOOKUP(A476,Sheet2!$A$2:$A$1453,Sheet2!$G$2:$G$1453),_xlfn.XLOOKUP(A476,TEXT(Sheet2!$A$2:$A$1453,"0"),Sheet2!$G$2:$G$1453,""))</f>
        <v>6-8-2026</v>
      </c>
    </row>
    <row r="477" spans="1:7" x14ac:dyDescent="0.2">
      <c r="A477" s="1">
        <v>20309500501</v>
      </c>
      <c r="B477" t="str" cm="1">
        <f t="array" ref="B477">IFERROR(_xlfn.XLOOKUP(A477,Sheet2!$A$2:$A$1453,Sheet2!$B$2:$B$1453),_xlfn.XLOOKUP(A477,TEXT(Sheet2!$A$2:$A$1453,"0"),Sheet2!$B$2:$B$1453,""))</f>
        <v> VEET WAX STRIPS DRY SKIN 20 WAX  STRIPS</v>
      </c>
      <c r="C477" s="2">
        <v>40.83</v>
      </c>
      <c r="D477" s="2" cm="1">
        <f t="array" ref="D477">_xlfn.LET(_xlpm.v,IFERROR(_xlfn.XLOOKUP(A477,Sheet2!$A$2:$A$1453,Sheet2!$D$2:$D$1453),_xlfn.XLOOKUP(A477,TEXT(Sheet2!$A$2:$A$1453,"0"),Sheet2!$D$2:$D$1453,"")),IF(_xlpm.v="","",IF(_xlpm.v&lt;1,_xlpm.v*100,_xlpm.v)))</f>
        <v>20</v>
      </c>
      <c r="E477" s="2">
        <f t="shared" si="7"/>
        <v>32.664000000000001</v>
      </c>
      <c r="F477" s="2" t="str" cm="1">
        <f t="array" ref="F477">IFERROR(_xlfn.XLOOKUP(A477,Sheet2!$A$2:$A$1453,Sheet2!$F$2:$F$1453),_xlfn.XLOOKUP(A477,TEXT(Sheet2!$A$2:$A$1453,"0"),Sheet2!$F$2:$F$1453,""))</f>
        <v>26-7-2026</v>
      </c>
      <c r="G477" s="2" t="str" cm="1">
        <f t="array" ref="G477">IFERROR(_xlfn.XLOOKUP(A477,Sheet2!$A$2:$A$1453,Sheet2!$G$2:$G$1453),_xlfn.XLOOKUP(A477,TEXT(Sheet2!$A$2:$A$1453,"0"),Sheet2!$G$2:$G$1453,""))</f>
        <v>6-8-2026</v>
      </c>
    </row>
    <row r="478" spans="1:7" x14ac:dyDescent="0.2">
      <c r="A478" s="1">
        <v>20309060194</v>
      </c>
      <c r="B478" t="str" cm="1">
        <f t="array" ref="B478">IFERROR(_xlfn.XLOOKUP(A478,Sheet2!$A$2:$A$1453,Sheet2!$B$2:$B$1453),_xlfn.XLOOKUP(A478,TEXT(Sheet2!$A$2:$A$1453,"0"),Sheet2!$B$2:$B$1453,""))</f>
        <v>NIVEA ROLL FRESH ACTIVE MEN  50ML 80029</v>
      </c>
      <c r="C478" s="2">
        <v>18.84</v>
      </c>
      <c r="D478" s="2" cm="1">
        <f t="array" ref="D478">_xlfn.LET(_xlpm.v,IFERROR(_xlfn.XLOOKUP(A478,Sheet2!$A$2:$A$1453,Sheet2!$D$2:$D$1453),_xlfn.XLOOKUP(A478,TEXT(Sheet2!$A$2:$A$1453,"0"),Sheet2!$D$2:$D$1453,"")),IF(_xlpm.v="","",IF(_xlpm.v&lt;1,_xlpm.v*100,_xlpm.v)))</f>
        <v>15</v>
      </c>
      <c r="E478" s="2">
        <f t="shared" si="7"/>
        <v>16.013999999999999</v>
      </c>
      <c r="F478" s="2" t="str" cm="1">
        <f t="array" ref="F478">IFERROR(_xlfn.XLOOKUP(A478,Sheet2!$A$2:$A$1453,Sheet2!$F$2:$F$1453),_xlfn.XLOOKUP(A478,TEXT(Sheet2!$A$2:$A$1453,"0"),Sheet2!$F$2:$F$1453,""))</f>
        <v>26-7-2026</v>
      </c>
      <c r="G478" s="2" t="str" cm="1">
        <f t="array" ref="G478">IFERROR(_xlfn.XLOOKUP(A478,Sheet2!$A$2:$A$1453,Sheet2!$G$2:$G$1453),_xlfn.XLOOKUP(A478,TEXT(Sheet2!$A$2:$A$1453,"0"),Sheet2!$G$2:$G$1453,""))</f>
        <v>6-8-2026</v>
      </c>
    </row>
    <row r="479" spans="1:7" x14ac:dyDescent="0.2">
      <c r="A479" s="1">
        <v>20309502162</v>
      </c>
      <c r="B479" t="str" cm="1">
        <f t="array" ref="B479">IFERROR(_xlfn.XLOOKUP(A479,Sheet2!$A$2:$A$1453,Sheet2!$B$2:$B$1453),_xlfn.XLOOKUP(A479,TEXT(Sheet2!$A$2:$A$1453,"0"),Sheet2!$B$2:$B$1453,""))</f>
        <v>MASCULAN 10 CONDOMS SENSITIV</v>
      </c>
      <c r="C479" s="2">
        <v>25.6</v>
      </c>
      <c r="D479" s="2" cm="1">
        <f t="array" ref="D479">_xlfn.LET(_xlpm.v,IFERROR(_xlfn.XLOOKUP(A479,Sheet2!$A$2:$A$1453,Sheet2!$D$2:$D$1453),_xlfn.XLOOKUP(A479,TEXT(Sheet2!$A$2:$A$1453,"0"),Sheet2!$D$2:$D$1453,"")),IF(_xlpm.v="","",IF(_xlpm.v&lt;1,_xlpm.v*100,_xlpm.v)))</f>
        <v>15</v>
      </c>
      <c r="E479" s="2">
        <f t="shared" si="7"/>
        <v>21.76</v>
      </c>
      <c r="F479" s="2" t="str" cm="1">
        <f t="array" ref="F479">IFERROR(_xlfn.XLOOKUP(A479,Sheet2!$A$2:$A$1453,Sheet2!$F$2:$F$1453),_xlfn.XLOOKUP(A479,TEXT(Sheet2!$A$2:$A$1453,"0"),Sheet2!$F$2:$F$1453,""))</f>
        <v>26-7-2026</v>
      </c>
      <c r="G479" s="2" t="str" cm="1">
        <f t="array" ref="G479">IFERROR(_xlfn.XLOOKUP(A479,Sheet2!$A$2:$A$1453,Sheet2!$G$2:$G$1453),_xlfn.XLOOKUP(A479,TEXT(Sheet2!$A$2:$A$1453,"0"),Sheet2!$G$2:$G$1453,""))</f>
        <v>6-8-2026</v>
      </c>
    </row>
    <row r="480" spans="1:7" x14ac:dyDescent="0.2">
      <c r="A480" s="1">
        <v>20309060125</v>
      </c>
      <c r="B480" t="str" cm="1">
        <f t="array" ref="B480">IFERROR(_xlfn.XLOOKUP(A480,Sheet2!$A$2:$A$1453,Sheet2!$B$2:$B$1453),_xlfn.XLOOKUP(A480,TEXT(Sheet2!$A$2:$A$1453,"0"),Sheet2!$B$2:$B$1453,""))</f>
        <v>NIVEA SPRAY PEARL&amp; BEAUTY 200ML 80041</v>
      </c>
      <c r="C480" s="2">
        <v>27.41</v>
      </c>
      <c r="D480" s="2" cm="1">
        <f t="array" ref="D480">_xlfn.LET(_xlpm.v,IFERROR(_xlfn.XLOOKUP(A480,Sheet2!$A$2:$A$1453,Sheet2!$D$2:$D$1453),_xlfn.XLOOKUP(A480,TEXT(Sheet2!$A$2:$A$1453,"0"),Sheet2!$D$2:$D$1453,"")),IF(_xlpm.v="","",IF(_xlpm.v&lt;1,_xlpm.v*100,_xlpm.v)))</f>
        <v>15</v>
      </c>
      <c r="E480" s="2">
        <f t="shared" si="7"/>
        <v>23.298500000000001</v>
      </c>
      <c r="F480" s="2" t="str" cm="1">
        <f t="array" ref="F480">IFERROR(_xlfn.XLOOKUP(A480,Sheet2!$A$2:$A$1453,Sheet2!$F$2:$F$1453),_xlfn.XLOOKUP(A480,TEXT(Sheet2!$A$2:$A$1453,"0"),Sheet2!$F$2:$F$1453,""))</f>
        <v>26-7-2026</v>
      </c>
      <c r="G480" s="2" t="str" cm="1">
        <f t="array" ref="G480">IFERROR(_xlfn.XLOOKUP(A480,Sheet2!$A$2:$A$1453,Sheet2!$G$2:$G$1453),_xlfn.XLOOKUP(A480,TEXT(Sheet2!$A$2:$A$1453,"0"),Sheet2!$G$2:$G$1453,""))</f>
        <v>6-8-2026</v>
      </c>
    </row>
    <row r="481" spans="1:7" x14ac:dyDescent="0.2">
      <c r="A481" s="1">
        <v>20309502164</v>
      </c>
      <c r="B481" t="str" cm="1">
        <f t="array" ref="B481">IFERROR(_xlfn.XLOOKUP(A481,Sheet2!$A$2:$A$1453,Sheet2!$B$2:$B$1453),_xlfn.XLOOKUP(A481,TEXT(Sheet2!$A$2:$A$1453,"0"),Sheet2!$B$2:$B$1453,""))</f>
        <v>MASCULAN 3 CONDOMS SENSITIVE</v>
      </c>
      <c r="C481" s="2">
        <v>16.5</v>
      </c>
      <c r="D481" s="2" cm="1">
        <f t="array" ref="D481">_xlfn.LET(_xlpm.v,IFERROR(_xlfn.XLOOKUP(A481,Sheet2!$A$2:$A$1453,Sheet2!$D$2:$D$1453),_xlfn.XLOOKUP(A481,TEXT(Sheet2!$A$2:$A$1453,"0"),Sheet2!$D$2:$D$1453,"")),IF(_xlpm.v="","",IF(_xlpm.v&lt;1,_xlpm.v*100,_xlpm.v)))</f>
        <v>15</v>
      </c>
      <c r="E481" s="2">
        <f t="shared" si="7"/>
        <v>14.025</v>
      </c>
      <c r="F481" s="2" t="str" cm="1">
        <f t="array" ref="F481">IFERROR(_xlfn.XLOOKUP(A481,Sheet2!$A$2:$A$1453,Sheet2!$F$2:$F$1453),_xlfn.XLOOKUP(A481,TEXT(Sheet2!$A$2:$A$1453,"0"),Sheet2!$F$2:$F$1453,""))</f>
        <v>26-7-2026</v>
      </c>
      <c r="G481" s="2" t="str" cm="1">
        <f t="array" ref="G481">IFERROR(_xlfn.XLOOKUP(A481,Sheet2!$A$2:$A$1453,Sheet2!$G$2:$G$1453),_xlfn.XLOOKUP(A481,TEXT(Sheet2!$A$2:$A$1453,"0"),Sheet2!$G$2:$G$1453,""))</f>
        <v>6-8-2026</v>
      </c>
    </row>
    <row r="482" spans="1:7" x14ac:dyDescent="0.2">
      <c r="A482" s="1">
        <v>20309010230</v>
      </c>
      <c r="B482" t="str" cm="1">
        <f t="array" ref="B482">IFERROR(_xlfn.XLOOKUP(A482,Sheet2!$A$2:$A$1453,Sheet2!$B$2:$B$1453),_xlfn.XLOOKUP(A482,TEXT(Sheet2!$A$2:$A$1453,"0"),Sheet2!$B$2:$B$1453,""))</f>
        <v> SUNSILK SHAMPO SHINE STRENGTH 700 ML 203910</v>
      </c>
      <c r="C482" s="2">
        <v>33.35</v>
      </c>
      <c r="D482" s="2" cm="1">
        <f t="array" ref="D482">_xlfn.LET(_xlpm.v,IFERROR(_xlfn.XLOOKUP(A482,Sheet2!$A$2:$A$1453,Sheet2!$D$2:$D$1453),_xlfn.XLOOKUP(A482,TEXT(Sheet2!$A$2:$A$1453,"0"),Sheet2!$D$2:$D$1453,"")),IF(_xlpm.v="","",IF(_xlpm.v&lt;1,_xlpm.v*100,_xlpm.v)))</f>
        <v>15</v>
      </c>
      <c r="E482" s="2">
        <f t="shared" si="7"/>
        <v>28.3475</v>
      </c>
      <c r="F482" s="2" t="str" cm="1">
        <f t="array" ref="F482">IFERROR(_xlfn.XLOOKUP(A482,Sheet2!$A$2:$A$1453,Sheet2!$F$2:$F$1453),_xlfn.XLOOKUP(A482,TEXT(Sheet2!$A$2:$A$1453,"0"),Sheet2!$F$2:$F$1453,""))</f>
        <v>26-7-2026</v>
      </c>
      <c r="G482" s="2" t="str" cm="1">
        <f t="array" ref="G482">IFERROR(_xlfn.XLOOKUP(A482,Sheet2!$A$2:$A$1453,Sheet2!$G$2:$G$1453),_xlfn.XLOOKUP(A482,TEXT(Sheet2!$A$2:$A$1453,"0"),Sheet2!$G$2:$G$1453,""))</f>
        <v>6-8-2026</v>
      </c>
    </row>
    <row r="483" spans="1:7" x14ac:dyDescent="0.2">
      <c r="A483" s="1">
        <v>20309010236</v>
      </c>
      <c r="B483" t="str" cm="1">
        <f t="array" ref="B483">IFERROR(_xlfn.XLOOKUP(A483,Sheet2!$A$2:$A$1453,Sheet2!$B$2:$B$1453),_xlfn.XLOOKUP(A483,TEXT(Sheet2!$A$2:$A$1453,"0"),Sheet2!$B$2:$B$1453,""))</f>
        <v> SUNSILK SHAMPO SHINE STRENGTH  400 ML 203897</v>
      </c>
      <c r="C483" s="2">
        <v>21.16</v>
      </c>
      <c r="D483" s="2" cm="1">
        <f t="array" ref="D483">_xlfn.LET(_xlpm.v,IFERROR(_xlfn.XLOOKUP(A483,Sheet2!$A$2:$A$1453,Sheet2!$D$2:$D$1453),_xlfn.XLOOKUP(A483,TEXT(Sheet2!$A$2:$A$1453,"0"),Sheet2!$D$2:$D$1453,"")),IF(_xlpm.v="","",IF(_xlpm.v&lt;1,_xlpm.v*100,_xlpm.v)))</f>
        <v>15</v>
      </c>
      <c r="E483" s="2">
        <f t="shared" si="7"/>
        <v>17.986000000000001</v>
      </c>
      <c r="F483" s="2" t="str" cm="1">
        <f t="array" ref="F483">IFERROR(_xlfn.XLOOKUP(A483,Sheet2!$A$2:$A$1453,Sheet2!$F$2:$F$1453),_xlfn.XLOOKUP(A483,TEXT(Sheet2!$A$2:$A$1453,"0"),Sheet2!$F$2:$F$1453,""))</f>
        <v>26-7-2026</v>
      </c>
      <c r="G483" s="2" t="str" cm="1">
        <f t="array" ref="G483">IFERROR(_xlfn.XLOOKUP(A483,Sheet2!$A$2:$A$1453,Sheet2!$G$2:$G$1453),_xlfn.XLOOKUP(A483,TEXT(Sheet2!$A$2:$A$1453,"0"),Sheet2!$G$2:$G$1453,""))</f>
        <v>6-8-2026</v>
      </c>
    </row>
    <row r="484" spans="1:7" x14ac:dyDescent="0.2">
      <c r="A484" s="1">
        <v>20309021281</v>
      </c>
      <c r="B484" t="str" cm="1">
        <f t="array" ref="B484">IFERROR(_xlfn.XLOOKUP(A484,Sheet2!$A$2:$A$1453,Sheet2!$B$2:$B$1453),_xlfn.XLOOKUP(A484,TEXT(Sheet2!$A$2:$A$1453,"0"),Sheet2!$B$2:$B$1453,""))</f>
        <v>NAIR SPRAY LEMON 200ML 302028594</v>
      </c>
      <c r="C484" s="2">
        <v>36.51</v>
      </c>
      <c r="D484" s="2" cm="1">
        <f t="array" ref="D484">_xlfn.LET(_xlpm.v,IFERROR(_xlfn.XLOOKUP(A484,Sheet2!$A$2:$A$1453,Sheet2!$D$2:$D$1453),_xlfn.XLOOKUP(A484,TEXT(Sheet2!$A$2:$A$1453,"0"),Sheet2!$D$2:$D$1453,"")),IF(_xlpm.v="","",IF(_xlpm.v&lt;1,_xlpm.v*100,_xlpm.v)))</f>
        <v>33</v>
      </c>
      <c r="E484" s="2">
        <f t="shared" si="7"/>
        <v>24.461699999999997</v>
      </c>
      <c r="F484" s="2" t="str" cm="1">
        <f t="array" ref="F484">IFERROR(_xlfn.XLOOKUP(A484,Sheet2!$A$2:$A$1453,Sheet2!$F$2:$F$1453),_xlfn.XLOOKUP(A484,TEXT(Sheet2!$A$2:$A$1453,"0"),Sheet2!$F$2:$F$1453,""))</f>
        <v>26-7-2026</v>
      </c>
      <c r="G484" s="2" t="str" cm="1">
        <f t="array" ref="G484">IFERROR(_xlfn.XLOOKUP(A484,Sheet2!$A$2:$A$1453,Sheet2!$G$2:$G$1453),_xlfn.XLOOKUP(A484,TEXT(Sheet2!$A$2:$A$1453,"0"),Sheet2!$G$2:$G$1453,""))</f>
        <v>6-8-2026</v>
      </c>
    </row>
    <row r="485" spans="1:7" x14ac:dyDescent="0.2">
      <c r="A485" s="1">
        <v>20309501898</v>
      </c>
      <c r="B485" t="str" cm="1">
        <f t="array" ref="B485">IFERROR(_xlfn.XLOOKUP(A485,Sheet2!$A$2:$A$1453,Sheet2!$B$2:$B$1453),_xlfn.XLOOKUP(A485,TEXT(Sheet2!$A$2:$A$1453,"0"),Sheet2!$B$2:$B$1453,""))</f>
        <v>ULTRA DOUX HONEY TREASURES SHAMPO 400ML 594810</v>
      </c>
      <c r="C485" s="2">
        <v>24.15</v>
      </c>
      <c r="D485" s="2" cm="1">
        <f t="array" ref="D485">_xlfn.LET(_xlpm.v,IFERROR(_xlfn.XLOOKUP(A485,Sheet2!$A$2:$A$1453,Sheet2!$D$2:$D$1453),_xlfn.XLOOKUP(A485,TEXT(Sheet2!$A$2:$A$1453,"0"),Sheet2!$D$2:$D$1453,"")),IF(_xlpm.v="","",IF(_xlpm.v&lt;1,_xlpm.v*100,_xlpm.v)))</f>
        <v>25</v>
      </c>
      <c r="E485" s="2">
        <f t="shared" si="7"/>
        <v>18.112499999999997</v>
      </c>
      <c r="F485" s="2" t="str" cm="1">
        <f t="array" ref="F485">IFERROR(_xlfn.XLOOKUP(A485,Sheet2!$A$2:$A$1453,Sheet2!$F$2:$F$1453),_xlfn.XLOOKUP(A485,TEXT(Sheet2!$A$2:$A$1453,"0"),Sheet2!$F$2:$F$1453,""))</f>
        <v>26-7-2026</v>
      </c>
      <c r="G485" s="2" t="str" cm="1">
        <f t="array" ref="G485">IFERROR(_xlfn.XLOOKUP(A485,Sheet2!$A$2:$A$1453,Sheet2!$G$2:$G$1453),_xlfn.XLOOKUP(A485,TEXT(Sheet2!$A$2:$A$1453,"0"),Sheet2!$G$2:$G$1453,""))</f>
        <v>6-8-2026</v>
      </c>
    </row>
    <row r="486" spans="1:7" x14ac:dyDescent="0.2">
      <c r="A486" s="1">
        <v>20309060197</v>
      </c>
      <c r="B486" t="str" cm="1">
        <f t="array" ref="B486">IFERROR(_xlfn.XLOOKUP(A486,Sheet2!$A$2:$A$1453,Sheet2!$B$2:$B$1453),_xlfn.XLOOKUP(A486,TEXT(Sheet2!$A$2:$A$1453,"0"),Sheet2!$B$2:$B$1453,""))</f>
        <v>NIVEA ROLL POWDER TOUCH FEMAL 50ML 80076</v>
      </c>
      <c r="C486" s="2">
        <v>18.84</v>
      </c>
      <c r="D486" s="2" cm="1">
        <f t="array" ref="D486">_xlfn.LET(_xlpm.v,IFERROR(_xlfn.XLOOKUP(A486,Sheet2!$A$2:$A$1453,Sheet2!$D$2:$D$1453),_xlfn.XLOOKUP(A486,TEXT(Sheet2!$A$2:$A$1453,"0"),Sheet2!$D$2:$D$1453,"")),IF(_xlpm.v="","",IF(_xlpm.v&lt;1,_xlpm.v*100,_xlpm.v)))</f>
        <v>15</v>
      </c>
      <c r="E486" s="2">
        <f t="shared" si="7"/>
        <v>16.013999999999999</v>
      </c>
      <c r="F486" s="2" t="str" cm="1">
        <f t="array" ref="F486">IFERROR(_xlfn.XLOOKUP(A486,Sheet2!$A$2:$A$1453,Sheet2!$F$2:$F$1453),_xlfn.XLOOKUP(A486,TEXT(Sheet2!$A$2:$A$1453,"0"),Sheet2!$F$2:$F$1453,""))</f>
        <v>26-7-2026</v>
      </c>
      <c r="G486" s="2" t="str" cm="1">
        <f t="array" ref="G486">IFERROR(_xlfn.XLOOKUP(A486,Sheet2!$A$2:$A$1453,Sheet2!$G$2:$G$1453),_xlfn.XLOOKUP(A486,TEXT(Sheet2!$A$2:$A$1453,"0"),Sheet2!$G$2:$G$1453,""))</f>
        <v>6-8-2026</v>
      </c>
    </row>
    <row r="487" spans="1:7" x14ac:dyDescent="0.2">
      <c r="A487" s="1">
        <v>20309060170</v>
      </c>
      <c r="B487" t="str" cm="1">
        <f t="array" ref="B487">IFERROR(_xlfn.XLOOKUP(A487,Sheet2!$A$2:$A$1453,Sheet2!$B$2:$B$1453),_xlfn.XLOOKUP(A487,TEXT(Sheet2!$A$2:$A$1453,"0"),Sheet2!$B$2:$B$1453,""))</f>
        <v>BEESLINE WHITENING DEO ROLL FRAGRANCE FREE</v>
      </c>
      <c r="C487" s="2">
        <v>74.75</v>
      </c>
      <c r="D487" s="2" cm="1">
        <f t="array" ref="D487">_xlfn.LET(_xlpm.v,IFERROR(_xlfn.XLOOKUP(A487,Sheet2!$A$2:$A$1453,Sheet2!$D$2:$D$1453),_xlfn.XLOOKUP(A487,TEXT(Sheet2!$A$2:$A$1453,"0"),Sheet2!$D$2:$D$1453,"")),IF(_xlpm.v="","",IF(_xlpm.v&lt;1,_xlpm.v*100,_xlpm.v)))</f>
        <v>20</v>
      </c>
      <c r="E487" s="2">
        <f t="shared" si="7"/>
        <v>59.800000000000004</v>
      </c>
      <c r="F487" s="2" t="str" cm="1">
        <f t="array" ref="F487">IFERROR(_xlfn.XLOOKUP(A487,Sheet2!$A$2:$A$1453,Sheet2!$F$2:$F$1453),_xlfn.XLOOKUP(A487,TEXT(Sheet2!$A$2:$A$1453,"0"),Sheet2!$F$2:$F$1453,""))</f>
        <v>26-7-2026</v>
      </c>
      <c r="G487" s="2" t="str" cm="1">
        <f t="array" ref="G487">IFERROR(_xlfn.XLOOKUP(A487,Sheet2!$A$2:$A$1453,Sheet2!$G$2:$G$1453),_xlfn.XLOOKUP(A487,TEXT(Sheet2!$A$2:$A$1453,"0"),Sheet2!$G$2:$G$1453,""))</f>
        <v>6-8-2026</v>
      </c>
    </row>
    <row r="488" spans="1:7" x14ac:dyDescent="0.2">
      <c r="A488" s="1">
        <v>20309500431</v>
      </c>
      <c r="B488" t="str" cm="1">
        <f t="array" ref="B488">IFERROR(_xlfn.XLOOKUP(A488,Sheet2!$A$2:$A$1453,Sheet2!$B$2:$B$1453),_xlfn.XLOOKUP(A488,TEXT(Sheet2!$A$2:$A$1453,"0"),Sheet2!$B$2:$B$1453,""))</f>
        <v>Masculan  Condom Long PLEASURE 10</v>
      </c>
      <c r="C488" s="2">
        <v>32</v>
      </c>
      <c r="D488" s="2" cm="1">
        <f t="array" ref="D488">_xlfn.LET(_xlpm.v,IFERROR(_xlfn.XLOOKUP(A488,Sheet2!$A$2:$A$1453,Sheet2!$D$2:$D$1453),_xlfn.XLOOKUP(A488,TEXT(Sheet2!$A$2:$A$1453,"0"),Sheet2!$D$2:$D$1453,"")),IF(_xlpm.v="","",IF(_xlpm.v&lt;1,_xlpm.v*100,_xlpm.v)))</f>
        <v>15</v>
      </c>
      <c r="E488" s="2">
        <f t="shared" si="7"/>
        <v>27.2</v>
      </c>
      <c r="F488" s="2" t="str" cm="1">
        <f t="array" ref="F488">IFERROR(_xlfn.XLOOKUP(A488,Sheet2!$A$2:$A$1453,Sheet2!$F$2:$F$1453),_xlfn.XLOOKUP(A488,TEXT(Sheet2!$A$2:$A$1453,"0"),Sheet2!$F$2:$F$1453,""))</f>
        <v>26-7-2026</v>
      </c>
      <c r="G488" s="2" t="str" cm="1">
        <f t="array" ref="G488">IFERROR(_xlfn.XLOOKUP(A488,Sheet2!$A$2:$A$1453,Sheet2!$G$2:$G$1453),_xlfn.XLOOKUP(A488,TEXT(Sheet2!$A$2:$A$1453,"0"),Sheet2!$G$2:$G$1453,""))</f>
        <v>6-8-2026</v>
      </c>
    </row>
    <row r="489" spans="1:7" x14ac:dyDescent="0.2">
      <c r="A489" s="1">
        <v>20312050657</v>
      </c>
      <c r="B489" t="str" cm="1">
        <f t="array" ref="B489">IFERROR(_xlfn.XLOOKUP(A489,Sheet2!$A$2:$A$1453,Sheet2!$B$2:$B$1453),_xlfn.XLOOKUP(A489,TEXT(Sheet2!$A$2:$A$1453,"0"),Sheet2!$B$2:$B$1453,""))</f>
        <v>WHITE GLO CHARCOAL BAD BREATH E</v>
      </c>
      <c r="C489" s="2">
        <v>35.57</v>
      </c>
      <c r="D489" s="2" cm="1">
        <f t="array" ref="D489">_xlfn.LET(_xlpm.v,IFERROR(_xlfn.XLOOKUP(A489,Sheet2!$A$2:$A$1453,Sheet2!$D$2:$D$1453),_xlfn.XLOOKUP(A489,TEXT(Sheet2!$A$2:$A$1453,"0"),Sheet2!$D$2:$D$1453,"")),IF(_xlpm.v="","",IF(_xlpm.v&lt;1,_xlpm.v*100,_xlpm.v)))</f>
        <v>30</v>
      </c>
      <c r="E489" s="2">
        <f t="shared" si="7"/>
        <v>24.898999999999997</v>
      </c>
      <c r="F489" s="2" t="str" cm="1">
        <f t="array" ref="F489">IFERROR(_xlfn.XLOOKUP(A489,Sheet2!$A$2:$A$1453,Sheet2!$F$2:$F$1453),_xlfn.XLOOKUP(A489,TEXT(Sheet2!$A$2:$A$1453,"0"),Sheet2!$F$2:$F$1453,""))</f>
        <v>26-7-2026</v>
      </c>
      <c r="G489" s="2" t="str" cm="1">
        <f t="array" ref="G489">IFERROR(_xlfn.XLOOKUP(A489,Sheet2!$A$2:$A$1453,Sheet2!$G$2:$G$1453),_xlfn.XLOOKUP(A489,TEXT(Sheet2!$A$2:$A$1453,"0"),Sheet2!$G$2:$G$1453,""))</f>
        <v>6-8-2026</v>
      </c>
    </row>
    <row r="490" spans="1:7" x14ac:dyDescent="0.2">
      <c r="A490" s="1">
        <v>20309501828</v>
      </c>
      <c r="B490" t="str" cm="1">
        <f t="array" ref="B490">IFERROR(_xlfn.XLOOKUP(A490,Sheet2!$A$2:$A$1453,Sheet2!$B$2:$B$1453),_xlfn.XLOOKUP(A490,TEXT(Sheet2!$A$2:$A$1453,"0"),Sheet2!$B$2:$B$1453,""))</f>
        <v>ULTRA DOUX AVOCADO KARITE SHAMPO 400ML 594620</v>
      </c>
      <c r="C490" s="2">
        <v>24.15</v>
      </c>
      <c r="D490" s="2" cm="1">
        <f t="array" ref="D490">_xlfn.LET(_xlpm.v,IFERROR(_xlfn.XLOOKUP(A490,Sheet2!$A$2:$A$1453,Sheet2!$D$2:$D$1453),_xlfn.XLOOKUP(A490,TEXT(Sheet2!$A$2:$A$1453,"0"),Sheet2!$D$2:$D$1453,"")),IF(_xlpm.v="","",IF(_xlpm.v&lt;1,_xlpm.v*100,_xlpm.v)))</f>
        <v>25</v>
      </c>
      <c r="E490" s="2">
        <f t="shared" si="7"/>
        <v>18.112499999999997</v>
      </c>
      <c r="F490" s="2" t="str" cm="1">
        <f t="array" ref="F490">IFERROR(_xlfn.XLOOKUP(A490,Sheet2!$A$2:$A$1453,Sheet2!$F$2:$F$1453),_xlfn.XLOOKUP(A490,TEXT(Sheet2!$A$2:$A$1453,"0"),Sheet2!$F$2:$F$1453,""))</f>
        <v>26-7-2026</v>
      </c>
      <c r="G490" s="2" t="str" cm="1">
        <f t="array" ref="G490">IFERROR(_xlfn.XLOOKUP(A490,Sheet2!$A$2:$A$1453,Sheet2!$G$2:$G$1453),_xlfn.XLOOKUP(A490,TEXT(Sheet2!$A$2:$A$1453,"0"),Sheet2!$G$2:$G$1453,""))</f>
        <v>6-8-2026</v>
      </c>
    </row>
    <row r="491" spans="1:7" x14ac:dyDescent="0.2">
      <c r="A491" s="1">
        <v>20309503830</v>
      </c>
      <c r="B491" t="str" cm="1">
        <f t="array" ref="B491">IFERROR(_xlfn.XLOOKUP(A491,Sheet2!$A$2:$A$1453,Sheet2!$B$2:$B$1453),_xlfn.XLOOKUP(A491,TEXT(Sheet2!$A$2:$A$1453,"0"),Sheet2!$B$2:$B$1453,""))</f>
        <v xml:space="preserve"> VAUVA BABY WIPES  80 PCS COTTON 100% BAGS 2+1</v>
      </c>
      <c r="C491" s="2">
        <v>36.799999999999997</v>
      </c>
      <c r="D491" s="2" cm="1">
        <f t="array" ref="D491">_xlfn.LET(_xlpm.v,IFERROR(_xlfn.XLOOKUP(A491,Sheet2!$A$2:$A$1453,Sheet2!$D$2:$D$1453),_xlfn.XLOOKUP(A491,TEXT(Sheet2!$A$2:$A$1453,"0"),Sheet2!$D$2:$D$1453,"")),IF(_xlpm.v="","",IF(_xlpm.v&lt;1,_xlpm.v*100,_xlpm.v)))</f>
        <v>25</v>
      </c>
      <c r="E491" s="2">
        <f t="shared" si="7"/>
        <v>27.599999999999998</v>
      </c>
      <c r="F491" s="2" t="str" cm="1">
        <f t="array" ref="F491">IFERROR(_xlfn.XLOOKUP(A491,Sheet2!$A$2:$A$1453,Sheet2!$F$2:$F$1453),_xlfn.XLOOKUP(A491,TEXT(Sheet2!$A$2:$A$1453,"0"),Sheet2!$F$2:$F$1453,""))</f>
        <v>26-7-2026</v>
      </c>
      <c r="G491" s="2" t="str" cm="1">
        <f t="array" ref="G491">IFERROR(_xlfn.XLOOKUP(A491,Sheet2!$A$2:$A$1453,Sheet2!$G$2:$G$1453),_xlfn.XLOOKUP(A491,TEXT(Sheet2!$A$2:$A$1453,"0"),Sheet2!$G$2:$G$1453,""))</f>
        <v>6-8-2026</v>
      </c>
    </row>
    <row r="492" spans="1:7" x14ac:dyDescent="0.2">
      <c r="A492" s="1">
        <v>20312050665</v>
      </c>
      <c r="B492" t="str" cm="1">
        <f t="array" ref="B492">IFERROR(_xlfn.XLOOKUP(A492,Sheet2!$A$2:$A$1453,Sheet2!$B$2:$B$1453),_xlfn.XLOOKUP(A492,TEXT(Sheet2!$A$2:$A$1453,"0"),Sheet2!$B$2:$B$1453,""))</f>
        <v>WHITE GLO SENSITIVE FORTE T.P 100M</v>
      </c>
      <c r="C492" s="2">
        <v>29.44</v>
      </c>
      <c r="D492" s="2" cm="1">
        <f t="array" ref="D492">_xlfn.LET(_xlpm.v,IFERROR(_xlfn.XLOOKUP(A492,Sheet2!$A$2:$A$1453,Sheet2!$D$2:$D$1453),_xlfn.XLOOKUP(A492,TEXT(Sheet2!$A$2:$A$1453,"0"),Sheet2!$D$2:$D$1453,"")),IF(_xlpm.v="","",IF(_xlpm.v&lt;1,_xlpm.v*100,_xlpm.v)))</f>
        <v>30</v>
      </c>
      <c r="E492" s="2">
        <f t="shared" si="7"/>
        <v>20.608000000000001</v>
      </c>
      <c r="F492" s="2" t="str" cm="1">
        <f t="array" ref="F492">IFERROR(_xlfn.XLOOKUP(A492,Sheet2!$A$2:$A$1453,Sheet2!$F$2:$F$1453),_xlfn.XLOOKUP(A492,TEXT(Sheet2!$A$2:$A$1453,"0"),Sheet2!$F$2:$F$1453,""))</f>
        <v>26-7-2026</v>
      </c>
      <c r="G492" s="2" t="str" cm="1">
        <f t="array" ref="G492">IFERROR(_xlfn.XLOOKUP(A492,Sheet2!$A$2:$A$1453,Sheet2!$G$2:$G$1453),_xlfn.XLOOKUP(A492,TEXT(Sheet2!$A$2:$A$1453,"0"),Sheet2!$G$2:$G$1453,""))</f>
        <v>6-8-2026</v>
      </c>
    </row>
    <row r="493" spans="1:7" x14ac:dyDescent="0.2">
      <c r="A493" s="1">
        <v>20309060199</v>
      </c>
      <c r="B493" t="str" cm="1">
        <f t="array" ref="B493">IFERROR(_xlfn.XLOOKUP(A493,Sheet2!$A$2:$A$1453,Sheet2!$B$2:$B$1453),_xlfn.XLOOKUP(A493,TEXT(Sheet2!$A$2:$A$1453,"0"),Sheet2!$B$2:$B$1453,""))</f>
        <v>NIVEA SPRAY PEARL BEAUTY 150ML 80028</v>
      </c>
      <c r="C493" s="2">
        <v>23.69</v>
      </c>
      <c r="D493" s="2" cm="1">
        <f t="array" ref="D493">_xlfn.LET(_xlpm.v,IFERROR(_xlfn.XLOOKUP(A493,Sheet2!$A$2:$A$1453,Sheet2!$D$2:$D$1453),_xlfn.XLOOKUP(A493,TEXT(Sheet2!$A$2:$A$1453,"0"),Sheet2!$D$2:$D$1453,"")),IF(_xlpm.v="","",IF(_xlpm.v&lt;1,_xlpm.v*100,_xlpm.v)))</f>
        <v>15</v>
      </c>
      <c r="E493" s="2">
        <f t="shared" si="7"/>
        <v>20.136500000000002</v>
      </c>
      <c r="F493" s="2" t="str" cm="1">
        <f t="array" ref="F493">IFERROR(_xlfn.XLOOKUP(A493,Sheet2!$A$2:$A$1453,Sheet2!$F$2:$F$1453),_xlfn.XLOOKUP(A493,TEXT(Sheet2!$A$2:$A$1453,"0"),Sheet2!$F$2:$F$1453,""))</f>
        <v>26-7-2026</v>
      </c>
      <c r="G493" s="2" t="str" cm="1">
        <f t="array" ref="G493">IFERROR(_xlfn.XLOOKUP(A493,Sheet2!$A$2:$A$1453,Sheet2!$G$2:$G$1453),_xlfn.XLOOKUP(A493,TEXT(Sheet2!$A$2:$A$1453,"0"),Sheet2!$G$2:$G$1453,""))</f>
        <v>6-8-2026</v>
      </c>
    </row>
    <row r="494" spans="1:7" x14ac:dyDescent="0.2">
      <c r="A494" s="1">
        <v>20309501651</v>
      </c>
      <c r="B494" t="str" cm="1">
        <f t="array" ref="B494">IFERROR(_xlfn.XLOOKUP(A494,Sheet2!$A$2:$A$1453,Sheet2!$B$2:$B$1453),_xlfn.XLOOKUP(A494,TEXT(Sheet2!$A$2:$A$1453,"0"),Sheet2!$B$2:$B$1453,""))</f>
        <v>NAIR ROSE CREAM TUBE 302026062</v>
      </c>
      <c r="C494" s="2">
        <v>21.62</v>
      </c>
      <c r="D494" s="2" cm="1">
        <f t="array" ref="D494">_xlfn.LET(_xlpm.v,IFERROR(_xlfn.XLOOKUP(A494,Sheet2!$A$2:$A$1453,Sheet2!$D$2:$D$1453),_xlfn.XLOOKUP(A494,TEXT(Sheet2!$A$2:$A$1453,"0"),Sheet2!$D$2:$D$1453,"")),IF(_xlpm.v="","",IF(_xlpm.v&lt;1,_xlpm.v*100,_xlpm.v)))</f>
        <v>33</v>
      </c>
      <c r="E494" s="2">
        <f t="shared" si="7"/>
        <v>14.485399999999998</v>
      </c>
      <c r="F494" s="2" t="str" cm="1">
        <f t="array" ref="F494">IFERROR(_xlfn.XLOOKUP(A494,Sheet2!$A$2:$A$1453,Sheet2!$F$2:$F$1453),_xlfn.XLOOKUP(A494,TEXT(Sheet2!$A$2:$A$1453,"0"),Sheet2!$F$2:$F$1453,""))</f>
        <v>26-7-2026</v>
      </c>
      <c r="G494" s="2" t="str" cm="1">
        <f t="array" ref="G494">IFERROR(_xlfn.XLOOKUP(A494,Sheet2!$A$2:$A$1453,Sheet2!$G$2:$G$1453),_xlfn.XLOOKUP(A494,TEXT(Sheet2!$A$2:$A$1453,"0"),Sheet2!$G$2:$G$1453,""))</f>
        <v>6-8-2026</v>
      </c>
    </row>
    <row r="495" spans="1:7" x14ac:dyDescent="0.2">
      <c r="A495" s="1">
        <v>20312050656</v>
      </c>
      <c r="B495" t="str" cm="1">
        <f t="array" ref="B495">IFERROR(_xlfn.XLOOKUP(A495,Sheet2!$A$2:$A$1453,Sheet2!$B$2:$B$1453),_xlfn.XLOOKUP(A495,TEXT(Sheet2!$A$2:$A$1453,"0"),Sheet2!$B$2:$B$1453,""))</f>
        <v>WHITE GLO BREATH FRESHENER S</v>
      </c>
      <c r="C495" s="2">
        <v>15.4</v>
      </c>
      <c r="D495" s="2" cm="1">
        <f t="array" ref="D495">_xlfn.LET(_xlpm.v,IFERROR(_xlfn.XLOOKUP(A495,Sheet2!$A$2:$A$1453,Sheet2!$D$2:$D$1453),_xlfn.XLOOKUP(A495,TEXT(Sheet2!$A$2:$A$1453,"0"),Sheet2!$D$2:$D$1453,"")),IF(_xlpm.v="","",IF(_xlpm.v&lt;1,_xlpm.v*100,_xlpm.v)))</f>
        <v>30</v>
      </c>
      <c r="E495" s="2">
        <f t="shared" si="7"/>
        <v>10.78</v>
      </c>
      <c r="F495" s="2" t="str" cm="1">
        <f t="array" ref="F495">IFERROR(_xlfn.XLOOKUP(A495,Sheet2!$A$2:$A$1453,Sheet2!$F$2:$F$1453),_xlfn.XLOOKUP(A495,TEXT(Sheet2!$A$2:$A$1453,"0"),Sheet2!$F$2:$F$1453,""))</f>
        <v>26-7-2026</v>
      </c>
      <c r="G495" s="2" t="str" cm="1">
        <f t="array" ref="G495">IFERROR(_xlfn.XLOOKUP(A495,Sheet2!$A$2:$A$1453,Sheet2!$G$2:$G$1453),_xlfn.XLOOKUP(A495,TEXT(Sheet2!$A$2:$A$1453,"0"),Sheet2!$G$2:$G$1453,""))</f>
        <v>6-8-2026</v>
      </c>
    </row>
    <row r="496" spans="1:7" x14ac:dyDescent="0.2">
      <c r="A496" s="1">
        <v>20309501650</v>
      </c>
      <c r="B496" t="str" cm="1">
        <f t="array" ref="B496">IFERROR(_xlfn.XLOOKUP(A496,Sheet2!$A$2:$A$1453,Sheet2!$B$2:$B$1453),_xlfn.XLOOKUP(A496,TEXT(Sheet2!$A$2:$A$1453,"0"),Sheet2!$B$2:$B$1453,""))</f>
        <v>NAIR LEMON CREAM TUBE 302026061</v>
      </c>
      <c r="C496" s="2">
        <v>18.170000000000002</v>
      </c>
      <c r="D496" s="2" cm="1">
        <f t="array" ref="D496">_xlfn.LET(_xlpm.v,IFERROR(_xlfn.XLOOKUP(A496,Sheet2!$A$2:$A$1453,Sheet2!$D$2:$D$1453),_xlfn.XLOOKUP(A496,TEXT(Sheet2!$A$2:$A$1453,"0"),Sheet2!$D$2:$D$1453,"")),IF(_xlpm.v="","",IF(_xlpm.v&lt;1,_xlpm.v*100,_xlpm.v)))</f>
        <v>33</v>
      </c>
      <c r="E496" s="2">
        <f t="shared" si="7"/>
        <v>12.1739</v>
      </c>
      <c r="F496" s="2" t="str" cm="1">
        <f t="array" ref="F496">IFERROR(_xlfn.XLOOKUP(A496,Sheet2!$A$2:$A$1453,Sheet2!$F$2:$F$1453),_xlfn.XLOOKUP(A496,TEXT(Sheet2!$A$2:$A$1453,"0"),Sheet2!$F$2:$F$1453,""))</f>
        <v>26-7-2026</v>
      </c>
      <c r="G496" s="2" t="str" cm="1">
        <f t="array" ref="G496">IFERROR(_xlfn.XLOOKUP(A496,Sheet2!$A$2:$A$1453,Sheet2!$G$2:$G$1453),_xlfn.XLOOKUP(A496,TEXT(Sheet2!$A$2:$A$1453,"0"),Sheet2!$G$2:$G$1453,""))</f>
        <v>6-8-2026</v>
      </c>
    </row>
    <row r="497" spans="1:7" x14ac:dyDescent="0.2">
      <c r="A497" s="1">
        <v>20309060190</v>
      </c>
      <c r="B497" t="str" cm="1">
        <f t="array" ref="B497">IFERROR(_xlfn.XLOOKUP(A497,Sheet2!$A$2:$A$1453,Sheet2!$B$2:$B$1453),_xlfn.XLOOKUP(A497,TEXT(Sheet2!$A$2:$A$1453,"0"),Sheet2!$B$2:$B$1453,""))</f>
        <v>NIVEA ROLL  AQUE COOL KICK MEN 50 ML 80033</v>
      </c>
      <c r="C497" s="2">
        <v>18.84</v>
      </c>
      <c r="D497" s="2" cm="1">
        <f t="array" ref="D497">_xlfn.LET(_xlpm.v,IFERROR(_xlfn.XLOOKUP(A497,Sheet2!$A$2:$A$1453,Sheet2!$D$2:$D$1453),_xlfn.XLOOKUP(A497,TEXT(Sheet2!$A$2:$A$1453,"0"),Sheet2!$D$2:$D$1453,"")),IF(_xlpm.v="","",IF(_xlpm.v&lt;1,_xlpm.v*100,_xlpm.v)))</f>
        <v>15</v>
      </c>
      <c r="E497" s="2">
        <f t="shared" si="7"/>
        <v>16.013999999999999</v>
      </c>
      <c r="F497" s="2" t="str" cm="1">
        <f t="array" ref="F497">IFERROR(_xlfn.XLOOKUP(A497,Sheet2!$A$2:$A$1453,Sheet2!$F$2:$F$1453),_xlfn.XLOOKUP(A497,TEXT(Sheet2!$A$2:$A$1453,"0"),Sheet2!$F$2:$F$1453,""))</f>
        <v>26-7-2026</v>
      </c>
      <c r="G497" s="2" t="str" cm="1">
        <f t="array" ref="G497">IFERROR(_xlfn.XLOOKUP(A497,Sheet2!$A$2:$A$1453,Sheet2!$G$2:$G$1453),_xlfn.XLOOKUP(A497,TEXT(Sheet2!$A$2:$A$1453,"0"),Sheet2!$G$2:$G$1453,""))</f>
        <v>6-8-2026</v>
      </c>
    </row>
    <row r="498" spans="1:7" x14ac:dyDescent="0.2">
      <c r="A498" s="1">
        <v>20309501655</v>
      </c>
      <c r="B498" t="str" cm="1">
        <f t="array" ref="B498">IFERROR(_xlfn.XLOOKUP(A498,Sheet2!$A$2:$A$1453,Sheet2!$B$2:$B$1453),_xlfn.XLOOKUP(A498,TEXT(Sheet2!$A$2:$A$1453,"0"),Sheet2!$B$2:$B$1453,""))</f>
        <v>NAIR SPRAY ROSE 200ML 302028595</v>
      </c>
      <c r="C498" s="2">
        <v>36.51</v>
      </c>
      <c r="D498" s="2" cm="1">
        <f t="array" ref="D498">_xlfn.LET(_xlpm.v,IFERROR(_xlfn.XLOOKUP(A498,Sheet2!$A$2:$A$1453,Sheet2!$D$2:$D$1453),_xlfn.XLOOKUP(A498,TEXT(Sheet2!$A$2:$A$1453,"0"),Sheet2!$D$2:$D$1453,"")),IF(_xlpm.v="","",IF(_xlpm.v&lt;1,_xlpm.v*100,_xlpm.v)))</f>
        <v>33</v>
      </c>
      <c r="E498" s="2">
        <f t="shared" si="7"/>
        <v>24.461699999999997</v>
      </c>
      <c r="F498" s="2" t="str" cm="1">
        <f t="array" ref="F498">IFERROR(_xlfn.XLOOKUP(A498,Sheet2!$A$2:$A$1453,Sheet2!$F$2:$F$1453),_xlfn.XLOOKUP(A498,TEXT(Sheet2!$A$2:$A$1453,"0"),Sheet2!$F$2:$F$1453,""))</f>
        <v>26-7-2026</v>
      </c>
      <c r="G498" s="2" t="str" cm="1">
        <f t="array" ref="G498">IFERROR(_xlfn.XLOOKUP(A498,Sheet2!$A$2:$A$1453,Sheet2!$G$2:$G$1453),_xlfn.XLOOKUP(A498,TEXT(Sheet2!$A$2:$A$1453,"0"),Sheet2!$G$2:$G$1453,""))</f>
        <v>6-8-2026</v>
      </c>
    </row>
    <row r="499" spans="1:7" x14ac:dyDescent="0.2">
      <c r="A499" s="1">
        <v>20309060196</v>
      </c>
      <c r="B499" t="str" cm="1">
        <f t="array" ref="B499">IFERROR(_xlfn.XLOOKUP(A499,Sheet2!$A$2:$A$1453,Sheet2!$B$2:$B$1453),_xlfn.XLOOKUP(A499,TEXT(Sheet2!$A$2:$A$1453,"0"),Sheet2!$B$2:$B$1453,""))</f>
        <v>NIVEA ROLL PEARL BEAUTY FEMAL 50ML 80034</v>
      </c>
      <c r="C499" s="2">
        <v>18.84</v>
      </c>
      <c r="D499" s="2" cm="1">
        <f t="array" ref="D499">_xlfn.LET(_xlpm.v,IFERROR(_xlfn.XLOOKUP(A499,Sheet2!$A$2:$A$1453,Sheet2!$D$2:$D$1453),_xlfn.XLOOKUP(A499,TEXT(Sheet2!$A$2:$A$1453,"0"),Sheet2!$D$2:$D$1453,"")),IF(_xlpm.v="","",IF(_xlpm.v&lt;1,_xlpm.v*100,_xlpm.v)))</f>
        <v>15</v>
      </c>
      <c r="E499" s="2">
        <f t="shared" si="7"/>
        <v>16.013999999999999</v>
      </c>
      <c r="F499" s="2" t="str" cm="1">
        <f t="array" ref="F499">IFERROR(_xlfn.XLOOKUP(A499,Sheet2!$A$2:$A$1453,Sheet2!$F$2:$F$1453),_xlfn.XLOOKUP(A499,TEXT(Sheet2!$A$2:$A$1453,"0"),Sheet2!$F$2:$F$1453,""))</f>
        <v>26-7-2026</v>
      </c>
      <c r="G499" s="2" t="str" cm="1">
        <f t="array" ref="G499">IFERROR(_xlfn.XLOOKUP(A499,Sheet2!$A$2:$A$1453,Sheet2!$G$2:$G$1453),_xlfn.XLOOKUP(A499,TEXT(Sheet2!$A$2:$A$1453,"0"),Sheet2!$G$2:$G$1453,""))</f>
        <v>6-8-2026</v>
      </c>
    </row>
    <row r="500" spans="1:7" x14ac:dyDescent="0.2">
      <c r="A500" s="1">
        <v>20312050658</v>
      </c>
      <c r="B500" t="str" cm="1">
        <f t="array" ref="B500">IFERROR(_xlfn.XLOOKUP(A500,Sheet2!$A$2:$A$1453,Sheet2!$B$2:$B$1453),_xlfn.XLOOKUP(A500,TEXT(Sheet2!$A$2:$A$1453,"0"),Sheet2!$B$2:$B$1453,""))</f>
        <v>WHITE GLO CHARCOAL DEEP STAIN RE</v>
      </c>
      <c r="C500" s="2">
        <v>35.57</v>
      </c>
      <c r="D500" s="2" cm="1">
        <f t="array" ref="D500">_xlfn.LET(_xlpm.v,IFERROR(_xlfn.XLOOKUP(A500,Sheet2!$A$2:$A$1453,Sheet2!$D$2:$D$1453),_xlfn.XLOOKUP(A500,TEXT(Sheet2!$A$2:$A$1453,"0"),Sheet2!$D$2:$D$1453,"")),IF(_xlpm.v="","",IF(_xlpm.v&lt;1,_xlpm.v*100,_xlpm.v)))</f>
        <v>30</v>
      </c>
      <c r="E500" s="2">
        <f t="shared" si="7"/>
        <v>24.898999999999997</v>
      </c>
      <c r="F500" s="2" t="str" cm="1">
        <f t="array" ref="F500">IFERROR(_xlfn.XLOOKUP(A500,Sheet2!$A$2:$A$1453,Sheet2!$F$2:$F$1453),_xlfn.XLOOKUP(A500,TEXT(Sheet2!$A$2:$A$1453,"0"),Sheet2!$F$2:$F$1453,""))</f>
        <v>26-7-2026</v>
      </c>
      <c r="G500" s="2" t="str" cm="1">
        <f t="array" ref="G500">IFERROR(_xlfn.XLOOKUP(A500,Sheet2!$A$2:$A$1453,Sheet2!$G$2:$G$1453),_xlfn.XLOOKUP(A500,TEXT(Sheet2!$A$2:$A$1453,"0"),Sheet2!$G$2:$G$1453,""))</f>
        <v>6-8-2026</v>
      </c>
    </row>
    <row r="501" spans="1:7" x14ac:dyDescent="0.2">
      <c r="A501" s="1">
        <v>20309021280</v>
      </c>
      <c r="B501" t="str" cm="1">
        <f t="array" ref="B501">IFERROR(_xlfn.XLOOKUP(A501,Sheet2!$A$2:$A$1453,Sheet2!$B$2:$B$1453),_xlfn.XLOOKUP(A501,TEXT(Sheet2!$A$2:$A$1453,"0"),Sheet2!$B$2:$B$1453,""))</f>
        <v>NAIR SENS CREAM TUBE 302026063</v>
      </c>
      <c r="C501" s="2">
        <v>21.62</v>
      </c>
      <c r="D501" s="2" cm="1">
        <f t="array" ref="D501">_xlfn.LET(_xlpm.v,IFERROR(_xlfn.XLOOKUP(A501,Sheet2!$A$2:$A$1453,Sheet2!$D$2:$D$1453),_xlfn.XLOOKUP(A501,TEXT(Sheet2!$A$2:$A$1453,"0"),Sheet2!$D$2:$D$1453,"")),IF(_xlpm.v="","",IF(_xlpm.v&lt;1,_xlpm.v*100,_xlpm.v)))</f>
        <v>33</v>
      </c>
      <c r="E501" s="2">
        <f t="shared" si="7"/>
        <v>14.485399999999998</v>
      </c>
      <c r="F501" s="2" t="str" cm="1">
        <f t="array" ref="F501">IFERROR(_xlfn.XLOOKUP(A501,Sheet2!$A$2:$A$1453,Sheet2!$F$2:$F$1453),_xlfn.XLOOKUP(A501,TEXT(Sheet2!$A$2:$A$1453,"0"),Sheet2!$F$2:$F$1453,""))</f>
        <v>26-7-2026</v>
      </c>
      <c r="G501" s="2" t="str" cm="1">
        <f t="array" ref="G501">IFERROR(_xlfn.XLOOKUP(A501,Sheet2!$A$2:$A$1453,Sheet2!$G$2:$G$1453),_xlfn.XLOOKUP(A501,TEXT(Sheet2!$A$2:$A$1453,"0"),Sheet2!$G$2:$G$1453,""))</f>
        <v>6-8-2026</v>
      </c>
    </row>
    <row r="502" spans="1:7" x14ac:dyDescent="0.2">
      <c r="A502" s="1">
        <v>20309060035</v>
      </c>
      <c r="B502" t="str" cm="1">
        <f t="array" ref="B502">IFERROR(_xlfn.XLOOKUP(A502,Sheet2!$A$2:$A$1453,Sheet2!$B$2:$B$1453),_xlfn.XLOOKUP(A502,TEXT(Sheet2!$A$2:$A$1453,"0"),Sheet2!$B$2:$B$1453,""))</f>
        <v>NIVEA ROLL NATURAL FAIRNESS FEMAL 50ML 80070</v>
      </c>
      <c r="C502" s="2">
        <v>18.84</v>
      </c>
      <c r="D502" s="2" cm="1">
        <f t="array" ref="D502">_xlfn.LET(_xlpm.v,IFERROR(_xlfn.XLOOKUP(A502,Sheet2!$A$2:$A$1453,Sheet2!$D$2:$D$1453),_xlfn.XLOOKUP(A502,TEXT(Sheet2!$A$2:$A$1453,"0"),Sheet2!$D$2:$D$1453,"")),IF(_xlpm.v="","",IF(_xlpm.v&lt;1,_xlpm.v*100,_xlpm.v)))</f>
        <v>15</v>
      </c>
      <c r="E502" s="2">
        <f t="shared" si="7"/>
        <v>16.013999999999999</v>
      </c>
      <c r="F502" s="2" t="str" cm="1">
        <f t="array" ref="F502">IFERROR(_xlfn.XLOOKUP(A502,Sheet2!$A$2:$A$1453,Sheet2!$F$2:$F$1453),_xlfn.XLOOKUP(A502,TEXT(Sheet2!$A$2:$A$1453,"0"),Sheet2!$F$2:$F$1453,""))</f>
        <v>26-7-2026</v>
      </c>
      <c r="G502" s="2" t="str" cm="1">
        <f t="array" ref="G502">IFERROR(_xlfn.XLOOKUP(A502,Sheet2!$A$2:$A$1453,Sheet2!$G$2:$G$1453),_xlfn.XLOOKUP(A502,TEXT(Sheet2!$A$2:$A$1453,"0"),Sheet2!$G$2:$G$1453,""))</f>
        <v>6-8-2026</v>
      </c>
    </row>
    <row r="503" spans="1:7" x14ac:dyDescent="0.2">
      <c r="A503" s="1">
        <v>20309500499</v>
      </c>
      <c r="B503" t="str" cm="1">
        <f t="array" ref="B503">IFERROR(_xlfn.XLOOKUP(A503,Sheet2!$A$2:$A$1453,Sheet2!$B$2:$B$1453),_xlfn.XLOOKUP(A503,TEXT(Sheet2!$A$2:$A$1453,"0"),Sheet2!$B$2:$B$1453,""))</f>
        <v xml:space="preserve">VEET HAIR REMOVAL CREAM SENSETIVE SKIN               </v>
      </c>
      <c r="C503" s="2">
        <v>19.78</v>
      </c>
      <c r="D503" s="2" cm="1">
        <f t="array" ref="D503">_xlfn.LET(_xlpm.v,IFERROR(_xlfn.XLOOKUP(A503,Sheet2!$A$2:$A$1453,Sheet2!$D$2:$D$1453),_xlfn.XLOOKUP(A503,TEXT(Sheet2!$A$2:$A$1453,"0"),Sheet2!$D$2:$D$1453,"")),IF(_xlpm.v="","",IF(_xlpm.v&lt;1,_xlpm.v*100,_xlpm.v)))</f>
        <v>25</v>
      </c>
      <c r="E503" s="2">
        <f t="shared" si="7"/>
        <v>14.835000000000001</v>
      </c>
      <c r="F503" s="2" t="str" cm="1">
        <f t="array" ref="F503">IFERROR(_xlfn.XLOOKUP(A503,Sheet2!$A$2:$A$1453,Sheet2!$F$2:$F$1453),_xlfn.XLOOKUP(A503,TEXT(Sheet2!$A$2:$A$1453,"0"),Sheet2!$F$2:$F$1453,""))</f>
        <v>26-7-2026</v>
      </c>
      <c r="G503" s="2" t="str" cm="1">
        <f t="array" ref="G503">IFERROR(_xlfn.XLOOKUP(A503,Sheet2!$A$2:$A$1453,Sheet2!$G$2:$G$1453),_xlfn.XLOOKUP(A503,TEXT(Sheet2!$A$2:$A$1453,"0"),Sheet2!$G$2:$G$1453,""))</f>
        <v>6-8-2026</v>
      </c>
    </row>
    <row r="504" spans="1:7" x14ac:dyDescent="0.2">
      <c r="A504" s="1">
        <v>20309501822</v>
      </c>
      <c r="B504" t="str" cm="1">
        <f t="array" ref="B504">IFERROR(_xlfn.XLOOKUP(A504,Sheet2!$A$2:$A$1453,Sheet2!$B$2:$B$1453),_xlfn.XLOOKUP(A504,TEXT(Sheet2!$A$2:$A$1453,"0"),Sheet2!$B$2:$B$1453,""))</f>
        <v>GARNIER ESSENTIALS MICELLAR 595210</v>
      </c>
      <c r="C504" s="2">
        <v>37.950000000000003</v>
      </c>
      <c r="D504" s="2" cm="1">
        <f t="array" ref="D504">_xlfn.LET(_xlpm.v,IFERROR(_xlfn.XLOOKUP(A504,Sheet2!$A$2:$A$1453,Sheet2!$D$2:$D$1453),_xlfn.XLOOKUP(A504,TEXT(Sheet2!$A$2:$A$1453,"0"),Sheet2!$D$2:$D$1453,"")),IF(_xlpm.v="","",IF(_xlpm.v&lt;1,_xlpm.v*100,_xlpm.v)))</f>
        <v>25</v>
      </c>
      <c r="E504" s="2">
        <f t="shared" si="7"/>
        <v>28.462500000000002</v>
      </c>
      <c r="F504" s="2" t="str" cm="1">
        <f t="array" ref="F504">IFERROR(_xlfn.XLOOKUP(A504,Sheet2!$A$2:$A$1453,Sheet2!$F$2:$F$1453),_xlfn.XLOOKUP(A504,TEXT(Sheet2!$A$2:$A$1453,"0"),Sheet2!$F$2:$F$1453,""))</f>
        <v>26-7-2026</v>
      </c>
      <c r="G504" s="2" t="str" cm="1">
        <f t="array" ref="G504">IFERROR(_xlfn.XLOOKUP(A504,Sheet2!$A$2:$A$1453,Sheet2!$G$2:$G$1453),_xlfn.XLOOKUP(A504,TEXT(Sheet2!$A$2:$A$1453,"0"),Sheet2!$G$2:$G$1453,""))</f>
        <v>6-8-2026</v>
      </c>
    </row>
    <row r="505" spans="1:7" x14ac:dyDescent="0.2">
      <c r="A505" s="1">
        <v>30420011103</v>
      </c>
      <c r="B505" t="str" cm="1">
        <f t="array" ref="B505">IFERROR(_xlfn.XLOOKUP(A505,Sheet2!$A$2:$A$1453,Sheet2!$B$2:$B$1453),_xlfn.XLOOKUP(A505,TEXT(Sheet2!$A$2:$A$1453,"0"),Sheet2!$B$2:$B$1453,""))</f>
        <v>MASCULAN LUBRICANT GEL VELV</v>
      </c>
      <c r="C505" s="2">
        <v>23</v>
      </c>
      <c r="D505" s="2" cm="1">
        <f t="array" ref="D505">_xlfn.LET(_xlpm.v,IFERROR(_xlfn.XLOOKUP(A505,Sheet2!$A$2:$A$1453,Sheet2!$D$2:$D$1453),_xlfn.XLOOKUP(A505,TEXT(Sheet2!$A$2:$A$1453,"0"),Sheet2!$D$2:$D$1453,"")),IF(_xlpm.v="","",IF(_xlpm.v&lt;1,_xlpm.v*100,_xlpm.v)))</f>
        <v>15</v>
      </c>
      <c r="E505" s="2">
        <f t="shared" si="7"/>
        <v>19.55</v>
      </c>
      <c r="F505" s="2" t="str" cm="1">
        <f t="array" ref="F505">IFERROR(_xlfn.XLOOKUP(A505,Sheet2!$A$2:$A$1453,Sheet2!$F$2:$F$1453),_xlfn.XLOOKUP(A505,TEXT(Sheet2!$A$2:$A$1453,"0"),Sheet2!$F$2:$F$1453,""))</f>
        <v>26-7-2026</v>
      </c>
      <c r="G505" s="2" t="str" cm="1">
        <f t="array" ref="G505">IFERROR(_xlfn.XLOOKUP(A505,Sheet2!$A$2:$A$1453,Sheet2!$G$2:$G$1453),_xlfn.XLOOKUP(A505,TEXT(Sheet2!$A$2:$A$1453,"0"),Sheet2!$G$2:$G$1453,""))</f>
        <v>6-8-2026</v>
      </c>
    </row>
    <row r="506" spans="1:7" x14ac:dyDescent="0.2">
      <c r="A506" s="1">
        <v>20309011747</v>
      </c>
      <c r="B506" t="str" cm="1">
        <f t="array" ref="B506">IFERROR(_xlfn.XLOOKUP(A506,Sheet2!$A$2:$A$1453,Sheet2!$B$2:$B$1453),_xlfn.XLOOKUP(A506,TEXT(Sheet2!$A$2:$A$1453,"0"),Sheet2!$B$2:$B$1453,""))</f>
        <v>HEAD&amp;SHOLDERS SHAMPO CHARCOAL DETOX 390 ML</v>
      </c>
      <c r="C506" s="2">
        <v>19.23</v>
      </c>
      <c r="D506" s="2" cm="1">
        <f t="array" ref="D506">_xlfn.LET(_xlpm.v,IFERROR(_xlfn.XLOOKUP(A506,Sheet2!$A$2:$A$1453,Sheet2!$D$2:$D$1453),_xlfn.XLOOKUP(A506,TEXT(Sheet2!$A$2:$A$1453,"0"),Sheet2!$D$2:$D$1453,"")),IF(_xlpm.v="","",IF(_xlpm.v&lt;1,_xlpm.v*100,_xlpm.v)))</f>
        <v>15</v>
      </c>
      <c r="E506" s="2">
        <f t="shared" si="7"/>
        <v>16.345500000000001</v>
      </c>
      <c r="F506" s="2" t="str" cm="1">
        <f t="array" ref="F506">IFERROR(_xlfn.XLOOKUP(A506,Sheet2!$A$2:$A$1453,Sheet2!$F$2:$F$1453),_xlfn.XLOOKUP(A506,TEXT(Sheet2!$A$2:$A$1453,"0"),Sheet2!$F$2:$F$1453,""))</f>
        <v>26-7-2026</v>
      </c>
      <c r="G506" s="2" t="str" cm="1">
        <f t="array" ref="G506">IFERROR(_xlfn.XLOOKUP(A506,Sheet2!$A$2:$A$1453,Sheet2!$G$2:$G$1453),_xlfn.XLOOKUP(A506,TEXT(Sheet2!$A$2:$A$1453,"0"),Sheet2!$G$2:$G$1453,""))</f>
        <v>6-8-2026</v>
      </c>
    </row>
    <row r="507" spans="1:7" x14ac:dyDescent="0.2">
      <c r="A507" s="1">
        <v>20309010137</v>
      </c>
      <c r="B507" t="str" cm="1">
        <f t="array" ref="B507">IFERROR(_xlfn.XLOOKUP(A507,Sheet2!$A$2:$A$1453,Sheet2!$B$2:$B$1453),_xlfn.XLOOKUP(A507,TEXT(Sheet2!$A$2:$A$1453,"0"),Sheet2!$B$2:$B$1453,""))</f>
        <v>HEAD&amp;SHOLDER SHAMPO CLASSIC CLEAN 600ML</v>
      </c>
      <c r="C507" s="2">
        <v>30.77</v>
      </c>
      <c r="D507" s="2" cm="1">
        <f t="array" ref="D507">_xlfn.LET(_xlpm.v,IFERROR(_xlfn.XLOOKUP(A507,Sheet2!$A$2:$A$1453,Sheet2!$D$2:$D$1453),_xlfn.XLOOKUP(A507,TEXT(Sheet2!$A$2:$A$1453,"0"),Sheet2!$D$2:$D$1453,"")),IF(_xlpm.v="","",IF(_xlpm.v&lt;1,_xlpm.v*100,_xlpm.v)))</f>
        <v>15</v>
      </c>
      <c r="E507" s="2">
        <f t="shared" si="7"/>
        <v>26.154499999999999</v>
      </c>
      <c r="F507" s="2" t="str" cm="1">
        <f t="array" ref="F507">IFERROR(_xlfn.XLOOKUP(A507,Sheet2!$A$2:$A$1453,Sheet2!$F$2:$F$1453),_xlfn.XLOOKUP(A507,TEXT(Sheet2!$A$2:$A$1453,"0"),Sheet2!$F$2:$F$1453,""))</f>
        <v>26-7-2026</v>
      </c>
      <c r="G507" s="2" t="str" cm="1">
        <f t="array" ref="G507">IFERROR(_xlfn.XLOOKUP(A507,Sheet2!$A$2:$A$1453,Sheet2!$G$2:$G$1453),_xlfn.XLOOKUP(A507,TEXT(Sheet2!$A$2:$A$1453,"0"),Sheet2!$G$2:$G$1453,""))</f>
        <v>6-8-2026</v>
      </c>
    </row>
    <row r="508" spans="1:7" x14ac:dyDescent="0.2">
      <c r="A508" s="1">
        <v>20309010860</v>
      </c>
      <c r="B508" t="str" cm="1">
        <f t="array" ref="B508">IFERROR(_xlfn.XLOOKUP(A508,Sheet2!$A$2:$A$1453,Sheet2!$B$2:$B$1453),_xlfn.XLOOKUP(A508,TEXT(Sheet2!$A$2:$A$1453,"0"),Sheet2!$B$2:$B$1453,""))</f>
        <v xml:space="preserve">HEAD&amp;SHOLDER SHAMPO REFRESHING MENTHOL 600ML </v>
      </c>
      <c r="C508" s="2">
        <v>30.79</v>
      </c>
      <c r="D508" s="2" cm="1">
        <f t="array" ref="D508">_xlfn.LET(_xlpm.v,IFERROR(_xlfn.XLOOKUP(A508,Sheet2!$A$2:$A$1453,Sheet2!$D$2:$D$1453),_xlfn.XLOOKUP(A508,TEXT(Sheet2!$A$2:$A$1453,"0"),Sheet2!$D$2:$D$1453,"")),IF(_xlpm.v="","",IF(_xlpm.v&lt;1,_xlpm.v*100,_xlpm.v)))</f>
        <v>15</v>
      </c>
      <c r="E508" s="2">
        <f t="shared" si="7"/>
        <v>26.171499999999998</v>
      </c>
      <c r="F508" s="2" t="str" cm="1">
        <f t="array" ref="F508">IFERROR(_xlfn.XLOOKUP(A508,Sheet2!$A$2:$A$1453,Sheet2!$F$2:$F$1453),_xlfn.XLOOKUP(A508,TEXT(Sheet2!$A$2:$A$1453,"0"),Sheet2!$F$2:$F$1453,""))</f>
        <v>26-7-2026</v>
      </c>
      <c r="G508" s="2" t="str" cm="1">
        <f t="array" ref="G508">IFERROR(_xlfn.XLOOKUP(A508,Sheet2!$A$2:$A$1453,Sheet2!$G$2:$G$1453),_xlfn.XLOOKUP(A508,TEXT(Sheet2!$A$2:$A$1453,"0"),Sheet2!$G$2:$G$1453,""))</f>
        <v>6-8-2026</v>
      </c>
    </row>
    <row r="509" spans="1:7" x14ac:dyDescent="0.2">
      <c r="A509" s="1">
        <v>20309010138</v>
      </c>
      <c r="B509" t="str" cm="1">
        <f t="array" ref="B509">IFERROR(_xlfn.XLOOKUP(A509,Sheet2!$A$2:$A$1453,Sheet2!$B$2:$B$1453),_xlfn.XLOOKUP(A509,TEXT(Sheet2!$A$2:$A$1453,"0"),Sheet2!$B$2:$B$1453,""))</f>
        <v>HEAD&amp;SHOLDER SHAMPO CLASSIC CLEAN 390ML</v>
      </c>
      <c r="C509" s="2">
        <v>19.23</v>
      </c>
      <c r="D509" s="2" cm="1">
        <f t="array" ref="D509">_xlfn.LET(_xlpm.v,IFERROR(_xlfn.XLOOKUP(A509,Sheet2!$A$2:$A$1453,Sheet2!$D$2:$D$1453),_xlfn.XLOOKUP(A509,TEXT(Sheet2!$A$2:$A$1453,"0"),Sheet2!$D$2:$D$1453,"")),IF(_xlpm.v="","",IF(_xlpm.v&lt;1,_xlpm.v*100,_xlpm.v)))</f>
        <v>15</v>
      </c>
      <c r="E509" s="2">
        <f t="shared" si="7"/>
        <v>16.345500000000001</v>
      </c>
      <c r="F509" s="2" t="str" cm="1">
        <f t="array" ref="F509">IFERROR(_xlfn.XLOOKUP(A509,Sheet2!$A$2:$A$1453,Sheet2!$F$2:$F$1453),_xlfn.XLOOKUP(A509,TEXT(Sheet2!$A$2:$A$1453,"0"),Sheet2!$F$2:$F$1453,""))</f>
        <v>26-7-2026</v>
      </c>
      <c r="G509" s="2" t="str" cm="1">
        <f t="array" ref="G509">IFERROR(_xlfn.XLOOKUP(A509,Sheet2!$A$2:$A$1453,Sheet2!$G$2:$G$1453),_xlfn.XLOOKUP(A509,TEXT(Sheet2!$A$2:$A$1453,"0"),Sheet2!$G$2:$G$1453,""))</f>
        <v>6-8-2026</v>
      </c>
    </row>
    <row r="510" spans="1:7" x14ac:dyDescent="0.2">
      <c r="A510" s="1">
        <v>20309010154</v>
      </c>
      <c r="B510" t="str" cm="1">
        <f t="array" ref="B510">IFERROR(_xlfn.XLOOKUP(A510,Sheet2!$A$2:$A$1453,Sheet2!$B$2:$B$1453),_xlfn.XLOOKUP(A510,TEXT(Sheet2!$A$2:$A$1453,"0"),Sheet2!$B$2:$B$1453,""))</f>
        <v>HEAD&amp;SHOLDER SHAMPO REFRESHING MENTOL 390ML</v>
      </c>
      <c r="C510" s="2">
        <v>19.23</v>
      </c>
      <c r="D510" s="2" cm="1">
        <f t="array" ref="D510">_xlfn.LET(_xlpm.v,IFERROR(_xlfn.XLOOKUP(A510,Sheet2!$A$2:$A$1453,Sheet2!$D$2:$D$1453),_xlfn.XLOOKUP(A510,TEXT(Sheet2!$A$2:$A$1453,"0"),Sheet2!$D$2:$D$1453,"")),IF(_xlpm.v="","",IF(_xlpm.v&lt;1,_xlpm.v*100,_xlpm.v)))</f>
        <v>15</v>
      </c>
      <c r="E510" s="2">
        <f t="shared" si="7"/>
        <v>16.345500000000001</v>
      </c>
      <c r="F510" s="2" t="str" cm="1">
        <f t="array" ref="F510">IFERROR(_xlfn.XLOOKUP(A510,Sheet2!$A$2:$A$1453,Sheet2!$F$2:$F$1453),_xlfn.XLOOKUP(A510,TEXT(Sheet2!$A$2:$A$1453,"0"),Sheet2!$F$2:$F$1453,""))</f>
        <v>26-7-2026</v>
      </c>
      <c r="G510" s="2" t="str" cm="1">
        <f t="array" ref="G510">IFERROR(_xlfn.XLOOKUP(A510,Sheet2!$A$2:$A$1453,Sheet2!$G$2:$G$1453),_xlfn.XLOOKUP(A510,TEXT(Sheet2!$A$2:$A$1453,"0"),Sheet2!$G$2:$G$1453,""))</f>
        <v>6-8-2026</v>
      </c>
    </row>
    <row r="511" spans="1:7" x14ac:dyDescent="0.2">
      <c r="A511" s="1">
        <v>20315040146</v>
      </c>
      <c r="B511" t="str" cm="1">
        <f t="array" ref="B511">IFERROR(_xlfn.XLOOKUP(A511,Sheet2!$A$2:$A$1453,Sheet2!$B$2:$B$1453),_xlfn.XLOOKUP(A511,TEXT(Sheet2!$A$2:$A$1453,"0"),Sheet2!$B$2:$B$1453,""))</f>
        <v>JOHNSON BABY POWDER 200GM 31277</v>
      </c>
      <c r="C511" s="2">
        <v>28.75</v>
      </c>
      <c r="D511" s="2" cm="1">
        <f t="array" ref="D511">_xlfn.LET(_xlpm.v,IFERROR(_xlfn.XLOOKUP(A511,Sheet2!$A$2:$A$1453,Sheet2!$D$2:$D$1453),_xlfn.XLOOKUP(A511,TEXT(Sheet2!$A$2:$A$1453,"0"),Sheet2!$D$2:$D$1453,"")),IF(_xlpm.v="","",IF(_xlpm.v&lt;1,_xlpm.v*100,_xlpm.v)))</f>
        <v>35</v>
      </c>
      <c r="E511" s="2">
        <f t="shared" si="7"/>
        <v>18.6875</v>
      </c>
      <c r="F511" s="2" t="str" cm="1">
        <f t="array" ref="F511">IFERROR(_xlfn.XLOOKUP(A511,Sheet2!$A$2:$A$1453,Sheet2!$F$2:$F$1453),_xlfn.XLOOKUP(A511,TEXT(Sheet2!$A$2:$A$1453,"0"),Sheet2!$F$2:$F$1453,""))</f>
        <v>26-7-2026</v>
      </c>
      <c r="G511" s="2" t="str" cm="1">
        <f t="array" ref="G511">IFERROR(_xlfn.XLOOKUP(A511,Sheet2!$A$2:$A$1453,Sheet2!$G$2:$G$1453),_xlfn.XLOOKUP(A511,TEXT(Sheet2!$A$2:$A$1453,"0"),Sheet2!$G$2:$G$1453,""))</f>
        <v>6-8-2026</v>
      </c>
    </row>
    <row r="512" spans="1:7" x14ac:dyDescent="0.2">
      <c r="A512" s="1">
        <v>20315040684</v>
      </c>
      <c r="B512" t="str" cm="1">
        <f t="array" ref="B512">IFERROR(_xlfn.XLOOKUP(A512,Sheet2!$A$2:$A$1453,Sheet2!$B$2:$B$1453),_xlfn.XLOOKUP(A512,TEXT(Sheet2!$A$2:$A$1453,"0"),Sheet2!$B$2:$B$1453,""))</f>
        <v>JOHNSON BABY SHAMPO 750ML  31826</v>
      </c>
      <c r="C512" s="2">
        <v>51.92</v>
      </c>
      <c r="D512" s="2" cm="1">
        <f t="array" ref="D512">_xlfn.LET(_xlpm.v,IFERROR(_xlfn.XLOOKUP(A512,Sheet2!$A$2:$A$1453,Sheet2!$D$2:$D$1453),_xlfn.XLOOKUP(A512,TEXT(Sheet2!$A$2:$A$1453,"0"),Sheet2!$D$2:$D$1453,"")),IF(_xlpm.v="","",IF(_xlpm.v&lt;1,_xlpm.v*100,_xlpm.v)))</f>
        <v>35</v>
      </c>
      <c r="E512" s="2">
        <f t="shared" si="7"/>
        <v>33.748000000000005</v>
      </c>
      <c r="F512" s="2" t="str" cm="1">
        <f t="array" ref="F512">IFERROR(_xlfn.XLOOKUP(A512,Sheet2!$A$2:$A$1453,Sheet2!$F$2:$F$1453),_xlfn.XLOOKUP(A512,TEXT(Sheet2!$A$2:$A$1453,"0"),Sheet2!$F$2:$F$1453,""))</f>
        <v>26-7-2026</v>
      </c>
      <c r="G512" s="2" t="str" cm="1">
        <f t="array" ref="G512">IFERROR(_xlfn.XLOOKUP(A512,Sheet2!$A$2:$A$1453,Sheet2!$G$2:$G$1453),_xlfn.XLOOKUP(A512,TEXT(Sheet2!$A$2:$A$1453,"0"),Sheet2!$G$2:$G$1453,""))</f>
        <v>6-8-2026</v>
      </c>
    </row>
    <row r="513" spans="1:7" x14ac:dyDescent="0.2">
      <c r="A513" s="1">
        <v>20315040633</v>
      </c>
      <c r="B513" t="str" cm="1">
        <f t="array" ref="B513">IFERROR(_xlfn.XLOOKUP(A513,Sheet2!$A$2:$A$1453,Sheet2!$B$2:$B$1453),_xlfn.XLOOKUP(A513,TEXT(Sheet2!$A$2:$A$1453,"0"),Sheet2!$B$2:$B$1453,""))</f>
        <v>JOHNSON BABY OIL REGULAR 200ML 31252</v>
      </c>
      <c r="C513" s="2">
        <v>34.5</v>
      </c>
      <c r="D513" s="2" cm="1">
        <f t="array" ref="D513">_xlfn.LET(_xlpm.v,IFERROR(_xlfn.XLOOKUP(A513,Sheet2!$A$2:$A$1453,Sheet2!$D$2:$D$1453),_xlfn.XLOOKUP(A513,TEXT(Sheet2!$A$2:$A$1453,"0"),Sheet2!$D$2:$D$1453,"")),IF(_xlpm.v="","",IF(_xlpm.v&lt;1,_xlpm.v*100,_xlpm.v)))</f>
        <v>35</v>
      </c>
      <c r="E513" s="2">
        <f t="shared" si="7"/>
        <v>22.425000000000001</v>
      </c>
      <c r="F513" s="2" t="str" cm="1">
        <f t="array" ref="F513">IFERROR(_xlfn.XLOOKUP(A513,Sheet2!$A$2:$A$1453,Sheet2!$F$2:$F$1453),_xlfn.XLOOKUP(A513,TEXT(Sheet2!$A$2:$A$1453,"0"),Sheet2!$F$2:$F$1453,""))</f>
        <v>26-7-2026</v>
      </c>
      <c r="G513" s="2" t="str" cm="1">
        <f t="array" ref="G513">IFERROR(_xlfn.XLOOKUP(A513,Sheet2!$A$2:$A$1453,Sheet2!$G$2:$G$1453),_xlfn.XLOOKUP(A513,TEXT(Sheet2!$A$2:$A$1453,"0"),Sheet2!$G$2:$G$1453,""))</f>
        <v>6-8-2026</v>
      </c>
    </row>
    <row r="514" spans="1:7" x14ac:dyDescent="0.2">
      <c r="A514" s="1">
        <v>20309011717</v>
      </c>
      <c r="B514" t="str" cm="1">
        <f t="array" ref="B514">IFERROR(_xlfn.XLOOKUP(A514,Sheet2!$A$2:$A$1453,Sheet2!$B$2:$B$1453),_xlfn.XLOOKUP(A514,TEXT(Sheet2!$A$2:$A$1453,"0"),Sheet2!$B$2:$B$1453,""))</f>
        <v> DOVE SHAMPO COLOR  CARE 400ML 207621</v>
      </c>
      <c r="C514" s="2">
        <v>23.17</v>
      </c>
      <c r="D514" s="2" cm="1">
        <f t="array" ref="D514">_xlfn.LET(_xlpm.v,IFERROR(_xlfn.XLOOKUP(A514,Sheet2!$A$2:$A$1453,Sheet2!$D$2:$D$1453),_xlfn.XLOOKUP(A514,TEXT(Sheet2!$A$2:$A$1453,"0"),Sheet2!$D$2:$D$1453,"")),IF(_xlpm.v="","",IF(_xlpm.v&lt;1,_xlpm.v*100,_xlpm.v)))</f>
        <v>15</v>
      </c>
      <c r="E514" s="2">
        <f t="shared" si="7"/>
        <v>19.694500000000001</v>
      </c>
      <c r="F514" s="2" t="str" cm="1">
        <f t="array" ref="F514">IFERROR(_xlfn.XLOOKUP(A514,Sheet2!$A$2:$A$1453,Sheet2!$F$2:$F$1453),_xlfn.XLOOKUP(A514,TEXT(Sheet2!$A$2:$A$1453,"0"),Sheet2!$F$2:$F$1453,""))</f>
        <v>26-7-2026</v>
      </c>
      <c r="G514" s="2" t="str" cm="1">
        <f t="array" ref="G514">IFERROR(_xlfn.XLOOKUP(A514,Sheet2!$A$2:$A$1453,Sheet2!$G$2:$G$1453),_xlfn.XLOOKUP(A514,TEXT(Sheet2!$A$2:$A$1453,"0"),Sheet2!$G$2:$G$1453,""))</f>
        <v>6-8-2026</v>
      </c>
    </row>
    <row r="515" spans="1:7" x14ac:dyDescent="0.2">
      <c r="A515" s="1">
        <v>20309010045</v>
      </c>
      <c r="B515" t="str" cm="1">
        <f t="array" ref="B515">IFERROR(_xlfn.XLOOKUP(A515,Sheet2!$A$2:$A$1453,Sheet2!$B$2:$B$1453),_xlfn.XLOOKUP(A515,TEXT(Sheet2!$A$2:$A$1453,"0"),Sheet2!$B$2:$B$1453,""))</f>
        <v> DOVE SHAMPO INTENSIVE REPAIR 400ML-204286</v>
      </c>
      <c r="C515" s="2">
        <v>23.17</v>
      </c>
      <c r="D515" s="2" cm="1">
        <f t="array" ref="D515">_xlfn.LET(_xlpm.v,IFERROR(_xlfn.XLOOKUP(A515,Sheet2!$A$2:$A$1453,Sheet2!$D$2:$D$1453),_xlfn.XLOOKUP(A515,TEXT(Sheet2!$A$2:$A$1453,"0"),Sheet2!$D$2:$D$1453,"")),IF(_xlpm.v="","",IF(_xlpm.v&lt;1,_xlpm.v*100,_xlpm.v)))</f>
        <v>15</v>
      </c>
      <c r="E515" s="2">
        <f t="shared" ref="E515:E578" si="8">IF(D515="","",C515*(1-D515/100))</f>
        <v>19.694500000000001</v>
      </c>
      <c r="F515" s="2" t="str" cm="1">
        <f t="array" ref="F515">IFERROR(_xlfn.XLOOKUP(A515,Sheet2!$A$2:$A$1453,Sheet2!$F$2:$F$1453),_xlfn.XLOOKUP(A515,TEXT(Sheet2!$A$2:$A$1453,"0"),Sheet2!$F$2:$F$1453,""))</f>
        <v>26-7-2026</v>
      </c>
      <c r="G515" s="2" t="str" cm="1">
        <f t="array" ref="G515">IFERROR(_xlfn.XLOOKUP(A515,Sheet2!$A$2:$A$1453,Sheet2!$G$2:$G$1453),_xlfn.XLOOKUP(A515,TEXT(Sheet2!$A$2:$A$1453,"0"),Sheet2!$G$2:$G$1453,""))</f>
        <v>6-8-2026</v>
      </c>
    </row>
    <row r="516" spans="1:7" x14ac:dyDescent="0.2">
      <c r="A516" s="1">
        <v>20309010125</v>
      </c>
      <c r="B516" t="str" cm="1">
        <f t="array" ref="B516">IFERROR(_xlfn.XLOOKUP(A516,Sheet2!$A$2:$A$1453,Sheet2!$B$2:$B$1453),_xlfn.XLOOKUP(A516,TEXT(Sheet2!$A$2:$A$1453,"0"),Sheet2!$B$2:$B$1453,""))</f>
        <v> DOVE SHAMPO HAIR FALL RESCUE 400ML 207623</v>
      </c>
      <c r="C516" s="2">
        <v>23.17</v>
      </c>
      <c r="D516" s="2" cm="1">
        <f t="array" ref="D516">_xlfn.LET(_xlpm.v,IFERROR(_xlfn.XLOOKUP(A516,Sheet2!$A$2:$A$1453,Sheet2!$D$2:$D$1453),_xlfn.XLOOKUP(A516,TEXT(Sheet2!$A$2:$A$1453,"0"),Sheet2!$D$2:$D$1453,"")),IF(_xlpm.v="","",IF(_xlpm.v&lt;1,_xlpm.v*100,_xlpm.v)))</f>
        <v>15</v>
      </c>
      <c r="E516" s="2">
        <f t="shared" si="8"/>
        <v>19.694500000000001</v>
      </c>
      <c r="F516" s="2" t="str" cm="1">
        <f t="array" ref="F516">IFERROR(_xlfn.XLOOKUP(A516,Sheet2!$A$2:$A$1453,Sheet2!$F$2:$F$1453),_xlfn.XLOOKUP(A516,TEXT(Sheet2!$A$2:$A$1453,"0"),Sheet2!$F$2:$F$1453,""))</f>
        <v>26-7-2026</v>
      </c>
      <c r="G516" s="2" t="str" cm="1">
        <f t="array" ref="G516">IFERROR(_xlfn.XLOOKUP(A516,Sheet2!$A$2:$A$1453,Sheet2!$G$2:$G$1453),_xlfn.XLOOKUP(A516,TEXT(Sheet2!$A$2:$A$1453,"0"),Sheet2!$G$2:$G$1453,""))</f>
        <v>6-8-2026</v>
      </c>
    </row>
    <row r="517" spans="1:7" x14ac:dyDescent="0.2">
      <c r="A517" s="1" t="s">
        <v>56</v>
      </c>
      <c r="B517" t="str" cm="1">
        <f t="array" ref="B517">IFERROR(_xlfn.XLOOKUP(A517,Sheet2!$A$2:$A$1453,Sheet2!$B$2:$B$1453),_xlfn.XLOOKUP(A517,TEXT(Sheet2!$A$2:$A$1453,"0"),Sheet2!$B$2:$B$1453,""))</f>
        <v>UNIDOVE JOYFUL WHITNING SKIN CREA</v>
      </c>
      <c r="C517" s="2">
        <v>166.75</v>
      </c>
      <c r="D517" s="2" cm="1">
        <f t="array" ref="D517">_xlfn.LET(_xlpm.v,IFERROR(_xlfn.XLOOKUP(A517,Sheet2!$A$2:$A$1453,Sheet2!$D$2:$D$1453),_xlfn.XLOOKUP(A517,TEXT(Sheet2!$A$2:$A$1453,"0"),Sheet2!$D$2:$D$1453,"")),IF(_xlpm.v="","",IF(_xlpm.v&lt;1,_xlpm.v*100,_xlpm.v)))</f>
        <v>20</v>
      </c>
      <c r="E517" s="2">
        <f t="shared" si="8"/>
        <v>133.4</v>
      </c>
      <c r="F517" s="2" t="str" cm="1">
        <f t="array" ref="F517">IFERROR(_xlfn.XLOOKUP(A517,Sheet2!$A$2:$A$1453,Sheet2!$F$2:$F$1453),_xlfn.XLOOKUP(A517,TEXT(Sheet2!$A$2:$A$1453,"0"),Sheet2!$F$2:$F$1453,""))</f>
        <v>26-7-2026</v>
      </c>
      <c r="G517" s="2" t="str" cm="1">
        <f t="array" ref="G517">IFERROR(_xlfn.XLOOKUP(A517,Sheet2!$A$2:$A$1453,Sheet2!$G$2:$G$1453),_xlfn.XLOOKUP(A517,TEXT(Sheet2!$A$2:$A$1453,"0"),Sheet2!$G$2:$G$1453,""))</f>
        <v>6-8-2026</v>
      </c>
    </row>
    <row r="518" spans="1:7" x14ac:dyDescent="0.2">
      <c r="A518" s="1" t="s">
        <v>57</v>
      </c>
      <c r="B518" t="str" cm="1">
        <f t="array" ref="B518">IFERROR(_xlfn.XLOOKUP(A518,Sheet2!$A$2:$A$1453,Sheet2!$B$2:$B$1453),_xlfn.XLOOKUP(A518,TEXT(Sheet2!$A$2:$A$1453,"0"),Sheet2!$B$2:$B$1453,""))</f>
        <v>UNIDOVE FACIAL CLEANSER Liquid /1Co</v>
      </c>
      <c r="C518" s="2">
        <v>143.75</v>
      </c>
      <c r="D518" s="2" cm="1">
        <f t="array" ref="D518">_xlfn.LET(_xlpm.v,IFERROR(_xlfn.XLOOKUP(A518,Sheet2!$A$2:$A$1453,Sheet2!$D$2:$D$1453),_xlfn.XLOOKUP(A518,TEXT(Sheet2!$A$2:$A$1453,"0"),Sheet2!$D$2:$D$1453,"")),IF(_xlpm.v="","",IF(_xlpm.v&lt;1,_xlpm.v*100,_xlpm.v)))</f>
        <v>20</v>
      </c>
      <c r="E518" s="2">
        <f t="shared" si="8"/>
        <v>115</v>
      </c>
      <c r="F518" s="2" t="str" cm="1">
        <f t="array" ref="F518">IFERROR(_xlfn.XLOOKUP(A518,Sheet2!$A$2:$A$1453,Sheet2!$F$2:$F$1453),_xlfn.XLOOKUP(A518,TEXT(Sheet2!$A$2:$A$1453,"0"),Sheet2!$F$2:$F$1453,""))</f>
        <v>26-7-2026</v>
      </c>
      <c r="G518" s="2" t="str" cm="1">
        <f t="array" ref="G518">IFERROR(_xlfn.XLOOKUP(A518,Sheet2!$A$2:$A$1453,Sheet2!$G$2:$G$1453),_xlfn.XLOOKUP(A518,TEXT(Sheet2!$A$2:$A$1453,"0"),Sheet2!$G$2:$G$1453,""))</f>
        <v>6-8-2026</v>
      </c>
    </row>
    <row r="519" spans="1:7" x14ac:dyDescent="0.2">
      <c r="A519" s="1" t="s">
        <v>58</v>
      </c>
      <c r="B519" t="str" cm="1">
        <f t="array" ref="B519">IFERROR(_xlfn.XLOOKUP(A519,Sheet2!$A$2:$A$1453,Sheet2!$B$2:$B$1453),_xlfn.XLOOKUP(A519,TEXT(Sheet2!$A$2:$A$1453,"0"),Sheet2!$B$2:$B$1453,""))</f>
        <v>UNIDOVE COLLAGEN Cream /1Container, </v>
      </c>
      <c r="C519" s="2">
        <v>207</v>
      </c>
      <c r="D519" s="2" cm="1">
        <f t="array" ref="D519">_xlfn.LET(_xlpm.v,IFERROR(_xlfn.XLOOKUP(A519,Sheet2!$A$2:$A$1453,Sheet2!$D$2:$D$1453),_xlfn.XLOOKUP(A519,TEXT(Sheet2!$A$2:$A$1453,"0"),Sheet2!$D$2:$D$1453,"")),IF(_xlpm.v="","",IF(_xlpm.v&lt;1,_xlpm.v*100,_xlpm.v)))</f>
        <v>20</v>
      </c>
      <c r="E519" s="2">
        <f t="shared" si="8"/>
        <v>165.60000000000002</v>
      </c>
      <c r="F519" s="2" t="str" cm="1">
        <f t="array" ref="F519">IFERROR(_xlfn.XLOOKUP(A519,Sheet2!$A$2:$A$1453,Sheet2!$F$2:$F$1453),_xlfn.XLOOKUP(A519,TEXT(Sheet2!$A$2:$A$1453,"0"),Sheet2!$F$2:$F$1453,""))</f>
        <v>26-7-2026</v>
      </c>
      <c r="G519" s="2" t="str" cm="1">
        <f t="array" ref="G519">IFERROR(_xlfn.XLOOKUP(A519,Sheet2!$A$2:$A$1453,Sheet2!$G$2:$G$1453),_xlfn.XLOOKUP(A519,TEXT(Sheet2!$A$2:$A$1453,"0"),Sheet2!$G$2:$G$1453,""))</f>
        <v>6-8-2026</v>
      </c>
    </row>
    <row r="520" spans="1:7" x14ac:dyDescent="0.2">
      <c r="A520" s="1" t="s">
        <v>59</v>
      </c>
      <c r="B520" t="str" cm="1">
        <f t="array" ref="B520">IFERROR(_xlfn.XLOOKUP(A520,Sheet2!$A$2:$A$1453,Sheet2!$B$2:$B$1453),_xlfn.XLOOKUP(A520,TEXT(Sheet2!$A$2:$A$1453,"0"),Sheet2!$B$2:$B$1453,""))</f>
        <v>UNIDOVE CLEANSING SOAP container So</v>
      </c>
      <c r="C520" s="2">
        <v>57.5</v>
      </c>
      <c r="D520" s="2" cm="1">
        <f t="array" ref="D520">_xlfn.LET(_xlpm.v,IFERROR(_xlfn.XLOOKUP(A520,Sheet2!$A$2:$A$1453,Sheet2!$D$2:$D$1453),_xlfn.XLOOKUP(A520,TEXT(Sheet2!$A$2:$A$1453,"0"),Sheet2!$D$2:$D$1453,"")),IF(_xlpm.v="","",IF(_xlpm.v&lt;1,_xlpm.v*100,_xlpm.v)))</f>
        <v>20</v>
      </c>
      <c r="E520" s="2">
        <f t="shared" si="8"/>
        <v>46</v>
      </c>
      <c r="F520" s="2" t="str" cm="1">
        <f t="array" ref="F520">IFERROR(_xlfn.XLOOKUP(A520,Sheet2!$A$2:$A$1453,Sheet2!$F$2:$F$1453),_xlfn.XLOOKUP(A520,TEXT(Sheet2!$A$2:$A$1453,"0"),Sheet2!$F$2:$F$1453,""))</f>
        <v>26-7-2026</v>
      </c>
      <c r="G520" s="2" t="str" cm="1">
        <f t="array" ref="G520">IFERROR(_xlfn.XLOOKUP(A520,Sheet2!$A$2:$A$1453,Sheet2!$G$2:$G$1453),_xlfn.XLOOKUP(A520,TEXT(Sheet2!$A$2:$A$1453,"0"),Sheet2!$G$2:$G$1453,""))</f>
        <v>6-8-2026</v>
      </c>
    </row>
    <row r="521" spans="1:7" x14ac:dyDescent="0.2">
      <c r="A521" s="1" t="s">
        <v>60</v>
      </c>
      <c r="B521" t="str" cm="1">
        <f t="array" ref="B521">IFERROR(_xlfn.XLOOKUP(A521,Sheet2!$A$2:$A$1453,Sheet2!$B$2:$B$1453),_xlfn.XLOOKUP(A521,TEXT(Sheet2!$A$2:$A$1453,"0"),Sheet2!$B$2:$B$1453,""))</f>
        <v>UNIDOVE ALICE shampoo /1Container, 1C</v>
      </c>
      <c r="C521" s="2">
        <v>132.25</v>
      </c>
      <c r="D521" s="2" cm="1">
        <f t="array" ref="D521">_xlfn.LET(_xlpm.v,IFERROR(_xlfn.XLOOKUP(A521,Sheet2!$A$2:$A$1453,Sheet2!$D$2:$D$1453),_xlfn.XLOOKUP(A521,TEXT(Sheet2!$A$2:$A$1453,"0"),Sheet2!$D$2:$D$1453,"")),IF(_xlpm.v="","",IF(_xlpm.v&lt;1,_xlpm.v*100,_xlpm.v)))</f>
        <v>20</v>
      </c>
      <c r="E521" s="2">
        <f t="shared" si="8"/>
        <v>105.80000000000001</v>
      </c>
      <c r="F521" s="2" t="str" cm="1">
        <f t="array" ref="F521">IFERROR(_xlfn.XLOOKUP(A521,Sheet2!$A$2:$A$1453,Sheet2!$F$2:$F$1453),_xlfn.XLOOKUP(A521,TEXT(Sheet2!$A$2:$A$1453,"0"),Sheet2!$F$2:$F$1453,""))</f>
        <v>26-7-2026</v>
      </c>
      <c r="G521" s="2" t="str" cm="1">
        <f t="array" ref="G521">IFERROR(_xlfn.XLOOKUP(A521,Sheet2!$A$2:$A$1453,Sheet2!$G$2:$G$1453),_xlfn.XLOOKUP(A521,TEXT(Sheet2!$A$2:$A$1453,"0"),Sheet2!$G$2:$G$1453,""))</f>
        <v>6-8-2026</v>
      </c>
    </row>
    <row r="522" spans="1:7" x14ac:dyDescent="0.2">
      <c r="A522" s="1" t="s">
        <v>61</v>
      </c>
      <c r="B522" t="str" cm="1">
        <f t="array" ref="B522">IFERROR(_xlfn.XLOOKUP(A522,Sheet2!$A$2:$A$1453,Sheet2!$B$2:$B$1453),_xlfn.XLOOKUP(A522,TEXT(Sheet2!$A$2:$A$1453,"0"),Sheet2!$B$2:$B$1453,""))</f>
        <v>UNIDOVE ACNOGEL  30 GM/CONTAINER</v>
      </c>
      <c r="C522" s="2">
        <v>103.5</v>
      </c>
      <c r="D522" s="2" cm="1">
        <f t="array" ref="D522">_xlfn.LET(_xlpm.v,IFERROR(_xlfn.XLOOKUP(A522,Sheet2!$A$2:$A$1453,Sheet2!$D$2:$D$1453),_xlfn.XLOOKUP(A522,TEXT(Sheet2!$A$2:$A$1453,"0"),Sheet2!$D$2:$D$1453,"")),IF(_xlpm.v="","",IF(_xlpm.v&lt;1,_xlpm.v*100,_xlpm.v)))</f>
        <v>20</v>
      </c>
      <c r="E522" s="2">
        <f t="shared" si="8"/>
        <v>82.800000000000011</v>
      </c>
      <c r="F522" s="2" t="str" cm="1">
        <f t="array" ref="F522">IFERROR(_xlfn.XLOOKUP(A522,Sheet2!$A$2:$A$1453,Sheet2!$F$2:$F$1453),_xlfn.XLOOKUP(A522,TEXT(Sheet2!$A$2:$A$1453,"0"),Sheet2!$F$2:$F$1453,""))</f>
        <v>26-7-2026</v>
      </c>
      <c r="G522" s="2" t="str" cm="1">
        <f t="array" ref="G522">IFERROR(_xlfn.XLOOKUP(A522,Sheet2!$A$2:$A$1453,Sheet2!$G$2:$G$1453),_xlfn.XLOOKUP(A522,TEXT(Sheet2!$A$2:$A$1453,"0"),Sheet2!$G$2:$G$1453,""))</f>
        <v>6-8-2026</v>
      </c>
    </row>
    <row r="523" spans="1:7" x14ac:dyDescent="0.2">
      <c r="A523" s="1">
        <v>20614020137</v>
      </c>
      <c r="B523" t="str" cm="1">
        <f t="array" ref="B523">IFERROR(_xlfn.XLOOKUP(A523,Sheet2!$A$2:$A$1453,Sheet2!$B$2:$B$1453),_xlfn.XLOOKUP(A523,TEXT(Sheet2!$A$2:$A$1453,"0"),Sheet2!$B$2:$B$1453,""))</f>
        <v>PRIVATE MAX NIGHT 6X24</v>
      </c>
      <c r="C523" s="2">
        <v>24.44</v>
      </c>
      <c r="D523" s="2" cm="1">
        <f t="array" ref="D523">_xlfn.LET(_xlpm.v,IFERROR(_xlfn.XLOOKUP(A523,Sheet2!$A$2:$A$1453,Sheet2!$D$2:$D$1453),_xlfn.XLOOKUP(A523,TEXT(Sheet2!$A$2:$A$1453,"0"),Sheet2!$D$2:$D$1453,"")),IF(_xlpm.v="","",IF(_xlpm.v&lt;1,_xlpm.v*100,_xlpm.v)))</f>
        <v>7.5</v>
      </c>
      <c r="E523" s="2">
        <f t="shared" si="8"/>
        <v>22.607000000000003</v>
      </c>
      <c r="F523" s="2" t="str" cm="1">
        <f t="array" ref="F523">IFERROR(_xlfn.XLOOKUP(A523,Sheet2!$A$2:$A$1453,Sheet2!$F$2:$F$1453),_xlfn.XLOOKUP(A523,TEXT(Sheet2!$A$2:$A$1453,"0"),Sheet2!$F$2:$F$1453,""))</f>
        <v>26-7-2026</v>
      </c>
      <c r="G523" s="2" t="str" cm="1">
        <f t="array" ref="G523">IFERROR(_xlfn.XLOOKUP(A523,Sheet2!$A$2:$A$1453,Sheet2!$G$2:$G$1453),_xlfn.XLOOKUP(A523,TEXT(Sheet2!$A$2:$A$1453,"0"),Sheet2!$G$2:$G$1453,""))</f>
        <v>6-8-2026</v>
      </c>
    </row>
    <row r="524" spans="1:7" x14ac:dyDescent="0.2">
      <c r="A524" s="1">
        <v>20614020175</v>
      </c>
      <c r="B524" t="str" cm="1">
        <f t="array" ref="B524">IFERROR(_xlfn.XLOOKUP(A524,Sheet2!$A$2:$A$1453,Sheet2!$B$2:$B$1453),_xlfn.XLOOKUP(A524,TEXT(Sheet2!$A$2:$A$1453,"0"),Sheet2!$B$2:$B$1453,""))</f>
        <v>PRIVATE MAXI WINGS NIGHT 6X48</v>
      </c>
      <c r="C524" s="2">
        <v>38.1</v>
      </c>
      <c r="D524" s="2" cm="1">
        <f t="array" ref="D524">_xlfn.LET(_xlpm.v,IFERROR(_xlfn.XLOOKUP(A524,Sheet2!$A$2:$A$1453,Sheet2!$D$2:$D$1453),_xlfn.XLOOKUP(A524,TEXT(Sheet2!$A$2:$A$1453,"0"),Sheet2!$D$2:$D$1453,"")),IF(_xlpm.v="","",IF(_xlpm.v&lt;1,_xlpm.v*100,_xlpm.v)))</f>
        <v>7.5</v>
      </c>
      <c r="E524" s="2">
        <f t="shared" si="8"/>
        <v>35.2425</v>
      </c>
      <c r="F524" s="2" t="str" cm="1">
        <f t="array" ref="F524">IFERROR(_xlfn.XLOOKUP(A524,Sheet2!$A$2:$A$1453,Sheet2!$F$2:$F$1453),_xlfn.XLOOKUP(A524,TEXT(Sheet2!$A$2:$A$1453,"0"),Sheet2!$F$2:$F$1453,""))</f>
        <v>26-7-2026</v>
      </c>
      <c r="G524" s="2" t="str" cm="1">
        <f t="array" ref="G524">IFERROR(_xlfn.XLOOKUP(A524,Sheet2!$A$2:$A$1453,Sheet2!$G$2:$G$1453),_xlfn.XLOOKUP(A524,TEXT(Sheet2!$A$2:$A$1453,"0"),Sheet2!$G$2:$G$1453,""))</f>
        <v>6-8-2026</v>
      </c>
    </row>
    <row r="525" spans="1:7" x14ac:dyDescent="0.2">
      <c r="A525" s="1">
        <v>20614020088</v>
      </c>
      <c r="B525" t="str" cm="1">
        <f t="array" ref="B525">IFERROR(_xlfn.XLOOKUP(A525,Sheet2!$A$2:$A$1453,Sheet2!$B$2:$B$1453),_xlfn.XLOOKUP(A525,TEXT(Sheet2!$A$2:$A$1453,"0"),Sheet2!$B$2:$B$1453,""))</f>
        <v>PRIVATE MAXI SUPER  6X30</v>
      </c>
      <c r="C525" s="2">
        <v>23.47</v>
      </c>
      <c r="D525" s="2" cm="1">
        <f t="array" ref="D525">_xlfn.LET(_xlpm.v,IFERROR(_xlfn.XLOOKUP(A525,Sheet2!$A$2:$A$1453,Sheet2!$D$2:$D$1453),_xlfn.XLOOKUP(A525,TEXT(Sheet2!$A$2:$A$1453,"0"),Sheet2!$D$2:$D$1453,"")),IF(_xlpm.v="","",IF(_xlpm.v&lt;1,_xlpm.v*100,_xlpm.v)))</f>
        <v>7.5</v>
      </c>
      <c r="E525" s="2">
        <f t="shared" si="8"/>
        <v>21.70975</v>
      </c>
      <c r="F525" s="2" t="str" cm="1">
        <f t="array" ref="F525">IFERROR(_xlfn.XLOOKUP(A525,Sheet2!$A$2:$A$1453,Sheet2!$F$2:$F$1453),_xlfn.XLOOKUP(A525,TEXT(Sheet2!$A$2:$A$1453,"0"),Sheet2!$F$2:$F$1453,""))</f>
        <v>26-7-2026</v>
      </c>
      <c r="G525" s="2" t="str" cm="1">
        <f t="array" ref="G525">IFERROR(_xlfn.XLOOKUP(A525,Sheet2!$A$2:$A$1453,Sheet2!$G$2:$G$1453),_xlfn.XLOOKUP(A525,TEXT(Sheet2!$A$2:$A$1453,"0"),Sheet2!$G$2:$G$1453,""))</f>
        <v>6-8-2026</v>
      </c>
    </row>
    <row r="526" spans="1:7" x14ac:dyDescent="0.2">
      <c r="A526" s="1">
        <v>20614020087</v>
      </c>
      <c r="B526" t="str" cm="1">
        <f t="array" ref="B526">IFERROR(_xlfn.XLOOKUP(A526,Sheet2!$A$2:$A$1453,Sheet2!$B$2:$B$1453),_xlfn.XLOOKUP(A526,TEXT(Sheet2!$A$2:$A$1453,"0"),Sheet2!$B$2:$B$1453,""))</f>
        <v>PRIVATE MAXI NORMAL 6X30</v>
      </c>
      <c r="C526" s="2">
        <v>23.47</v>
      </c>
      <c r="D526" s="2" cm="1">
        <f t="array" ref="D526">_xlfn.LET(_xlpm.v,IFERROR(_xlfn.XLOOKUP(A526,Sheet2!$A$2:$A$1453,Sheet2!$D$2:$D$1453),_xlfn.XLOOKUP(A526,TEXT(Sheet2!$A$2:$A$1453,"0"),Sheet2!$D$2:$D$1453,"")),IF(_xlpm.v="","",IF(_xlpm.v&lt;1,_xlpm.v*100,_xlpm.v)))</f>
        <v>7.5</v>
      </c>
      <c r="E526" s="2">
        <f t="shared" si="8"/>
        <v>21.70975</v>
      </c>
      <c r="F526" s="2" t="str" cm="1">
        <f t="array" ref="F526">IFERROR(_xlfn.XLOOKUP(A526,Sheet2!$A$2:$A$1453,Sheet2!$F$2:$F$1453),_xlfn.XLOOKUP(A526,TEXT(Sheet2!$A$2:$A$1453,"0"),Sheet2!$F$2:$F$1453,""))</f>
        <v>26-7-2026</v>
      </c>
      <c r="G526" s="2" t="str" cm="1">
        <f t="array" ref="G526">IFERROR(_xlfn.XLOOKUP(A526,Sheet2!$A$2:$A$1453,Sheet2!$G$2:$G$1453),_xlfn.XLOOKUP(A526,TEXT(Sheet2!$A$2:$A$1453,"0"),Sheet2!$G$2:$G$1453,""))</f>
        <v>6-8-2026</v>
      </c>
    </row>
    <row r="527" spans="1:7" x14ac:dyDescent="0.2">
      <c r="A527" s="1">
        <v>20615010094</v>
      </c>
      <c r="B527" t="str" cm="1">
        <f t="array" ref="B527">IFERROR(_xlfn.XLOOKUP(A527,Sheet2!$A$2:$A$1453,Sheet2!$B$2:$B$1453),_xlfn.XLOOKUP(A527,TEXT(Sheet2!$A$2:$A$1453,"0"),Sheet2!$B$2:$B$1453,""))</f>
        <v>FINE GREEN 4 LRG 2X62</v>
      </c>
      <c r="C527" s="2">
        <v>73.599999999999994</v>
      </c>
      <c r="D527" s="2" cm="1">
        <f t="array" ref="D527">_xlfn.LET(_xlpm.v,IFERROR(_xlfn.XLOOKUP(A527,Sheet2!$A$2:$A$1453,Sheet2!$D$2:$D$1453),_xlfn.XLOOKUP(A527,TEXT(Sheet2!$A$2:$A$1453,"0"),Sheet2!$D$2:$D$1453,"")),IF(_xlpm.v="","",IF(_xlpm.v&lt;1,_xlpm.v*100,_xlpm.v)))</f>
        <v>20</v>
      </c>
      <c r="E527" s="2">
        <f t="shared" si="8"/>
        <v>58.879999999999995</v>
      </c>
      <c r="F527" s="2" t="str" cm="1">
        <f t="array" ref="F527">IFERROR(_xlfn.XLOOKUP(A527,Sheet2!$A$2:$A$1453,Sheet2!$F$2:$F$1453),_xlfn.XLOOKUP(A527,TEXT(Sheet2!$A$2:$A$1453,"0"),Sheet2!$F$2:$F$1453,""))</f>
        <v>26-7-2026</v>
      </c>
      <c r="G527" s="2" t="str" cm="1">
        <f t="array" ref="G527">IFERROR(_xlfn.XLOOKUP(A527,Sheet2!$A$2:$A$1453,Sheet2!$G$2:$G$1453),_xlfn.XLOOKUP(A527,TEXT(Sheet2!$A$2:$A$1453,"0"),Sheet2!$G$2:$G$1453,""))</f>
        <v>6-8-2026</v>
      </c>
    </row>
    <row r="528" spans="1:7" x14ac:dyDescent="0.2">
      <c r="A528" s="1">
        <v>20615010098</v>
      </c>
      <c r="B528" t="str" cm="1">
        <f t="array" ref="B528">IFERROR(_xlfn.XLOOKUP(A528,Sheet2!$A$2:$A$1453,Sheet2!$B$2:$B$1453),_xlfn.XLOOKUP(A528,TEXT(Sheet2!$A$2:$A$1453,"0"),Sheet2!$B$2:$B$1453,""))</f>
        <v>FINE GREEN 5 MAX 2X56</v>
      </c>
      <c r="C528" s="2">
        <v>82.23</v>
      </c>
      <c r="D528" s="2" cm="1">
        <f t="array" ref="D528">_xlfn.LET(_xlpm.v,IFERROR(_xlfn.XLOOKUP(A528,Sheet2!$A$2:$A$1453,Sheet2!$D$2:$D$1453),_xlfn.XLOOKUP(A528,TEXT(Sheet2!$A$2:$A$1453,"0"),Sheet2!$D$2:$D$1453,"")),IF(_xlpm.v="","",IF(_xlpm.v&lt;1,_xlpm.v*100,_xlpm.v)))</f>
        <v>20</v>
      </c>
      <c r="E528" s="2">
        <f t="shared" si="8"/>
        <v>65.784000000000006</v>
      </c>
      <c r="F528" s="2" t="str" cm="1">
        <f t="array" ref="F528">IFERROR(_xlfn.XLOOKUP(A528,Sheet2!$A$2:$A$1453,Sheet2!$F$2:$F$1453),_xlfn.XLOOKUP(A528,TEXT(Sheet2!$A$2:$A$1453,"0"),Sheet2!$F$2:$F$1453,""))</f>
        <v>26-7-2026</v>
      </c>
      <c r="G528" s="2" t="str" cm="1">
        <f t="array" ref="G528">IFERROR(_xlfn.XLOOKUP(A528,Sheet2!$A$2:$A$1453,Sheet2!$G$2:$G$1453),_xlfn.XLOOKUP(A528,TEXT(Sheet2!$A$2:$A$1453,"0"),Sheet2!$G$2:$G$1453,""))</f>
        <v>6-8-2026</v>
      </c>
    </row>
    <row r="529" spans="1:7" x14ac:dyDescent="0.2">
      <c r="A529" s="1">
        <v>20615010238</v>
      </c>
      <c r="B529" t="str" cm="1">
        <f t="array" ref="B529">IFERROR(_xlfn.XLOOKUP(A529,Sheet2!$A$2:$A$1453,Sheet2!$B$2:$B$1453),_xlfn.XLOOKUP(A529,TEXT(Sheet2!$A$2:$A$1453,"0"),Sheet2!$B$2:$B$1453,""))</f>
        <v>FINE GREEN NO 6 4X54</v>
      </c>
      <c r="C529" s="2">
        <v>73.599999999999994</v>
      </c>
      <c r="D529" s="2" cm="1">
        <f t="array" ref="D529">_xlfn.LET(_xlpm.v,IFERROR(_xlfn.XLOOKUP(A529,Sheet2!$A$2:$A$1453,Sheet2!$D$2:$D$1453),_xlfn.XLOOKUP(A529,TEXT(Sheet2!$A$2:$A$1453,"0"),Sheet2!$D$2:$D$1453,"")),IF(_xlpm.v="","",IF(_xlpm.v&lt;1,_xlpm.v*100,_xlpm.v)))</f>
        <v>20</v>
      </c>
      <c r="E529" s="2">
        <f t="shared" si="8"/>
        <v>58.879999999999995</v>
      </c>
      <c r="F529" s="2" t="str" cm="1">
        <f t="array" ref="F529">IFERROR(_xlfn.XLOOKUP(A529,Sheet2!$A$2:$A$1453,Sheet2!$F$2:$F$1453),_xlfn.XLOOKUP(A529,TEXT(Sheet2!$A$2:$A$1453,"0"),Sheet2!$F$2:$F$1453,""))</f>
        <v>26-7-2026</v>
      </c>
      <c r="G529" s="2" t="str" cm="1">
        <f t="array" ref="G529">IFERROR(_xlfn.XLOOKUP(A529,Sheet2!$A$2:$A$1453,Sheet2!$G$2:$G$1453),_xlfn.XLOOKUP(A529,TEXT(Sheet2!$A$2:$A$1453,"0"),Sheet2!$G$2:$G$1453,""))</f>
        <v>6-8-2026</v>
      </c>
    </row>
    <row r="530" spans="1:7" x14ac:dyDescent="0.2">
      <c r="A530" s="1">
        <v>20615010338</v>
      </c>
      <c r="B530" t="str" cm="1">
        <f t="array" ref="B530">IFERROR(_xlfn.XLOOKUP(A530,Sheet2!$A$2:$A$1453,Sheet2!$B$2:$B$1453),_xlfn.XLOOKUP(A530,TEXT(Sheet2!$A$2:$A$1453,"0"),Sheet2!$B$2:$B$1453,""))</f>
        <v>FINE CARE MEDDIUM 3X44</v>
      </c>
      <c r="C530" s="2">
        <v>119.95</v>
      </c>
      <c r="D530" s="2" cm="1">
        <f t="array" ref="D530">_xlfn.LET(_xlpm.v,IFERROR(_xlfn.XLOOKUP(A530,Sheet2!$A$2:$A$1453,Sheet2!$D$2:$D$1453),_xlfn.XLOOKUP(A530,TEXT(Sheet2!$A$2:$A$1453,"0"),Sheet2!$D$2:$D$1453,"")),IF(_xlpm.v="","",IF(_xlpm.v&lt;1,_xlpm.v*100,_xlpm.v)))</f>
        <v>20</v>
      </c>
      <c r="E530" s="2">
        <f t="shared" si="8"/>
        <v>95.960000000000008</v>
      </c>
      <c r="F530" s="2" t="str" cm="1">
        <f t="array" ref="F530">IFERROR(_xlfn.XLOOKUP(A530,Sheet2!$A$2:$A$1453,Sheet2!$F$2:$F$1453),_xlfn.XLOOKUP(A530,TEXT(Sheet2!$A$2:$A$1453,"0"),Sheet2!$F$2:$F$1453,""))</f>
        <v>26-7-2026</v>
      </c>
      <c r="G530" s="2" t="str" cm="1">
        <f t="array" ref="G530">IFERROR(_xlfn.XLOOKUP(A530,Sheet2!$A$2:$A$1453,Sheet2!$G$2:$G$1453),_xlfn.XLOOKUP(A530,TEXT(Sheet2!$A$2:$A$1453,"0"),Sheet2!$G$2:$G$1453,""))</f>
        <v>6-8-2026</v>
      </c>
    </row>
    <row r="531" spans="1:7" x14ac:dyDescent="0.2">
      <c r="A531" s="1">
        <v>20620030027</v>
      </c>
      <c r="B531" t="str" cm="1">
        <f t="array" ref="B531">IFERROR(_xlfn.XLOOKUP(A531,Sheet2!$A$2:$A$1453,Sheet2!$B$2:$B$1453),_xlfn.XLOOKUP(A531,TEXT(Sheet2!$A$2:$A$1453,"0"),Sheet2!$B$2:$B$1453,""))</f>
        <v>FINE CARE MED 4X22</v>
      </c>
      <c r="C531" s="2">
        <v>69</v>
      </c>
      <c r="D531" s="2" cm="1">
        <f t="array" ref="D531">_xlfn.LET(_xlpm.v,IFERROR(_xlfn.XLOOKUP(A531,Sheet2!$A$2:$A$1453,Sheet2!$D$2:$D$1453),_xlfn.XLOOKUP(A531,TEXT(Sheet2!$A$2:$A$1453,"0"),Sheet2!$D$2:$D$1453,"")),IF(_xlpm.v="","",IF(_xlpm.v&lt;1,_xlpm.v*100,_xlpm.v)))</f>
        <v>20</v>
      </c>
      <c r="E531" s="2">
        <f t="shared" si="8"/>
        <v>55.2</v>
      </c>
      <c r="F531" s="2" t="str" cm="1">
        <f t="array" ref="F531">IFERROR(_xlfn.XLOOKUP(A531,Sheet2!$A$2:$A$1453,Sheet2!$F$2:$F$1453),_xlfn.XLOOKUP(A531,TEXT(Sheet2!$A$2:$A$1453,"0"),Sheet2!$F$2:$F$1453,""))</f>
        <v>26-7-2026</v>
      </c>
      <c r="G531" s="2" t="str" cm="1">
        <f t="array" ref="G531">IFERROR(_xlfn.XLOOKUP(A531,Sheet2!$A$2:$A$1453,Sheet2!$G$2:$G$1453),_xlfn.XLOOKUP(A531,TEXT(Sheet2!$A$2:$A$1453,"0"),Sheet2!$G$2:$G$1453,""))</f>
        <v>6-8-2026</v>
      </c>
    </row>
    <row r="532" spans="1:7" x14ac:dyDescent="0.2">
      <c r="A532" s="1">
        <v>20620030047</v>
      </c>
      <c r="B532" t="str" cm="1">
        <f t="array" ref="B532">IFERROR(_xlfn.XLOOKUP(A532,Sheet2!$A$2:$A$1453,Sheet2!$B$2:$B$1453),_xlfn.XLOOKUP(A532,TEXT(Sheet2!$A$2:$A$1453,"0"),Sheet2!$B$2:$B$1453,""))</f>
        <v>FINE CARE LARG GAMPO 3X36</v>
      </c>
      <c r="C532" s="2">
        <v>119.95</v>
      </c>
      <c r="D532" s="2" cm="1">
        <f t="array" ref="D532">_xlfn.LET(_xlpm.v,IFERROR(_xlfn.XLOOKUP(A532,Sheet2!$A$2:$A$1453,Sheet2!$D$2:$D$1453),_xlfn.XLOOKUP(A532,TEXT(Sheet2!$A$2:$A$1453,"0"),Sheet2!$D$2:$D$1453,"")),IF(_xlpm.v="","",IF(_xlpm.v&lt;1,_xlpm.v*100,_xlpm.v)))</f>
        <v>20</v>
      </c>
      <c r="E532" s="2">
        <f t="shared" si="8"/>
        <v>95.960000000000008</v>
      </c>
      <c r="F532" s="2" t="str" cm="1">
        <f t="array" ref="F532">IFERROR(_xlfn.XLOOKUP(A532,Sheet2!$A$2:$A$1453,Sheet2!$F$2:$F$1453),_xlfn.XLOOKUP(A532,TEXT(Sheet2!$A$2:$A$1453,"0"),Sheet2!$F$2:$F$1453,""))</f>
        <v>26-7-2026</v>
      </c>
      <c r="G532" s="2" t="str" cm="1">
        <f t="array" ref="G532">IFERROR(_xlfn.XLOOKUP(A532,Sheet2!$A$2:$A$1453,Sheet2!$G$2:$G$1453),_xlfn.XLOOKUP(A532,TEXT(Sheet2!$A$2:$A$1453,"0"),Sheet2!$G$2:$G$1453,""))</f>
        <v>6-8-2026</v>
      </c>
    </row>
    <row r="533" spans="1:7" x14ac:dyDescent="0.2">
      <c r="A533" s="1">
        <v>20615010042</v>
      </c>
      <c r="B533" t="str" cm="1">
        <f t="array" ref="B533">IFERROR(_xlfn.XLOOKUP(A533,Sheet2!$A$2:$A$1453,Sheet2!$B$2:$B$1453),_xlfn.XLOOKUP(A533,TEXT(Sheet2!$A$2:$A$1453,"0"),Sheet2!$B$2:$B$1453,""))</f>
        <v>FINE CARE CLOT MED 6X14</v>
      </c>
      <c r="C533" s="2">
        <v>62</v>
      </c>
      <c r="D533" s="2" cm="1">
        <f t="array" ref="D533">_xlfn.LET(_xlpm.v,IFERROR(_xlfn.XLOOKUP(A533,Sheet2!$A$2:$A$1453,Sheet2!$D$2:$D$1453),_xlfn.XLOOKUP(A533,TEXT(Sheet2!$A$2:$A$1453,"0"),Sheet2!$D$2:$D$1453,"")),IF(_xlpm.v="","",IF(_xlpm.v&lt;1,_xlpm.v*100,_xlpm.v)))</f>
        <v>20</v>
      </c>
      <c r="E533" s="2">
        <f t="shared" si="8"/>
        <v>49.6</v>
      </c>
      <c r="F533" s="2" t="str" cm="1">
        <f t="array" ref="F533">IFERROR(_xlfn.XLOOKUP(A533,Sheet2!$A$2:$A$1453,Sheet2!$F$2:$F$1453),_xlfn.XLOOKUP(A533,TEXT(Sheet2!$A$2:$A$1453,"0"),Sheet2!$F$2:$F$1453,""))</f>
        <v>26-7-2026</v>
      </c>
      <c r="G533" s="2" t="str" cm="1">
        <f t="array" ref="G533">IFERROR(_xlfn.XLOOKUP(A533,Sheet2!$A$2:$A$1453,Sheet2!$G$2:$G$1453),_xlfn.XLOOKUP(A533,TEXT(Sheet2!$A$2:$A$1453,"0"),Sheet2!$G$2:$G$1453,""))</f>
        <v>6-8-2026</v>
      </c>
    </row>
    <row r="534" spans="1:7" x14ac:dyDescent="0.2">
      <c r="A534" s="1">
        <v>20615010041</v>
      </c>
      <c r="B534" t="str" cm="1">
        <f t="array" ref="B534">IFERROR(_xlfn.XLOOKUP(A534,Sheet2!$A$2:$A$1453,Sheet2!$B$2:$B$1453),_xlfn.XLOOKUP(A534,TEXT(Sheet2!$A$2:$A$1453,"0"),Sheet2!$B$2:$B$1453,""))</f>
        <v>FINE CARE CLOT LARG 6X14</v>
      </c>
      <c r="C534" s="2">
        <v>62</v>
      </c>
      <c r="D534" s="2" cm="1">
        <f t="array" ref="D534">_xlfn.LET(_xlpm.v,IFERROR(_xlfn.XLOOKUP(A534,Sheet2!$A$2:$A$1453,Sheet2!$D$2:$D$1453),_xlfn.XLOOKUP(A534,TEXT(Sheet2!$A$2:$A$1453,"0"),Sheet2!$D$2:$D$1453,"")),IF(_xlpm.v="","",IF(_xlpm.v&lt;1,_xlpm.v*100,_xlpm.v)))</f>
        <v>20</v>
      </c>
      <c r="E534" s="2">
        <f t="shared" si="8"/>
        <v>49.6</v>
      </c>
      <c r="F534" s="2" t="str" cm="1">
        <f t="array" ref="F534">IFERROR(_xlfn.XLOOKUP(A534,Sheet2!$A$2:$A$1453,Sheet2!$F$2:$F$1453),_xlfn.XLOOKUP(A534,TEXT(Sheet2!$A$2:$A$1453,"0"),Sheet2!$F$2:$F$1453,""))</f>
        <v>26-7-2026</v>
      </c>
      <c r="G534" s="2" t="str" cm="1">
        <f t="array" ref="G534">IFERROR(_xlfn.XLOOKUP(A534,Sheet2!$A$2:$A$1453,Sheet2!$G$2:$G$1453),_xlfn.XLOOKUP(A534,TEXT(Sheet2!$A$2:$A$1453,"0"),Sheet2!$G$2:$G$1453,""))</f>
        <v>6-8-2026</v>
      </c>
    </row>
    <row r="535" spans="1:7" x14ac:dyDescent="0.2">
      <c r="A535" s="1">
        <v>20614020169</v>
      </c>
      <c r="B535" t="str" cm="1">
        <f t="array" ref="B535">IFERROR(_xlfn.XLOOKUP(A535,Sheet2!$A$2:$A$1453,Sheet2!$B$2:$B$1453),_xlfn.XLOOKUP(A535,TEXT(Sheet2!$A$2:$A$1453,"0"),Sheet2!$B$2:$B$1453,""))</f>
        <v>FAM MAXI WINGES SUPER 41+9 6X50</v>
      </c>
      <c r="C535" s="2">
        <v>27.95</v>
      </c>
      <c r="D535" s="2" cm="1">
        <f t="array" ref="D535">_xlfn.LET(_xlpm.v,IFERROR(_xlfn.XLOOKUP(A535,Sheet2!$A$2:$A$1453,Sheet2!$D$2:$D$1453),_xlfn.XLOOKUP(A535,TEXT(Sheet2!$A$2:$A$1453,"0"),Sheet2!$D$2:$D$1453,"")),IF(_xlpm.v="","",IF(_xlpm.v&lt;1,_xlpm.v*100,_xlpm.v)))</f>
        <v>7.5</v>
      </c>
      <c r="E535" s="2">
        <f t="shared" si="8"/>
        <v>25.853750000000002</v>
      </c>
      <c r="F535" s="2" t="str" cm="1">
        <f t="array" ref="F535">IFERROR(_xlfn.XLOOKUP(A535,Sheet2!$A$2:$A$1453,Sheet2!$F$2:$F$1453),_xlfn.XLOOKUP(A535,TEXT(Sheet2!$A$2:$A$1453,"0"),Sheet2!$F$2:$F$1453,""))</f>
        <v>26-7-2026</v>
      </c>
      <c r="G535" s="2" t="str" cm="1">
        <f t="array" ref="G535">IFERROR(_xlfn.XLOOKUP(A535,Sheet2!$A$2:$A$1453,Sheet2!$G$2:$G$1453),_xlfn.XLOOKUP(A535,TEXT(Sheet2!$A$2:$A$1453,"0"),Sheet2!$G$2:$G$1453,""))</f>
        <v>6-8-2026</v>
      </c>
    </row>
    <row r="536" spans="1:7" x14ac:dyDescent="0.2">
      <c r="A536" s="1" t="s">
        <v>62</v>
      </c>
      <c r="B536" t="str" cm="1">
        <f t="array" ref="B536">IFERROR(_xlfn.XLOOKUP(A536,Sheet2!$A$2:$A$1453,Sheet2!$B$2:$B$1453),_xlfn.XLOOKUP(A536,TEXT(Sheet2!$A$2:$A$1453,"0"),Sheet2!$B$2:$B$1453,""))</f>
        <v>QVtubeCream,100GM/TUBE</v>
      </c>
      <c r="C536" s="2">
        <v>86.25</v>
      </c>
      <c r="D536" s="2" cm="1">
        <f t="array" ref="D536">_xlfn.LET(_xlpm.v,IFERROR(_xlfn.XLOOKUP(A536,Sheet2!$A$2:$A$1453,Sheet2!$D$2:$D$1453),_xlfn.XLOOKUP(A536,TEXT(Sheet2!$A$2:$A$1453,"0"),Sheet2!$D$2:$D$1453,"")),IF(_xlpm.v="","",IF(_xlpm.v&lt;1,_xlpm.v*100,_xlpm.v)))</f>
        <v>20</v>
      </c>
      <c r="E536" s="2">
        <f t="shared" si="8"/>
        <v>69</v>
      </c>
      <c r="F536" s="2" t="str" cm="1">
        <f t="array" ref="F536">IFERROR(_xlfn.XLOOKUP(A536,Sheet2!$A$2:$A$1453,Sheet2!$F$2:$F$1453),_xlfn.XLOOKUP(A536,TEXT(Sheet2!$A$2:$A$1453,"0"),Sheet2!$F$2:$F$1453,""))</f>
        <v>26-7-2026</v>
      </c>
      <c r="G536" s="2" t="str" cm="1">
        <f t="array" ref="G536">IFERROR(_xlfn.XLOOKUP(A536,Sheet2!$A$2:$A$1453,Sheet2!$G$2:$G$1453),_xlfn.XLOOKUP(A536,TEXT(Sheet2!$A$2:$A$1453,"0"),Sheet2!$G$2:$G$1453,""))</f>
        <v>6-8-2026</v>
      </c>
    </row>
    <row r="537" spans="1:7" x14ac:dyDescent="0.2">
      <c r="A537" s="1" t="s">
        <v>63</v>
      </c>
      <c r="B537" t="str" cm="1">
        <f t="array" ref="B537">IFERROR(_xlfn.XLOOKUP(A537,Sheet2!$A$2:$A$1453,Sheet2!$B$2:$B$1453),_xlfn.XLOOKUP(A537,TEXT(Sheet2!$A$2:$A$1453,"0"),Sheet2!$B$2:$B$1453,""))</f>
        <v>QVLIPBALM/1APPLY,15GM/Tube</v>
      </c>
      <c r="C537" s="2">
        <v>42.55</v>
      </c>
      <c r="D537" s="2" cm="1">
        <f t="array" ref="D537">_xlfn.LET(_xlpm.v,IFERROR(_xlfn.XLOOKUP(A537,Sheet2!$A$2:$A$1453,Sheet2!$D$2:$D$1453),_xlfn.XLOOKUP(A537,TEXT(Sheet2!$A$2:$A$1453,"0"),Sheet2!$D$2:$D$1453,"")),IF(_xlpm.v="","",IF(_xlpm.v&lt;1,_xlpm.v*100,_xlpm.v)))</f>
        <v>20</v>
      </c>
      <c r="E537" s="2">
        <f t="shared" si="8"/>
        <v>34.04</v>
      </c>
      <c r="F537" s="2" t="str" cm="1">
        <f t="array" ref="F537">IFERROR(_xlfn.XLOOKUP(A537,Sheet2!$A$2:$A$1453,Sheet2!$F$2:$F$1453),_xlfn.XLOOKUP(A537,TEXT(Sheet2!$A$2:$A$1453,"0"),Sheet2!$F$2:$F$1453,""))</f>
        <v>26-7-2026</v>
      </c>
      <c r="G537" s="2" t="str" cm="1">
        <f t="array" ref="G537">IFERROR(_xlfn.XLOOKUP(A537,Sheet2!$A$2:$A$1453,Sheet2!$G$2:$G$1453),_xlfn.XLOOKUP(A537,TEXT(Sheet2!$A$2:$A$1453,"0"),Sheet2!$G$2:$G$1453,""))</f>
        <v>6-8-2026</v>
      </c>
    </row>
    <row r="538" spans="1:7" x14ac:dyDescent="0.2">
      <c r="A538" s="1" t="s">
        <v>64</v>
      </c>
      <c r="B538" t="str" cm="1">
        <f t="array" ref="B538">IFERROR(_xlfn.XLOOKUP(A538,Sheet2!$A$2:$A$1453,Sheet2!$B$2:$B$1453),_xlfn.XLOOKUP(A538,TEXT(Sheet2!$A$2:$A$1453,"0"),Sheet2!$B$2:$B$1453,""))</f>
        <v>QVHANDCream/1Container,1Contain</v>
      </c>
      <c r="C538" s="2">
        <v>59.8</v>
      </c>
      <c r="D538" s="2" cm="1">
        <f t="array" ref="D538">_xlfn.LET(_xlpm.v,IFERROR(_xlfn.XLOOKUP(A538,Sheet2!$A$2:$A$1453,Sheet2!$D$2:$D$1453),_xlfn.XLOOKUP(A538,TEXT(Sheet2!$A$2:$A$1453,"0"),Sheet2!$D$2:$D$1453,"")),IF(_xlpm.v="","",IF(_xlpm.v&lt;1,_xlpm.v*100,_xlpm.v)))</f>
        <v>20</v>
      </c>
      <c r="E538" s="2">
        <f t="shared" si="8"/>
        <v>47.84</v>
      </c>
      <c r="F538" s="2" t="str" cm="1">
        <f t="array" ref="F538">IFERROR(_xlfn.XLOOKUP(A538,Sheet2!$A$2:$A$1453,Sheet2!$F$2:$F$1453),_xlfn.XLOOKUP(A538,TEXT(Sheet2!$A$2:$A$1453,"0"),Sheet2!$F$2:$F$1453,""))</f>
        <v>26-7-2026</v>
      </c>
      <c r="G538" s="2" t="str" cm="1">
        <f t="array" ref="G538">IFERROR(_xlfn.XLOOKUP(A538,Sheet2!$A$2:$A$1453,Sheet2!$G$2:$G$1453),_xlfn.XLOOKUP(A538,TEXT(Sheet2!$A$2:$A$1453,"0"),Sheet2!$G$2:$G$1453,""))</f>
        <v>6-8-2026</v>
      </c>
    </row>
    <row r="539" spans="1:7" x14ac:dyDescent="0.2">
      <c r="A539" s="1">
        <v>20309500589</v>
      </c>
      <c r="B539" t="str" cm="1">
        <f t="array" ref="B539">IFERROR(_xlfn.XLOOKUP(A539,Sheet2!$A$2:$A$1453,Sheet2!$B$2:$B$1453),_xlfn.XLOOKUP(A539,TEXT(Sheet2!$A$2:$A$1453,"0"),Sheet2!$B$2:$B$1453,""))</f>
        <v>KOLESTON MAXI 301/0 BLUE BLACK 8</v>
      </c>
      <c r="C539" s="2">
        <v>17.95</v>
      </c>
      <c r="D539" s="2" cm="1">
        <f t="array" ref="D539">_xlfn.LET(_xlpm.v,IFERROR(_xlfn.XLOOKUP(A539,Sheet2!$A$2:$A$1453,Sheet2!$D$2:$D$1453),_xlfn.XLOOKUP(A539,TEXT(Sheet2!$A$2:$A$1453,"0"),Sheet2!$D$2:$D$1453,"")),IF(_xlpm.v="","",IF(_xlpm.v&lt;1,_xlpm.v*100,_xlpm.v)))</f>
        <v>10</v>
      </c>
      <c r="E539" s="2">
        <f t="shared" si="8"/>
        <v>16.155000000000001</v>
      </c>
      <c r="F539" s="2" t="str" cm="1">
        <f t="array" ref="F539">IFERROR(_xlfn.XLOOKUP(A539,Sheet2!$A$2:$A$1453,Sheet2!$F$2:$F$1453),_xlfn.XLOOKUP(A539,TEXT(Sheet2!$A$2:$A$1453,"0"),Sheet2!$F$2:$F$1453,""))</f>
        <v>26-7-2026</v>
      </c>
      <c r="G539" s="2" t="str" cm="1">
        <f t="array" ref="G539">IFERROR(_xlfn.XLOOKUP(A539,Sheet2!$A$2:$A$1453,Sheet2!$G$2:$G$1453),_xlfn.XLOOKUP(A539,TEXT(Sheet2!$A$2:$A$1453,"0"),Sheet2!$G$2:$G$1453,""))</f>
        <v>6-8-2026</v>
      </c>
    </row>
    <row r="540" spans="1:7" x14ac:dyDescent="0.2">
      <c r="A540" s="1">
        <v>20614020104</v>
      </c>
      <c r="B540" t="str" cm="1">
        <f t="array" ref="B540">IFERROR(_xlfn.XLOOKUP(A540,Sheet2!$A$2:$A$1453,Sheet2!$B$2:$B$1453),_xlfn.XLOOKUP(A540,TEXT(Sheet2!$A$2:$A$1453,"0"),Sheet2!$B$2:$B$1453,""))</f>
        <v>FAM MAXI NIGHT WINGES 8X24</v>
      </c>
      <c r="C540" s="2">
        <v>20.13</v>
      </c>
      <c r="D540" s="2" cm="1">
        <f t="array" ref="D540">_xlfn.LET(_xlpm.v,IFERROR(_xlfn.XLOOKUP(A540,Sheet2!$A$2:$A$1453,Sheet2!$D$2:$D$1453),_xlfn.XLOOKUP(A540,TEXT(Sheet2!$A$2:$A$1453,"0"),Sheet2!$D$2:$D$1453,"")),IF(_xlpm.v="","",IF(_xlpm.v&lt;1,_xlpm.v*100,_xlpm.v)))</f>
        <v>7.5</v>
      </c>
      <c r="E540" s="2">
        <f t="shared" si="8"/>
        <v>18.620249999999999</v>
      </c>
      <c r="F540" s="2" t="str" cm="1">
        <f t="array" ref="F540">IFERROR(_xlfn.XLOOKUP(A540,Sheet2!$A$2:$A$1453,Sheet2!$F$2:$F$1453),_xlfn.XLOOKUP(A540,TEXT(Sheet2!$A$2:$A$1453,"0"),Sheet2!$F$2:$F$1453,""))</f>
        <v>26-7-2026</v>
      </c>
      <c r="G540" s="2" t="str" cm="1">
        <f t="array" ref="G540">IFERROR(_xlfn.XLOOKUP(A540,Sheet2!$A$2:$A$1453,Sheet2!$G$2:$G$1453),_xlfn.XLOOKUP(A540,TEXT(Sheet2!$A$2:$A$1453,"0"),Sheet2!$G$2:$G$1453,""))</f>
        <v>6-8-2026</v>
      </c>
    </row>
    <row r="541" spans="1:7" x14ac:dyDescent="0.2">
      <c r="A541" s="1">
        <v>20614020064</v>
      </c>
      <c r="B541" t="str" cm="1">
        <f t="array" ref="B541">IFERROR(_xlfn.XLOOKUP(A541,Sheet2!$A$2:$A$1453,Sheet2!$B$2:$B$1453),_xlfn.XLOOKUP(A541,TEXT(Sheet2!$A$2:$A$1453,"0"),Sheet2!$B$2:$B$1453,""))</f>
        <v>FAM MAXI ONE STEP 6X3X10</v>
      </c>
      <c r="C541" s="2">
        <v>18.690000000000001</v>
      </c>
      <c r="D541" s="2" cm="1">
        <f t="array" ref="D541">_xlfn.LET(_xlpm.v,IFERROR(_xlfn.XLOOKUP(A541,Sheet2!$A$2:$A$1453,Sheet2!$D$2:$D$1453),_xlfn.XLOOKUP(A541,TEXT(Sheet2!$A$2:$A$1453,"0"),Sheet2!$D$2:$D$1453,"")),IF(_xlpm.v="","",IF(_xlpm.v&lt;1,_xlpm.v*100,_xlpm.v)))</f>
        <v>7.5</v>
      </c>
      <c r="E541" s="2">
        <f t="shared" si="8"/>
        <v>17.288250000000001</v>
      </c>
      <c r="F541" s="2" t="str" cm="1">
        <f t="array" ref="F541">IFERROR(_xlfn.XLOOKUP(A541,Sheet2!$A$2:$A$1453,Sheet2!$F$2:$F$1453),_xlfn.XLOOKUP(A541,TEXT(Sheet2!$A$2:$A$1453,"0"),Sheet2!$F$2:$F$1453,""))</f>
        <v>26-7-2026</v>
      </c>
      <c r="G541" s="2" t="str" cm="1">
        <f t="array" ref="G541">IFERROR(_xlfn.XLOOKUP(A541,Sheet2!$A$2:$A$1453,Sheet2!$G$2:$G$1453),_xlfn.XLOOKUP(A541,TEXT(Sheet2!$A$2:$A$1453,"0"),Sheet2!$G$2:$G$1453,""))</f>
        <v>6-8-2026</v>
      </c>
    </row>
    <row r="542" spans="1:7" x14ac:dyDescent="0.2">
      <c r="A542" s="1">
        <v>20614020065</v>
      </c>
      <c r="B542" t="str" cm="1">
        <f t="array" ref="B542">IFERROR(_xlfn.XLOOKUP(A542,Sheet2!$A$2:$A$1453,Sheet2!$B$2:$B$1453),_xlfn.XLOOKUP(A542,TEXT(Sheet2!$A$2:$A$1453,"0"),Sheet2!$B$2:$B$1453,""))</f>
        <v>FAM MAXI WINGS 6X3X10</v>
      </c>
      <c r="C542" s="2">
        <v>18.93</v>
      </c>
      <c r="D542" s="2" cm="1">
        <f t="array" ref="D542">_xlfn.LET(_xlpm.v,IFERROR(_xlfn.XLOOKUP(A542,Sheet2!$A$2:$A$1453,Sheet2!$D$2:$D$1453),_xlfn.XLOOKUP(A542,TEXT(Sheet2!$A$2:$A$1453,"0"),Sheet2!$D$2:$D$1453,"")),IF(_xlpm.v="","",IF(_xlpm.v&lt;1,_xlpm.v*100,_xlpm.v)))</f>
        <v>7.5</v>
      </c>
      <c r="E542" s="2">
        <f t="shared" si="8"/>
        <v>17.510249999999999</v>
      </c>
      <c r="F542" s="2" t="str" cm="1">
        <f t="array" ref="F542">IFERROR(_xlfn.XLOOKUP(A542,Sheet2!$A$2:$A$1453,Sheet2!$F$2:$F$1453),_xlfn.XLOOKUP(A542,TEXT(Sheet2!$A$2:$A$1453,"0"),Sheet2!$F$2:$F$1453,""))</f>
        <v>26-7-2026</v>
      </c>
      <c r="G542" s="2" t="str" cm="1">
        <f t="array" ref="G542">IFERROR(_xlfn.XLOOKUP(A542,Sheet2!$A$2:$A$1453,Sheet2!$G$2:$G$1453),_xlfn.XLOOKUP(A542,TEXT(Sheet2!$A$2:$A$1453,"0"),Sheet2!$G$2:$G$1453,""))</f>
        <v>6-8-2026</v>
      </c>
    </row>
    <row r="543" spans="1:7" x14ac:dyDescent="0.2">
      <c r="A543" s="1">
        <v>20614020066</v>
      </c>
      <c r="B543" t="str" cm="1">
        <f t="array" ref="B543">IFERROR(_xlfn.XLOOKUP(A543,Sheet2!$A$2:$A$1453,Sheet2!$B$2:$B$1453),_xlfn.XLOOKUP(A543,TEXT(Sheet2!$A$2:$A$1453,"0"),Sheet2!$B$2:$B$1453,""))</f>
        <v>FAM RELAX PADS 10X20</v>
      </c>
      <c r="C543" s="2">
        <v>17.829999999999998</v>
      </c>
      <c r="D543" s="2" cm="1">
        <f t="array" ref="D543">_xlfn.LET(_xlpm.v,IFERROR(_xlfn.XLOOKUP(A543,Sheet2!$A$2:$A$1453,Sheet2!$D$2:$D$1453),_xlfn.XLOOKUP(A543,TEXT(Sheet2!$A$2:$A$1453,"0"),Sheet2!$D$2:$D$1453,"")),IF(_xlpm.v="","",IF(_xlpm.v&lt;1,_xlpm.v*100,_xlpm.v)))</f>
        <v>7.5</v>
      </c>
      <c r="E543" s="2">
        <f t="shared" si="8"/>
        <v>16.492750000000001</v>
      </c>
      <c r="F543" s="2" t="str" cm="1">
        <f t="array" ref="F543">IFERROR(_xlfn.XLOOKUP(A543,Sheet2!$A$2:$A$1453,Sheet2!$F$2:$F$1453),_xlfn.XLOOKUP(A543,TEXT(Sheet2!$A$2:$A$1453,"0"),Sheet2!$F$2:$F$1453,""))</f>
        <v>26-7-2026</v>
      </c>
      <c r="G543" s="2" t="str" cm="1">
        <f t="array" ref="G543">IFERROR(_xlfn.XLOOKUP(A543,Sheet2!$A$2:$A$1453,Sheet2!$G$2:$G$1453),_xlfn.XLOOKUP(A543,TEXT(Sheet2!$A$2:$A$1453,"0"),Sheet2!$G$2:$G$1453,""))</f>
        <v>6-8-2026</v>
      </c>
    </row>
    <row r="544" spans="1:7" x14ac:dyDescent="0.2">
      <c r="A544" s="1">
        <v>20309501047</v>
      </c>
      <c r="B544" t="str" cm="1">
        <f t="array" ref="B544">IFERROR(_xlfn.XLOOKUP(A544,Sheet2!$A$2:$A$1453,Sheet2!$B$2:$B$1453),_xlfn.XLOOKUP(A544,TEXT(Sheet2!$A$2:$A$1453,"0"),Sheet2!$B$2:$B$1453,""))</f>
        <v>KOLESTON MAXI 309/0 LIGHTEST BLO</v>
      </c>
      <c r="C544" s="2">
        <v>17.95</v>
      </c>
      <c r="D544" s="2" cm="1">
        <f t="array" ref="D544">_xlfn.LET(_xlpm.v,IFERROR(_xlfn.XLOOKUP(A544,Sheet2!$A$2:$A$1453,Sheet2!$D$2:$D$1453),_xlfn.XLOOKUP(A544,TEXT(Sheet2!$A$2:$A$1453,"0"),Sheet2!$D$2:$D$1453,"")),IF(_xlpm.v="","",IF(_xlpm.v&lt;1,_xlpm.v*100,_xlpm.v)))</f>
        <v>10</v>
      </c>
      <c r="E544" s="2">
        <f t="shared" si="8"/>
        <v>16.155000000000001</v>
      </c>
      <c r="F544" s="2" t="str" cm="1">
        <f t="array" ref="F544">IFERROR(_xlfn.XLOOKUP(A544,Sheet2!$A$2:$A$1453,Sheet2!$F$2:$F$1453),_xlfn.XLOOKUP(A544,TEXT(Sheet2!$A$2:$A$1453,"0"),Sheet2!$F$2:$F$1453,""))</f>
        <v>26-7-2026</v>
      </c>
      <c r="G544" s="2" t="str" cm="1">
        <f t="array" ref="G544">IFERROR(_xlfn.XLOOKUP(A544,Sheet2!$A$2:$A$1453,Sheet2!$G$2:$G$1453),_xlfn.XLOOKUP(A544,TEXT(Sheet2!$A$2:$A$1453,"0"),Sheet2!$G$2:$G$1453,""))</f>
        <v>6-8-2026</v>
      </c>
    </row>
    <row r="545" spans="1:7" x14ac:dyDescent="0.2">
      <c r="A545" s="1">
        <v>20309010842</v>
      </c>
      <c r="B545" t="str" cm="1">
        <f t="array" ref="B545">IFERROR(_xlfn.XLOOKUP(A545,Sheet2!$A$2:$A$1453,Sheet2!$B$2:$B$1453),_xlfn.XLOOKUP(A545,TEXT(Sheet2!$A$2:$A$1453,"0"),Sheet2!$B$2:$B$1453,""))</f>
        <v>KOLESTON MAXI 308/0 LIGHT BLOND</v>
      </c>
      <c r="C545" s="2">
        <v>17.95</v>
      </c>
      <c r="D545" s="2" cm="1">
        <f t="array" ref="D545">_xlfn.LET(_xlpm.v,IFERROR(_xlfn.XLOOKUP(A545,Sheet2!$A$2:$A$1453,Sheet2!$D$2:$D$1453),_xlfn.XLOOKUP(A545,TEXT(Sheet2!$A$2:$A$1453,"0"),Sheet2!$D$2:$D$1453,"")),IF(_xlpm.v="","",IF(_xlpm.v&lt;1,_xlpm.v*100,_xlpm.v)))</f>
        <v>10</v>
      </c>
      <c r="E545" s="2">
        <f t="shared" si="8"/>
        <v>16.155000000000001</v>
      </c>
      <c r="F545" s="2" t="str" cm="1">
        <f t="array" ref="F545">IFERROR(_xlfn.XLOOKUP(A545,Sheet2!$A$2:$A$1453,Sheet2!$F$2:$F$1453),_xlfn.XLOOKUP(A545,TEXT(Sheet2!$A$2:$A$1453,"0"),Sheet2!$F$2:$F$1453,""))</f>
        <v>26-7-2026</v>
      </c>
      <c r="G545" s="2" t="str" cm="1">
        <f t="array" ref="G545">IFERROR(_xlfn.XLOOKUP(A545,Sheet2!$A$2:$A$1453,Sheet2!$G$2:$G$1453),_xlfn.XLOOKUP(A545,TEXT(Sheet2!$A$2:$A$1453,"0"),Sheet2!$G$2:$G$1453,""))</f>
        <v>6-8-2026</v>
      </c>
    </row>
    <row r="546" spans="1:7" x14ac:dyDescent="0.2">
      <c r="A546" s="1">
        <v>20309010841</v>
      </c>
      <c r="B546" t="str" cm="1">
        <f t="array" ref="B546">IFERROR(_xlfn.XLOOKUP(A546,Sheet2!$A$2:$A$1453,Sheet2!$B$2:$B$1453),_xlfn.XLOOKUP(A546,TEXT(Sheet2!$A$2:$A$1453,"0"),Sheet2!$B$2:$B$1453,""))</f>
        <v>KOLESTON MAXI 307/1 MEDIUM Ash  B</v>
      </c>
      <c r="C546" s="2">
        <v>17.95</v>
      </c>
      <c r="D546" s="2" cm="1">
        <f t="array" ref="D546">_xlfn.LET(_xlpm.v,IFERROR(_xlfn.XLOOKUP(A546,Sheet2!$A$2:$A$1453,Sheet2!$D$2:$D$1453),_xlfn.XLOOKUP(A546,TEXT(Sheet2!$A$2:$A$1453,"0"),Sheet2!$D$2:$D$1453,"")),IF(_xlpm.v="","",IF(_xlpm.v&lt;1,_xlpm.v*100,_xlpm.v)))</f>
        <v>10</v>
      </c>
      <c r="E546" s="2">
        <f t="shared" si="8"/>
        <v>16.155000000000001</v>
      </c>
      <c r="F546" s="2" t="str" cm="1">
        <f t="array" ref="F546">IFERROR(_xlfn.XLOOKUP(A546,Sheet2!$A$2:$A$1453,Sheet2!$F$2:$F$1453),_xlfn.XLOOKUP(A546,TEXT(Sheet2!$A$2:$A$1453,"0"),Sheet2!$F$2:$F$1453,""))</f>
        <v>26-7-2026</v>
      </c>
      <c r="G546" s="2" t="str" cm="1">
        <f t="array" ref="G546">IFERROR(_xlfn.XLOOKUP(A546,Sheet2!$A$2:$A$1453,Sheet2!$G$2:$G$1453),_xlfn.XLOOKUP(A546,TEXT(Sheet2!$A$2:$A$1453,"0"),Sheet2!$G$2:$G$1453,""))</f>
        <v>6-8-2026</v>
      </c>
    </row>
    <row r="547" spans="1:7" x14ac:dyDescent="0.2">
      <c r="A547" s="1">
        <v>20309010193</v>
      </c>
      <c r="B547" t="str" cm="1">
        <f t="array" ref="B547">IFERROR(_xlfn.XLOOKUP(A547,Sheet2!$A$2:$A$1453,Sheet2!$B$2:$B$1453),_xlfn.XLOOKUP(A547,TEXT(Sheet2!$A$2:$A$1453,"0"),Sheet2!$B$2:$B$1453,""))</f>
        <v>KOLESTON MAXI 307/0 MEDIUM  BLON</v>
      </c>
      <c r="C547" s="2">
        <v>17.95</v>
      </c>
      <c r="D547" s="2" cm="1">
        <f t="array" ref="D547">_xlfn.LET(_xlpm.v,IFERROR(_xlfn.XLOOKUP(A547,Sheet2!$A$2:$A$1453,Sheet2!$D$2:$D$1453),_xlfn.XLOOKUP(A547,TEXT(Sheet2!$A$2:$A$1453,"0"),Sheet2!$D$2:$D$1453,"")),IF(_xlpm.v="","",IF(_xlpm.v&lt;1,_xlpm.v*100,_xlpm.v)))</f>
        <v>10</v>
      </c>
      <c r="E547" s="2">
        <f t="shared" si="8"/>
        <v>16.155000000000001</v>
      </c>
      <c r="F547" s="2" t="str" cm="1">
        <f t="array" ref="F547">IFERROR(_xlfn.XLOOKUP(A547,Sheet2!$A$2:$A$1453,Sheet2!$F$2:$F$1453),_xlfn.XLOOKUP(A547,TEXT(Sheet2!$A$2:$A$1453,"0"),Sheet2!$F$2:$F$1453,""))</f>
        <v>26-7-2026</v>
      </c>
      <c r="G547" s="2" t="str" cm="1">
        <f t="array" ref="G547">IFERROR(_xlfn.XLOOKUP(A547,Sheet2!$A$2:$A$1453,Sheet2!$G$2:$G$1453),_xlfn.XLOOKUP(A547,TEXT(Sheet2!$A$2:$A$1453,"0"),Sheet2!$G$2:$G$1453,""))</f>
        <v>6-8-2026</v>
      </c>
    </row>
    <row r="548" spans="1:7" x14ac:dyDescent="0.2">
      <c r="A548" s="1">
        <v>20309501042</v>
      </c>
      <c r="B548" t="str" cm="1">
        <f t="array" ref="B548">IFERROR(_xlfn.XLOOKUP(A548,Sheet2!$A$2:$A$1453,Sheet2!$B$2:$B$1453),_xlfn.XLOOKUP(A548,TEXT(Sheet2!$A$2:$A$1453,"0"),Sheet2!$B$2:$B$1453,""))</f>
        <v>KOLESTON MAXI 306/0DARK BLONDE</v>
      </c>
      <c r="C548" s="2">
        <v>17.95</v>
      </c>
      <c r="D548" s="2" cm="1">
        <f t="array" ref="D548">_xlfn.LET(_xlpm.v,IFERROR(_xlfn.XLOOKUP(A548,Sheet2!$A$2:$A$1453,Sheet2!$D$2:$D$1453),_xlfn.XLOOKUP(A548,TEXT(Sheet2!$A$2:$A$1453,"0"),Sheet2!$D$2:$D$1453,"")),IF(_xlpm.v="","",IF(_xlpm.v&lt;1,_xlpm.v*100,_xlpm.v)))</f>
        <v>10</v>
      </c>
      <c r="E548" s="2">
        <f t="shared" si="8"/>
        <v>16.155000000000001</v>
      </c>
      <c r="F548" s="2" t="str" cm="1">
        <f t="array" ref="F548">IFERROR(_xlfn.XLOOKUP(A548,Sheet2!$A$2:$A$1453,Sheet2!$F$2:$F$1453),_xlfn.XLOOKUP(A548,TEXT(Sheet2!$A$2:$A$1453,"0"),Sheet2!$F$2:$F$1453,""))</f>
        <v>26-7-2026</v>
      </c>
      <c r="G548" s="2" t="str" cm="1">
        <f t="array" ref="G548">IFERROR(_xlfn.XLOOKUP(A548,Sheet2!$A$2:$A$1453,Sheet2!$G$2:$G$1453),_xlfn.XLOOKUP(A548,TEXT(Sheet2!$A$2:$A$1453,"0"),Sheet2!$G$2:$G$1453,""))</f>
        <v>6-8-2026</v>
      </c>
    </row>
    <row r="549" spans="1:7" x14ac:dyDescent="0.2">
      <c r="A549" s="1">
        <v>20309500966</v>
      </c>
      <c r="B549" t="str" cm="1">
        <f t="array" ref="B549">IFERROR(_xlfn.XLOOKUP(A549,Sheet2!$A$2:$A$1453,Sheet2!$B$2:$B$1453),_xlfn.XLOOKUP(A549,TEXT(Sheet2!$A$2:$A$1453,"0"),Sheet2!$B$2:$B$1453,""))</f>
        <v>KOLESTON MAXI 307/7 DEER BROWN </v>
      </c>
      <c r="C549" s="2">
        <v>17.95</v>
      </c>
      <c r="D549" s="2" cm="1">
        <f t="array" ref="D549">_xlfn.LET(_xlpm.v,IFERROR(_xlfn.XLOOKUP(A549,Sheet2!$A$2:$A$1453,Sheet2!$D$2:$D$1453),_xlfn.XLOOKUP(A549,TEXT(Sheet2!$A$2:$A$1453,"0"),Sheet2!$D$2:$D$1453,"")),IF(_xlpm.v="","",IF(_xlpm.v&lt;1,_xlpm.v*100,_xlpm.v)))</f>
        <v>10</v>
      </c>
      <c r="E549" s="2">
        <f t="shared" si="8"/>
        <v>16.155000000000001</v>
      </c>
      <c r="F549" s="2" t="str" cm="1">
        <f t="array" ref="F549">IFERROR(_xlfn.XLOOKUP(A549,Sheet2!$A$2:$A$1453,Sheet2!$F$2:$F$1453),_xlfn.XLOOKUP(A549,TEXT(Sheet2!$A$2:$A$1453,"0"),Sheet2!$F$2:$F$1453,""))</f>
        <v>26-7-2026</v>
      </c>
      <c r="G549" s="2" t="str" cm="1">
        <f t="array" ref="G549">IFERROR(_xlfn.XLOOKUP(A549,Sheet2!$A$2:$A$1453,Sheet2!$G$2:$G$1453),_xlfn.XLOOKUP(A549,TEXT(Sheet2!$A$2:$A$1453,"0"),Sheet2!$G$2:$G$1453,""))</f>
        <v>6-8-2026</v>
      </c>
    </row>
    <row r="550" spans="1:7" x14ac:dyDescent="0.2">
      <c r="A550" s="1">
        <v>20309501050</v>
      </c>
      <c r="B550" t="str" cm="1">
        <f t="array" ref="B550">IFERROR(_xlfn.XLOOKUP(A550,Sheet2!$A$2:$A$1453,Sheet2!$B$2:$B$1453),_xlfn.XLOOKUP(A550,TEXT(Sheet2!$A$2:$A$1453,"0"),Sheet2!$B$2:$B$1453,""))</f>
        <v>KOLE MAXI 310/0 PLATINUM BLONDE </v>
      </c>
      <c r="C550" s="2">
        <v>17.95</v>
      </c>
      <c r="D550" s="2" cm="1">
        <f t="array" ref="D550">_xlfn.LET(_xlpm.v,IFERROR(_xlfn.XLOOKUP(A550,Sheet2!$A$2:$A$1453,Sheet2!$D$2:$D$1453),_xlfn.XLOOKUP(A550,TEXT(Sheet2!$A$2:$A$1453,"0"),Sheet2!$D$2:$D$1453,"")),IF(_xlpm.v="","",IF(_xlpm.v&lt;1,_xlpm.v*100,_xlpm.v)))</f>
        <v>10</v>
      </c>
      <c r="E550" s="2">
        <f t="shared" si="8"/>
        <v>16.155000000000001</v>
      </c>
      <c r="F550" s="2" t="str" cm="1">
        <f t="array" ref="F550">IFERROR(_xlfn.XLOOKUP(A550,Sheet2!$A$2:$A$1453,Sheet2!$F$2:$F$1453),_xlfn.XLOOKUP(A550,TEXT(Sheet2!$A$2:$A$1453,"0"),Sheet2!$F$2:$F$1453,""))</f>
        <v>26-7-2026</v>
      </c>
      <c r="G550" s="2" t="str" cm="1">
        <f t="array" ref="G550">IFERROR(_xlfn.XLOOKUP(A550,Sheet2!$A$2:$A$1453,Sheet2!$G$2:$G$1453),_xlfn.XLOOKUP(A550,TEXT(Sheet2!$A$2:$A$1453,"0"),Sheet2!$G$2:$G$1453,""))</f>
        <v>6-8-2026</v>
      </c>
    </row>
    <row r="551" spans="1:7" x14ac:dyDescent="0.2">
      <c r="A551" s="1">
        <v>20309501048</v>
      </c>
      <c r="B551" t="str" cm="1">
        <f t="array" ref="B551">IFERROR(_xlfn.XLOOKUP(A551,Sheet2!$A$2:$A$1453,Sheet2!$B$2:$B$1453),_xlfn.XLOOKUP(A551,TEXT(Sheet2!$A$2:$A$1453,"0"),Sheet2!$B$2:$B$1453,""))</f>
        <v>KOLE MAXI 309/1 LIGHT ASH BLONDE</v>
      </c>
      <c r="C551" s="2">
        <v>17.95</v>
      </c>
      <c r="D551" s="2" cm="1">
        <f t="array" ref="D551">_xlfn.LET(_xlpm.v,IFERROR(_xlfn.XLOOKUP(A551,Sheet2!$A$2:$A$1453,Sheet2!$D$2:$D$1453),_xlfn.XLOOKUP(A551,TEXT(Sheet2!$A$2:$A$1453,"0"),Sheet2!$D$2:$D$1453,"")),IF(_xlpm.v="","",IF(_xlpm.v&lt;1,_xlpm.v*100,_xlpm.v)))</f>
        <v>10</v>
      </c>
      <c r="E551" s="2">
        <f t="shared" si="8"/>
        <v>16.155000000000001</v>
      </c>
      <c r="F551" s="2" t="str" cm="1">
        <f t="array" ref="F551">IFERROR(_xlfn.XLOOKUP(A551,Sheet2!$A$2:$A$1453,Sheet2!$F$2:$F$1453),_xlfn.XLOOKUP(A551,TEXT(Sheet2!$A$2:$A$1453,"0"),Sheet2!$F$2:$F$1453,""))</f>
        <v>26-7-2026</v>
      </c>
      <c r="G551" s="2" t="str" cm="1">
        <f t="array" ref="G551">IFERROR(_xlfn.XLOOKUP(A551,Sheet2!$A$2:$A$1453,Sheet2!$G$2:$G$1453),_xlfn.XLOOKUP(A551,TEXT(Sheet2!$A$2:$A$1453,"0"),Sheet2!$G$2:$G$1453,""))</f>
        <v>6-8-2026</v>
      </c>
    </row>
    <row r="552" spans="1:7" x14ac:dyDescent="0.2">
      <c r="A552" s="1">
        <v>20309501043</v>
      </c>
      <c r="B552" t="str" cm="1">
        <f t="array" ref="B552">IFERROR(_xlfn.XLOOKUP(A552,Sheet2!$A$2:$A$1453,Sheet2!$B$2:$B$1453),_xlfn.XLOOKUP(A552,TEXT(Sheet2!$A$2:$A$1453,"0"),Sheet2!$B$2:$B$1453,""))</f>
        <v>KOLE MAXI 306/7 CHOCOLATE BROW</v>
      </c>
      <c r="C552" s="2">
        <v>17.95</v>
      </c>
      <c r="D552" s="2" cm="1">
        <f t="array" ref="D552">_xlfn.LET(_xlpm.v,IFERROR(_xlfn.XLOOKUP(A552,Sheet2!$A$2:$A$1453,Sheet2!$D$2:$D$1453),_xlfn.XLOOKUP(A552,TEXT(Sheet2!$A$2:$A$1453,"0"),Sheet2!$D$2:$D$1453,"")),IF(_xlpm.v="","",IF(_xlpm.v&lt;1,_xlpm.v*100,_xlpm.v)))</f>
        <v>10</v>
      </c>
      <c r="E552" s="2">
        <f t="shared" si="8"/>
        <v>16.155000000000001</v>
      </c>
      <c r="F552" s="2" t="str" cm="1">
        <f t="array" ref="F552">IFERROR(_xlfn.XLOOKUP(A552,Sheet2!$A$2:$A$1453,Sheet2!$F$2:$F$1453),_xlfn.XLOOKUP(A552,TEXT(Sheet2!$A$2:$A$1453,"0"),Sheet2!$F$2:$F$1453,""))</f>
        <v>26-7-2026</v>
      </c>
      <c r="G552" s="2" t="str" cm="1">
        <f t="array" ref="G552">IFERROR(_xlfn.XLOOKUP(A552,Sheet2!$A$2:$A$1453,Sheet2!$G$2:$G$1453),_xlfn.XLOOKUP(A552,TEXT(Sheet2!$A$2:$A$1453,"0"),Sheet2!$G$2:$G$1453,""))</f>
        <v>6-8-2026</v>
      </c>
    </row>
    <row r="553" spans="1:7" x14ac:dyDescent="0.2">
      <c r="A553" s="1">
        <v>20309500787</v>
      </c>
      <c r="B553" t="str" cm="1">
        <f t="array" ref="B553">IFERROR(_xlfn.XLOOKUP(A553,Sheet2!$A$2:$A$1453,Sheet2!$B$2:$B$1453),_xlfn.XLOOKUP(A553,TEXT(Sheet2!$A$2:$A$1453,"0"),Sheet2!$B$2:$B$1453,""))</f>
        <v>KOL MAXI 306/1 DARK ASH BLOND 14</v>
      </c>
      <c r="C553" s="2">
        <v>17.95</v>
      </c>
      <c r="D553" s="2" cm="1">
        <f t="array" ref="D553">_xlfn.LET(_xlpm.v,IFERROR(_xlfn.XLOOKUP(A553,Sheet2!$A$2:$A$1453,Sheet2!$D$2:$D$1453),_xlfn.XLOOKUP(A553,TEXT(Sheet2!$A$2:$A$1453,"0"),Sheet2!$D$2:$D$1453,"")),IF(_xlpm.v="","",IF(_xlpm.v&lt;1,_xlpm.v*100,_xlpm.v)))</f>
        <v>10</v>
      </c>
      <c r="E553" s="2">
        <f t="shared" si="8"/>
        <v>16.155000000000001</v>
      </c>
      <c r="F553" s="2" t="str" cm="1">
        <f t="array" ref="F553">IFERROR(_xlfn.XLOOKUP(A553,Sheet2!$A$2:$A$1453,Sheet2!$F$2:$F$1453),_xlfn.XLOOKUP(A553,TEXT(Sheet2!$A$2:$A$1453,"0"),Sheet2!$F$2:$F$1453,""))</f>
        <v>26-7-2026</v>
      </c>
      <c r="G553" s="2" t="str" cm="1">
        <f t="array" ref="G553">IFERROR(_xlfn.XLOOKUP(A553,Sheet2!$A$2:$A$1453,Sheet2!$G$2:$G$1453),_xlfn.XLOOKUP(A553,TEXT(Sheet2!$A$2:$A$1453,"0"),Sheet2!$G$2:$G$1453,""))</f>
        <v>6-8-2026</v>
      </c>
    </row>
    <row r="554" spans="1:7" x14ac:dyDescent="0.2">
      <c r="A554" s="1">
        <v>20309501835</v>
      </c>
      <c r="B554" t="str" cm="1">
        <f t="array" ref="B554">IFERROR(_xlfn.XLOOKUP(A554,Sheet2!$A$2:$A$1453,Sheet2!$B$2:$B$1453),_xlfn.XLOOKUP(A554,TEXT(Sheet2!$A$2:$A$1453,"0"),Sheet2!$B$2:$B$1453,""))</f>
        <v>KOLE MAXI 305/0 LIGHT BROWN 8112</v>
      </c>
      <c r="C554" s="2">
        <v>17.95</v>
      </c>
      <c r="D554" s="2" cm="1">
        <f t="array" ref="D554">_xlfn.LET(_xlpm.v,IFERROR(_xlfn.XLOOKUP(A554,Sheet2!$A$2:$A$1453,Sheet2!$D$2:$D$1453),_xlfn.XLOOKUP(A554,TEXT(Sheet2!$A$2:$A$1453,"0"),Sheet2!$D$2:$D$1453,"")),IF(_xlpm.v="","",IF(_xlpm.v&lt;1,_xlpm.v*100,_xlpm.v)))</f>
        <v>10</v>
      </c>
      <c r="E554" s="2">
        <f t="shared" si="8"/>
        <v>16.155000000000001</v>
      </c>
      <c r="F554" s="2" t="str" cm="1">
        <f t="array" ref="F554">IFERROR(_xlfn.XLOOKUP(A554,Sheet2!$A$2:$A$1453,Sheet2!$F$2:$F$1453),_xlfn.XLOOKUP(A554,TEXT(Sheet2!$A$2:$A$1453,"0"),Sheet2!$F$2:$F$1453,""))</f>
        <v>26-7-2026</v>
      </c>
      <c r="G554" s="2" t="str" cm="1">
        <f t="array" ref="G554">IFERROR(_xlfn.XLOOKUP(A554,Sheet2!$A$2:$A$1453,Sheet2!$G$2:$G$1453),_xlfn.XLOOKUP(A554,TEXT(Sheet2!$A$2:$A$1453,"0"),Sheet2!$G$2:$G$1453,""))</f>
        <v>6-8-2026</v>
      </c>
    </row>
    <row r="555" spans="1:7" x14ac:dyDescent="0.2">
      <c r="A555" s="1">
        <v>20309501045</v>
      </c>
      <c r="B555" t="str" cm="1">
        <f t="array" ref="B555">IFERROR(_xlfn.XLOOKUP(A555,Sheet2!$A$2:$A$1453,Sheet2!$B$2:$B$1453),_xlfn.XLOOKUP(A555,TEXT(Sheet2!$A$2:$A$1453,"0"),Sheet2!$B$2:$B$1453,""))</f>
        <v>KOLE MAXI 304/0 MEDIUM BROWN 812</v>
      </c>
      <c r="C555" s="2">
        <v>17.95</v>
      </c>
      <c r="D555" s="2" cm="1">
        <f t="array" ref="D555">_xlfn.LET(_xlpm.v,IFERROR(_xlfn.XLOOKUP(A555,Sheet2!$A$2:$A$1453,Sheet2!$D$2:$D$1453),_xlfn.XLOOKUP(A555,TEXT(Sheet2!$A$2:$A$1453,"0"),Sheet2!$D$2:$D$1453,"")),IF(_xlpm.v="","",IF(_xlpm.v&lt;1,_xlpm.v*100,_xlpm.v)))</f>
        <v>10</v>
      </c>
      <c r="E555" s="2">
        <f t="shared" si="8"/>
        <v>16.155000000000001</v>
      </c>
      <c r="F555" s="2" t="str" cm="1">
        <f t="array" ref="F555">IFERROR(_xlfn.XLOOKUP(A555,Sheet2!$A$2:$A$1453,Sheet2!$F$2:$F$1453),_xlfn.XLOOKUP(A555,TEXT(Sheet2!$A$2:$A$1453,"0"),Sheet2!$F$2:$F$1453,""))</f>
        <v>26-7-2026</v>
      </c>
      <c r="G555" s="2" t="str" cm="1">
        <f t="array" ref="G555">IFERROR(_xlfn.XLOOKUP(A555,Sheet2!$A$2:$A$1453,Sheet2!$G$2:$G$1453),_xlfn.XLOOKUP(A555,TEXT(Sheet2!$A$2:$A$1453,"0"),Sheet2!$G$2:$G$1453,""))</f>
        <v>6-8-2026</v>
      </c>
    </row>
    <row r="556" spans="1:7" x14ac:dyDescent="0.2">
      <c r="A556" s="1">
        <v>20309500952</v>
      </c>
      <c r="B556" t="str" cm="1">
        <f t="array" ref="B556">IFERROR(_xlfn.XLOOKUP(A556,Sheet2!$A$2:$A$1453,Sheet2!$B$2:$B$1453),_xlfn.XLOOKUP(A556,TEXT(Sheet2!$A$2:$A$1453,"0"),Sheet2!$B$2:$B$1453,""))</f>
        <v>KOLE MAXI 303/0 DARK BROWN 91265</v>
      </c>
      <c r="C556" s="2">
        <v>17.95</v>
      </c>
      <c r="D556" s="2" cm="1">
        <f t="array" ref="D556">_xlfn.LET(_xlpm.v,IFERROR(_xlfn.XLOOKUP(A556,Sheet2!$A$2:$A$1453,Sheet2!$D$2:$D$1453),_xlfn.XLOOKUP(A556,TEXT(Sheet2!$A$2:$A$1453,"0"),Sheet2!$D$2:$D$1453,"")),IF(_xlpm.v="","",IF(_xlpm.v&lt;1,_xlpm.v*100,_xlpm.v)))</f>
        <v>10</v>
      </c>
      <c r="E556" s="2">
        <f t="shared" si="8"/>
        <v>16.155000000000001</v>
      </c>
      <c r="F556" s="2" t="str" cm="1">
        <f t="array" ref="F556">IFERROR(_xlfn.XLOOKUP(A556,Sheet2!$A$2:$A$1453,Sheet2!$F$2:$F$1453),_xlfn.XLOOKUP(A556,TEXT(Sheet2!$A$2:$A$1453,"0"),Sheet2!$F$2:$F$1453,""))</f>
        <v>26-7-2026</v>
      </c>
      <c r="G556" s="2" t="str" cm="1">
        <f t="array" ref="G556">IFERROR(_xlfn.XLOOKUP(A556,Sheet2!$A$2:$A$1453,Sheet2!$G$2:$G$1453),_xlfn.XLOOKUP(A556,TEXT(Sheet2!$A$2:$A$1453,"0"),Sheet2!$G$2:$G$1453,""))</f>
        <v>6-8-2026</v>
      </c>
    </row>
    <row r="557" spans="1:7" x14ac:dyDescent="0.2">
      <c r="A557" s="1">
        <v>20309010192</v>
      </c>
      <c r="B557" t="str" cm="1">
        <f t="array" ref="B557">IFERROR(_xlfn.XLOOKUP(A557,Sheet2!$A$2:$A$1453,Sheet2!$B$2:$B$1453),_xlfn.XLOOKUP(A557,TEXT(Sheet2!$A$2:$A$1453,"0"),Sheet2!$B$2:$B$1453,""))</f>
        <v>KOLE MAXI 302/0 NATURAL BLACK 83</v>
      </c>
      <c r="C557" s="2">
        <v>17.95</v>
      </c>
      <c r="D557" s="2" cm="1">
        <f t="array" ref="D557">_xlfn.LET(_xlpm.v,IFERROR(_xlfn.XLOOKUP(A557,Sheet2!$A$2:$A$1453,Sheet2!$D$2:$D$1453),_xlfn.XLOOKUP(A557,TEXT(Sheet2!$A$2:$A$1453,"0"),Sheet2!$D$2:$D$1453,"")),IF(_xlpm.v="","",IF(_xlpm.v&lt;1,_xlpm.v*100,_xlpm.v)))</f>
        <v>10</v>
      </c>
      <c r="E557" s="2">
        <f t="shared" si="8"/>
        <v>16.155000000000001</v>
      </c>
      <c r="F557" s="2" t="str" cm="1">
        <f t="array" ref="F557">IFERROR(_xlfn.XLOOKUP(A557,Sheet2!$A$2:$A$1453,Sheet2!$F$2:$F$1453),_xlfn.XLOOKUP(A557,TEXT(Sheet2!$A$2:$A$1453,"0"),Sheet2!$F$2:$F$1453,""))</f>
        <v>26-7-2026</v>
      </c>
      <c r="G557" s="2" t="str" cm="1">
        <f t="array" ref="G557">IFERROR(_xlfn.XLOOKUP(A557,Sheet2!$A$2:$A$1453,Sheet2!$G$2:$G$1453),_xlfn.XLOOKUP(A557,TEXT(Sheet2!$A$2:$A$1453,"0"),Sheet2!$G$2:$G$1453,""))</f>
        <v>6-8-2026</v>
      </c>
    </row>
    <row r="558" spans="1:7" x14ac:dyDescent="0.2">
      <c r="A558" s="1" t="s">
        <v>69</v>
      </c>
      <c r="B558" t="str" cm="1">
        <f t="array" ref="B558">IFERROR(_xlfn.XLOOKUP(A558,Sheet2!$A$2:$A$1453,Sheet2!$B$2:$B$1453),_xlfn.XLOOKUP(A558,TEXT(Sheet2!$A$2:$A$1453,"0"),Sheet2!$B$2:$B$1453,""))</f>
        <v>INTIMO VAGINAL WASH Solution /1ML, 250ML/Container</v>
      </c>
      <c r="C558" s="2">
        <v>86.25</v>
      </c>
      <c r="D558" s="2" cm="1">
        <f t="array" ref="D558">_xlfn.LET(_xlpm.v,IFERROR(_xlfn.XLOOKUP(A558,Sheet2!$A$2:$A$1453,Sheet2!$D$2:$D$1453),_xlfn.XLOOKUP(A558,TEXT(Sheet2!$A$2:$A$1453,"0"),Sheet2!$D$2:$D$1453,"")),IF(_xlpm.v="","",IF(_xlpm.v&lt;1,_xlpm.v*100,_xlpm.v)))</f>
        <v>35</v>
      </c>
      <c r="E558" s="2">
        <f t="shared" si="8"/>
        <v>56.0625</v>
      </c>
      <c r="F558" s="2" t="str" cm="1">
        <f t="array" ref="F558">IFERROR(_xlfn.XLOOKUP(A558,Sheet2!$A$2:$A$1453,Sheet2!$F$2:$F$1453),_xlfn.XLOOKUP(A558,TEXT(Sheet2!$A$2:$A$1453,"0"),Sheet2!$F$2:$F$1453,""))</f>
        <v>26-7-2026</v>
      </c>
      <c r="G558" s="2" t="str" cm="1">
        <f t="array" ref="G558">IFERROR(_xlfn.XLOOKUP(A558,Sheet2!$A$2:$A$1453,Sheet2!$G$2:$G$1453),_xlfn.XLOOKUP(A558,TEXT(Sheet2!$A$2:$A$1453,"0"),Sheet2!$G$2:$G$1453,""))</f>
        <v>6-8-2026</v>
      </c>
    </row>
    <row r="559" spans="1:7" x14ac:dyDescent="0.2">
      <c r="A559" s="1" t="s">
        <v>70</v>
      </c>
      <c r="B559" t="str" cm="1">
        <f t="array" ref="B559">IFERROR(_xlfn.XLOOKUP(A559,Sheet2!$A$2:$A$1453,Sheet2!$B$2:$B$1453),_xlfn.XLOOKUP(A559,TEXT(Sheet2!$A$2:$A$1453,"0"),Sheet2!$B$2:$B$1453,""))</f>
        <v>ORACURE  Mouth Wash, 300 ML/BOTTEL</v>
      </c>
      <c r="C559" s="2">
        <v>40.25</v>
      </c>
      <c r="D559" s="2" cm="1">
        <f t="array" ref="D559">_xlfn.LET(_xlpm.v,IFERROR(_xlfn.XLOOKUP(A559,Sheet2!$A$2:$A$1453,Sheet2!$D$2:$D$1453),_xlfn.XLOOKUP(A559,TEXT(Sheet2!$A$2:$A$1453,"0"),Sheet2!$D$2:$D$1453,"")),IF(_xlpm.v="","",IF(_xlpm.v&lt;1,_xlpm.v*100,_xlpm.v)))</f>
        <v>35</v>
      </c>
      <c r="E559" s="2">
        <f t="shared" si="8"/>
        <v>26.162500000000001</v>
      </c>
      <c r="F559" s="2" t="str" cm="1">
        <f t="array" ref="F559">IFERROR(_xlfn.XLOOKUP(A559,Sheet2!$A$2:$A$1453,Sheet2!$F$2:$F$1453),_xlfn.XLOOKUP(A559,TEXT(Sheet2!$A$2:$A$1453,"0"),Sheet2!$F$2:$F$1453,""))</f>
        <v>26-7-2026</v>
      </c>
      <c r="G559" s="2" t="str" cm="1">
        <f t="array" ref="G559">IFERROR(_xlfn.XLOOKUP(A559,Sheet2!$A$2:$A$1453,Sheet2!$G$2:$G$1453),_xlfn.XLOOKUP(A559,TEXT(Sheet2!$A$2:$A$1453,"0"),Sheet2!$G$2:$G$1453,""))</f>
        <v>6-8-2026</v>
      </c>
    </row>
    <row r="560" spans="1:7" x14ac:dyDescent="0.2">
      <c r="A560" s="1" t="s">
        <v>2</v>
      </c>
      <c r="B560" t="str" cm="1">
        <f t="array" ref="B560">IFERROR(_xlfn.XLOOKUP(A560,Sheet2!$A$2:$A$1453,Sheet2!$B$2:$B$1453),_xlfn.XLOOKUP(A560,TEXT(Sheet2!$A$2:$A$1453,"0"),Sheet2!$B$2:$B$1453,""))</f>
        <v>FORCAPIL KERATIN+ B5 SHAMPO  Shampoo, 200 ML/CONTAINER</v>
      </c>
      <c r="C560" s="2">
        <v>118.45</v>
      </c>
      <c r="D560" s="2" cm="1">
        <f t="array" ref="D560">_xlfn.LET(_xlpm.v,IFERROR(_xlfn.XLOOKUP(A560,Sheet2!$A$2:$A$1453,Sheet2!$D$2:$D$1453),_xlfn.XLOOKUP(A560,TEXT(Sheet2!$A$2:$A$1453,"0"),Sheet2!$D$2:$D$1453,"")),IF(_xlpm.v="","",IF(_xlpm.v&lt;1,_xlpm.v*100,_xlpm.v)))</f>
        <v>50</v>
      </c>
      <c r="E560" s="2">
        <f t="shared" si="8"/>
        <v>59.225000000000001</v>
      </c>
      <c r="F560" s="2" t="str" cm="1">
        <f t="array" ref="F560">IFERROR(_xlfn.XLOOKUP(A560,Sheet2!$A$2:$A$1453,Sheet2!$F$2:$F$1453),_xlfn.XLOOKUP(A560,TEXT(Sheet2!$A$2:$A$1453,"0"),Sheet2!$F$2:$F$1453,""))</f>
        <v>26-7-2026</v>
      </c>
      <c r="G560" s="2" t="str" cm="1">
        <f t="array" ref="G560">IFERROR(_xlfn.XLOOKUP(A560,Sheet2!$A$2:$A$1453,Sheet2!$G$2:$G$1453),_xlfn.XLOOKUP(A560,TEXT(Sheet2!$A$2:$A$1453,"0"),Sheet2!$G$2:$G$1453,""))</f>
        <v>05-09-2026</v>
      </c>
    </row>
    <row r="561" spans="1:7" x14ac:dyDescent="0.2">
      <c r="A561" s="1" t="s">
        <v>3</v>
      </c>
      <c r="B561" t="str" cm="1">
        <f t="array" ref="B561">IFERROR(_xlfn.XLOOKUP(A561,Sheet2!$A$2:$A$1453,Sheet2!$B$2:$B$1453),_xlfn.XLOOKUP(A561,TEXT(Sheet2!$A$2:$A$1453,"0"),Sheet2!$B$2:$B$1453,""))</f>
        <v> PureFeel Tablet, 30 TABLET/BOX</v>
      </c>
      <c r="C561" s="2">
        <v>29.5</v>
      </c>
      <c r="D561" s="2" cm="1">
        <f t="array" ref="D561">_xlfn.LET(_xlpm.v,IFERROR(_xlfn.XLOOKUP(A561,Sheet2!$A$2:$A$1453,Sheet2!$D$2:$D$1453),_xlfn.XLOOKUP(A561,TEXT(Sheet2!$A$2:$A$1453,"0"),Sheet2!$D$2:$D$1453,"")),IF(_xlpm.v="","",IF(_xlpm.v&lt;1,_xlpm.v*100,_xlpm.v)))</f>
        <v>20</v>
      </c>
      <c r="E561" s="2">
        <f t="shared" si="8"/>
        <v>23.6</v>
      </c>
      <c r="F561" s="2" t="str" cm="1">
        <f t="array" ref="F561">IFERROR(_xlfn.XLOOKUP(A561,Sheet2!$A$2:$A$1453,Sheet2!$F$2:$F$1453),_xlfn.XLOOKUP(A561,TEXT(Sheet2!$A$2:$A$1453,"0"),Sheet2!$F$2:$F$1453,""))</f>
        <v>26-7-2026</v>
      </c>
      <c r="G561" s="2" t="str" cm="1">
        <f t="array" ref="G561">IFERROR(_xlfn.XLOOKUP(A561,Sheet2!$A$2:$A$1453,Sheet2!$G$2:$G$1453),_xlfn.XLOOKUP(A561,TEXT(Sheet2!$A$2:$A$1453,"0"),Sheet2!$G$2:$G$1453,""))</f>
        <v>05-09-2026</v>
      </c>
    </row>
    <row r="562" spans="1:7" x14ac:dyDescent="0.2">
      <c r="A562" s="1" t="s">
        <v>4</v>
      </c>
      <c r="B562" t="str" cm="1">
        <f t="array" ref="B562">IFERROR(_xlfn.XLOOKUP(A562,Sheet2!$A$2:$A$1453,Sheet2!$B$2:$B$1453),_xlfn.XLOOKUP(A562,TEXT(Sheet2!$A$2:$A$1453,"0"),Sheet2!$B$2:$B$1453,""))</f>
        <v> PURE OMEGA-3  Syrup, 240 ML/BO</v>
      </c>
      <c r="C562" s="2">
        <v>150</v>
      </c>
      <c r="D562" s="2" cm="1">
        <f t="array" ref="D562">_xlfn.LET(_xlpm.v,IFERROR(_xlfn.XLOOKUP(A562,Sheet2!$A$2:$A$1453,Sheet2!$D$2:$D$1453),_xlfn.XLOOKUP(A562,TEXT(Sheet2!$A$2:$A$1453,"0"),Sheet2!$D$2:$D$1453,"")),IF(_xlpm.v="","",IF(_xlpm.v&lt;1,_xlpm.v*100,_xlpm.v)))</f>
        <v>40</v>
      </c>
      <c r="E562" s="2">
        <f t="shared" si="8"/>
        <v>90</v>
      </c>
      <c r="F562" s="2" t="str" cm="1">
        <f t="array" ref="F562">IFERROR(_xlfn.XLOOKUP(A562,Sheet2!$A$2:$A$1453,Sheet2!$F$2:$F$1453),_xlfn.XLOOKUP(A562,TEXT(Sheet2!$A$2:$A$1453,"0"),Sheet2!$F$2:$F$1453,""))</f>
        <v>26-7-2026</v>
      </c>
      <c r="G562" s="2" t="str" cm="1">
        <f t="array" ref="G562">IFERROR(_xlfn.XLOOKUP(A562,Sheet2!$A$2:$A$1453,Sheet2!$G$2:$G$1453),_xlfn.XLOOKUP(A562,TEXT(Sheet2!$A$2:$A$1453,"0"),Sheet2!$G$2:$G$1453,""))</f>
        <v>05-09-2026</v>
      </c>
    </row>
    <row r="563" spans="1:7" x14ac:dyDescent="0.2">
      <c r="A563" s="1" t="s">
        <v>5</v>
      </c>
      <c r="B563" t="str" cm="1">
        <f t="array" ref="B563">IFERROR(_xlfn.XLOOKUP(A563,Sheet2!$A$2:$A$1453,Sheet2!$B$2:$B$1453),_xlfn.XLOOKUP(A563,TEXT(Sheet2!$A$2:$A$1453,"0"),Sheet2!$B$2:$B$1453,""))</f>
        <v> ZINCOLIVE  Syrup, 150 ML/BOTTE</v>
      </c>
      <c r="C563" s="2">
        <v>80.5</v>
      </c>
      <c r="D563" s="2" cm="1">
        <f t="array" ref="D563">_xlfn.LET(_xlpm.v,IFERROR(_xlfn.XLOOKUP(A563,Sheet2!$A$2:$A$1453,Sheet2!$D$2:$D$1453),_xlfn.XLOOKUP(A563,TEXT(Sheet2!$A$2:$A$1453,"0"),Sheet2!$D$2:$D$1453,"")),IF(_xlpm.v="","",IF(_xlpm.v&lt;1,_xlpm.v*100,_xlpm.v)))</f>
        <v>40</v>
      </c>
      <c r="E563" s="2">
        <f t="shared" si="8"/>
        <v>48.3</v>
      </c>
      <c r="F563" s="2" t="str" cm="1">
        <f t="array" ref="F563">IFERROR(_xlfn.XLOOKUP(A563,Sheet2!$A$2:$A$1453,Sheet2!$F$2:$F$1453),_xlfn.XLOOKUP(A563,TEXT(Sheet2!$A$2:$A$1453,"0"),Sheet2!$F$2:$F$1453,""))</f>
        <v>26-7-2026</v>
      </c>
      <c r="G563" s="2" t="str" cm="1">
        <f t="array" ref="G563">IFERROR(_xlfn.XLOOKUP(A563,Sheet2!$A$2:$A$1453,Sheet2!$G$2:$G$1453),_xlfn.XLOOKUP(A563,TEXT(Sheet2!$A$2:$A$1453,"0"),Sheet2!$G$2:$G$1453,""))</f>
        <v>05-09-2026</v>
      </c>
    </row>
    <row r="564" spans="1:7" x14ac:dyDescent="0.2">
      <c r="A564" s="1" t="s">
        <v>6</v>
      </c>
      <c r="B564" t="str" cm="1">
        <f t="array" ref="B564">IFERROR(_xlfn.XLOOKUP(A564,Sheet2!$A$2:$A$1453,Sheet2!$B$2:$B$1453),_xlfn.XLOOKUP(A564,TEXT(Sheet2!$A$2:$A$1453,"0"),Sheet2!$B$2:$B$1453,""))</f>
        <v> CENTROZON Tablet, 30 TABLET/BO</v>
      </c>
      <c r="C564" s="2">
        <v>19.5</v>
      </c>
      <c r="D564" s="2" cm="1">
        <f t="array" ref="D564">_xlfn.LET(_xlpm.v,IFERROR(_xlfn.XLOOKUP(A564,Sheet2!$A$2:$A$1453,Sheet2!$D$2:$D$1453),_xlfn.XLOOKUP(A564,TEXT(Sheet2!$A$2:$A$1453,"0"),Sheet2!$D$2:$D$1453,"")),IF(_xlpm.v="","",IF(_xlpm.v&lt;1,_xlpm.v*100,_xlpm.v)))</f>
        <v>25</v>
      </c>
      <c r="E564" s="2">
        <f t="shared" si="8"/>
        <v>14.625</v>
      </c>
      <c r="F564" s="2" t="str" cm="1">
        <f t="array" ref="F564">IFERROR(_xlfn.XLOOKUP(A564,Sheet2!$A$2:$A$1453,Sheet2!$F$2:$F$1453),_xlfn.XLOOKUP(A564,TEXT(Sheet2!$A$2:$A$1453,"0"),Sheet2!$F$2:$F$1453,""))</f>
        <v>26-7-2026</v>
      </c>
      <c r="G564" s="2" t="str" cm="1">
        <f t="array" ref="G564">IFERROR(_xlfn.XLOOKUP(A564,Sheet2!$A$2:$A$1453,Sheet2!$G$2:$G$1453),_xlfn.XLOOKUP(A564,TEXT(Sheet2!$A$2:$A$1453,"0"),Sheet2!$G$2:$G$1453,""))</f>
        <v>05-09-2026</v>
      </c>
    </row>
    <row r="565" spans="1:7" x14ac:dyDescent="0.2">
      <c r="A565" s="1" t="s">
        <v>7</v>
      </c>
      <c r="B565" t="str" cm="1">
        <f t="array" ref="B565">IFERROR(_xlfn.XLOOKUP(A565,Sheet2!$A$2:$A$1453,Sheet2!$B$2:$B$1453),_xlfn.XLOOKUP(A565,TEXT(Sheet2!$A$2:$A$1453,"0"),Sheet2!$B$2:$B$1453,""))</f>
        <v> CENTROZON WOMEN Tablet, 30 T</v>
      </c>
      <c r="C565" s="2">
        <v>40</v>
      </c>
      <c r="D565" s="2" cm="1">
        <f t="array" ref="D565">_xlfn.LET(_xlpm.v,IFERROR(_xlfn.XLOOKUP(A565,Sheet2!$A$2:$A$1453,Sheet2!$D$2:$D$1453),_xlfn.XLOOKUP(A565,TEXT(Sheet2!$A$2:$A$1453,"0"),Sheet2!$D$2:$D$1453,"")),IF(_xlpm.v="","",IF(_xlpm.v&lt;1,_xlpm.v*100,_xlpm.v)))</f>
        <v>25</v>
      </c>
      <c r="E565" s="2">
        <f t="shared" si="8"/>
        <v>30</v>
      </c>
      <c r="F565" s="2" t="str" cm="1">
        <f t="array" ref="F565">IFERROR(_xlfn.XLOOKUP(A565,Sheet2!$A$2:$A$1453,Sheet2!$F$2:$F$1453),_xlfn.XLOOKUP(A565,TEXT(Sheet2!$A$2:$A$1453,"0"),Sheet2!$F$2:$F$1453,""))</f>
        <v>26-7-2026</v>
      </c>
      <c r="G565" s="2" t="str" cm="1">
        <f t="array" ref="G565">IFERROR(_xlfn.XLOOKUP(A565,Sheet2!$A$2:$A$1453,Sheet2!$G$2:$G$1453),_xlfn.XLOOKUP(A565,TEXT(Sheet2!$A$2:$A$1453,"0"),Sheet2!$G$2:$G$1453,""))</f>
        <v>05-09-2026</v>
      </c>
    </row>
    <row r="566" spans="1:7" x14ac:dyDescent="0.2">
      <c r="A566" s="1" t="s">
        <v>8</v>
      </c>
      <c r="B566" t="str" cm="1">
        <f t="array" ref="B566">IFERROR(_xlfn.XLOOKUP(A566,Sheet2!$A$2:$A$1453,Sheet2!$B$2:$B$1453),_xlfn.XLOOKUP(A566,TEXT(Sheet2!$A$2:$A$1453,"0"),Sheet2!$B$2:$B$1453,""))</f>
        <v> BoneFriend Tablet, 30 TABLET/BOX</v>
      </c>
      <c r="C566" s="2">
        <v>57.5</v>
      </c>
      <c r="D566" s="2" cm="1">
        <f t="array" ref="D566">_xlfn.LET(_xlpm.v,IFERROR(_xlfn.XLOOKUP(A566,Sheet2!$A$2:$A$1453,Sheet2!$D$2:$D$1453),_xlfn.XLOOKUP(A566,TEXT(Sheet2!$A$2:$A$1453,"0"),Sheet2!$D$2:$D$1453,"")),IF(_xlpm.v="","",IF(_xlpm.v&lt;1,_xlpm.v*100,_xlpm.v)))</f>
        <v>25</v>
      </c>
      <c r="E566" s="2">
        <f t="shared" si="8"/>
        <v>43.125</v>
      </c>
      <c r="F566" s="2" t="str" cm="1">
        <f t="array" ref="F566">IFERROR(_xlfn.XLOOKUP(A566,Sheet2!$A$2:$A$1453,Sheet2!$F$2:$F$1453),_xlfn.XLOOKUP(A566,TEXT(Sheet2!$A$2:$A$1453,"0"),Sheet2!$F$2:$F$1453,""))</f>
        <v>26-7-2026</v>
      </c>
      <c r="G566" s="2" t="str" cm="1">
        <f t="array" ref="G566">IFERROR(_xlfn.XLOOKUP(A566,Sheet2!$A$2:$A$1453,Sheet2!$G$2:$G$1453),_xlfn.XLOOKUP(A566,TEXT(Sheet2!$A$2:$A$1453,"0"),Sheet2!$G$2:$G$1453,""))</f>
        <v>05-09-2026</v>
      </c>
    </row>
    <row r="567" spans="1:7" x14ac:dyDescent="0.2">
      <c r="A567" s="1" t="s">
        <v>9</v>
      </c>
      <c r="B567" t="str" cm="1">
        <f t="array" ref="B567">IFERROR(_xlfn.XLOOKUP(A567,Sheet2!$A$2:$A$1453,Sheet2!$B$2:$B$1453),_xlfn.XLOOKUP(A567,TEXT(Sheet2!$A$2:$A$1453,"0"),Sheet2!$B$2:$B$1453,""))</f>
        <v> ARGIGROW ml Syrup, 150 ML/BOT</v>
      </c>
      <c r="C567" s="2">
        <v>85</v>
      </c>
      <c r="D567" s="2" cm="1">
        <f t="array" ref="D567">_xlfn.LET(_xlpm.v,IFERROR(_xlfn.XLOOKUP(A567,Sheet2!$A$2:$A$1453,Sheet2!$D$2:$D$1453),_xlfn.XLOOKUP(A567,TEXT(Sheet2!$A$2:$A$1453,"0"),Sheet2!$D$2:$D$1453,"")),IF(_xlpm.v="","",IF(_xlpm.v&lt;1,_xlpm.v*100,_xlpm.v)))</f>
        <v>33</v>
      </c>
      <c r="E567" s="2">
        <f t="shared" si="8"/>
        <v>56.949999999999996</v>
      </c>
      <c r="F567" s="2" t="str" cm="1">
        <f t="array" ref="F567">IFERROR(_xlfn.XLOOKUP(A567,Sheet2!$A$2:$A$1453,Sheet2!$F$2:$F$1453),_xlfn.XLOOKUP(A567,TEXT(Sheet2!$A$2:$A$1453,"0"),Sheet2!$F$2:$F$1453,""))</f>
        <v>26-7-2026</v>
      </c>
      <c r="G567" s="2" t="str" cm="1">
        <f t="array" ref="G567">IFERROR(_xlfn.XLOOKUP(A567,Sheet2!$A$2:$A$1453,Sheet2!$G$2:$G$1453),_xlfn.XLOOKUP(A567,TEXT(Sheet2!$A$2:$A$1453,"0"),Sheet2!$G$2:$G$1453,""))</f>
        <v>05-09-2026</v>
      </c>
    </row>
    <row r="568" spans="1:7" x14ac:dyDescent="0.2">
      <c r="A568" s="1" t="s">
        <v>17</v>
      </c>
      <c r="B568" t="str" cm="1">
        <f t="array" ref="B568">IFERROR(_xlfn.XLOOKUP(A568,Sheet2!$A$2:$A$1453,Sheet2!$B$2:$B$1453),_xlfn.XLOOKUP(A568,TEXT(Sheet2!$A$2:$A$1453,"0"),Sheet2!$B$2:$B$1453,""))</f>
        <v>FORCAPIL Capsule, 180 CAPSULE/BOX</v>
      </c>
      <c r="C568" s="2">
        <v>173.1</v>
      </c>
      <c r="D568" s="2" cm="1">
        <f t="array" ref="D568">_xlfn.LET(_xlpm.v,IFERROR(_xlfn.XLOOKUP(A568,Sheet2!$A$2:$A$1453,Sheet2!$D$2:$D$1453),_xlfn.XLOOKUP(A568,TEXT(Sheet2!$A$2:$A$1453,"0"),Sheet2!$D$2:$D$1453,"")),IF(_xlpm.v="","",IF(_xlpm.v&lt;1,_xlpm.v*100,_xlpm.v)))</f>
        <v>50</v>
      </c>
      <c r="E568" s="2">
        <f t="shared" si="8"/>
        <v>86.55</v>
      </c>
      <c r="F568" s="2" t="str" cm="1">
        <f t="array" ref="F568">IFERROR(_xlfn.XLOOKUP(A568,Sheet2!$A$2:$A$1453,Sheet2!$F$2:$F$1453),_xlfn.XLOOKUP(A568,TEXT(Sheet2!$A$2:$A$1453,"0"),Sheet2!$F$2:$F$1453,""))</f>
        <v>26-7-2026</v>
      </c>
      <c r="G568" s="2" t="str" cm="1">
        <f t="array" ref="G568">IFERROR(_xlfn.XLOOKUP(A568,Sheet2!$A$2:$A$1453,Sheet2!$G$2:$G$1453),_xlfn.XLOOKUP(A568,TEXT(Sheet2!$A$2:$A$1453,"0"),Sheet2!$G$2:$G$1453,""))</f>
        <v>05-09-2026</v>
      </c>
    </row>
    <row r="569" spans="1:7" x14ac:dyDescent="0.2">
      <c r="A569" s="1" t="s">
        <v>18</v>
      </c>
      <c r="B569" t="str" cm="1">
        <f t="array" ref="B569">IFERROR(_xlfn.XLOOKUP(A569,Sheet2!$A$2:$A$1453,Sheet2!$B$2:$B$1453),_xlfn.XLOOKUP(A569,TEXT(Sheet2!$A$2:$A$1453,"0"),Sheet2!$B$2:$B$1453,""))</f>
        <v> EZYTECH DALVIT-F  Orodispersible strip, 30 STR</v>
      </c>
      <c r="C569" s="2">
        <v>100.05</v>
      </c>
      <c r="D569" s="2" cm="1">
        <f t="array" ref="D569">_xlfn.LET(_xlpm.v,IFERROR(_xlfn.XLOOKUP(A569,Sheet2!$A$2:$A$1453,Sheet2!$D$2:$D$1453),_xlfn.XLOOKUP(A569,TEXT(Sheet2!$A$2:$A$1453,"0"),Sheet2!$D$2:$D$1453,"")),IF(_xlpm.v="","",IF(_xlpm.v&lt;1,_xlpm.v*100,_xlpm.v)))</f>
        <v>50</v>
      </c>
      <c r="E569" s="2">
        <f t="shared" si="8"/>
        <v>50.024999999999999</v>
      </c>
      <c r="F569" s="2" t="str" cm="1">
        <f t="array" ref="F569">IFERROR(_xlfn.XLOOKUP(A569,Sheet2!$A$2:$A$1453,Sheet2!$F$2:$F$1453),_xlfn.XLOOKUP(A569,TEXT(Sheet2!$A$2:$A$1453,"0"),Sheet2!$F$2:$F$1453,""))</f>
        <v>26-7-2026</v>
      </c>
      <c r="G569" s="2" t="str" cm="1">
        <f t="array" ref="G569">IFERROR(_xlfn.XLOOKUP(A569,Sheet2!$A$2:$A$1453,Sheet2!$G$2:$G$1453),_xlfn.XLOOKUP(A569,TEXT(Sheet2!$A$2:$A$1453,"0"),Sheet2!$G$2:$G$1453,""))</f>
        <v>05-09-2026</v>
      </c>
    </row>
    <row r="570" spans="1:7" x14ac:dyDescent="0.2">
      <c r="A570" s="1" t="s">
        <v>24</v>
      </c>
      <c r="B570" t="str" cm="1">
        <f t="array" ref="B570">IFERROR(_xlfn.XLOOKUP(A570,Sheet2!$A$2:$A$1453,Sheet2!$B$2:$B$1453),_xlfn.XLOOKUP(A570,TEXT(Sheet2!$A$2:$A$1453,"0"),Sheet2!$B$2:$B$1453,""))</f>
        <v>LA ROCHE-POSAY EFFACLAR DUO+ SPF</v>
      </c>
      <c r="C570" s="2">
        <v>85.01</v>
      </c>
      <c r="D570" s="2" cm="1">
        <f t="array" ref="D570">_xlfn.LET(_xlpm.v,IFERROR(_xlfn.XLOOKUP(A570,Sheet2!$A$2:$A$1453,Sheet2!$D$2:$D$1453),_xlfn.XLOOKUP(A570,TEXT(Sheet2!$A$2:$A$1453,"0"),Sheet2!$D$2:$D$1453,"")),IF(_xlpm.v="","",IF(_xlpm.v&lt;1,_xlpm.v*100,_xlpm.v)))</f>
        <v>20</v>
      </c>
      <c r="E570" s="2">
        <f t="shared" si="8"/>
        <v>68.00800000000001</v>
      </c>
      <c r="F570" s="2" t="str" cm="1">
        <f t="array" ref="F570">IFERROR(_xlfn.XLOOKUP(A570,Sheet2!$A$2:$A$1453,Sheet2!$F$2:$F$1453),_xlfn.XLOOKUP(A570,TEXT(Sheet2!$A$2:$A$1453,"0"),Sheet2!$F$2:$F$1453,""))</f>
        <v>26-7-2026</v>
      </c>
      <c r="G570" s="2" t="str" cm="1">
        <f t="array" ref="G570">IFERROR(_xlfn.XLOOKUP(A570,Sheet2!$A$2:$A$1453,Sheet2!$G$2:$G$1453),_xlfn.XLOOKUP(A570,TEXT(Sheet2!$A$2:$A$1453,"0"),Sheet2!$G$2:$G$1453,""))</f>
        <v>05-09-2026</v>
      </c>
    </row>
    <row r="571" spans="1:7" x14ac:dyDescent="0.2">
      <c r="A571" s="1" t="s">
        <v>27</v>
      </c>
      <c r="B571" t="str" cm="1">
        <f t="array" ref="B571">IFERROR(_xlfn.XLOOKUP(A571,Sheet2!$A$2:$A$1453,Sheet2!$B$2:$B$1453),_xlfn.XLOOKUP(A571,TEXT(Sheet2!$A$2:$A$1453,"0"),Sheet2!$B$2:$B$1453,""))</f>
        <v>EZYTECH BONE KIDS strip Orodispersible strip, 3</v>
      </c>
      <c r="C571" s="2">
        <v>69</v>
      </c>
      <c r="D571" s="2" cm="1">
        <f t="array" ref="D571">_xlfn.LET(_xlpm.v,IFERROR(_xlfn.XLOOKUP(A571,Sheet2!$A$2:$A$1453,Sheet2!$D$2:$D$1453),_xlfn.XLOOKUP(A571,TEXT(Sheet2!$A$2:$A$1453,"0"),Sheet2!$D$2:$D$1453,"")),IF(_xlpm.v="","",IF(_xlpm.v&lt;1,_xlpm.v*100,_xlpm.v)))</f>
        <v>50</v>
      </c>
      <c r="E571" s="2">
        <f t="shared" si="8"/>
        <v>34.5</v>
      </c>
      <c r="F571" s="2" t="str" cm="1">
        <f t="array" ref="F571">IFERROR(_xlfn.XLOOKUP(A571,Sheet2!$A$2:$A$1453,Sheet2!$F$2:$F$1453),_xlfn.XLOOKUP(A571,TEXT(Sheet2!$A$2:$A$1453,"0"),Sheet2!$F$2:$F$1453,""))</f>
        <v>26-7-2026</v>
      </c>
      <c r="G571" s="2" t="str" cm="1">
        <f t="array" ref="G571">IFERROR(_xlfn.XLOOKUP(A571,Sheet2!$A$2:$A$1453,Sheet2!$G$2:$G$1453),_xlfn.XLOOKUP(A571,TEXT(Sheet2!$A$2:$A$1453,"0"),Sheet2!$G$2:$G$1453,""))</f>
        <v>05-09-2026</v>
      </c>
    </row>
    <row r="572" spans="1:7" x14ac:dyDescent="0.2">
      <c r="A572" s="1" t="s">
        <v>28</v>
      </c>
      <c r="B572" t="str" cm="1">
        <f t="array" ref="B572">IFERROR(_xlfn.XLOOKUP(A572,Sheet2!$A$2:$A$1453,Sheet2!$B$2:$B$1453),_xlfn.XLOOKUP(A572,TEXT(Sheet2!$A$2:$A$1453,"0"),Sheet2!$B$2:$B$1453,""))</f>
        <v>EUCERIN DERMATO CLEAN 3 IN 1 MICE</v>
      </c>
      <c r="C572" s="2">
        <v>86.78</v>
      </c>
      <c r="D572" s="2" cm="1">
        <f t="array" ref="D572">_xlfn.LET(_xlpm.v,IFERROR(_xlfn.XLOOKUP(A572,Sheet2!$A$2:$A$1453,Sheet2!$D$2:$D$1453),_xlfn.XLOOKUP(A572,TEXT(Sheet2!$A$2:$A$1453,"0"),Sheet2!$D$2:$D$1453,"")),IF(_xlpm.v="","",IF(_xlpm.v&lt;1,_xlpm.v*100,_xlpm.v)))</f>
        <v>20</v>
      </c>
      <c r="E572" s="2">
        <f t="shared" si="8"/>
        <v>69.424000000000007</v>
      </c>
      <c r="F572" s="2" t="str" cm="1">
        <f t="array" ref="F572">IFERROR(_xlfn.XLOOKUP(A572,Sheet2!$A$2:$A$1453,Sheet2!$F$2:$F$1453),_xlfn.XLOOKUP(A572,TEXT(Sheet2!$A$2:$A$1453,"0"),Sheet2!$F$2:$F$1453,""))</f>
        <v>26-7-2026</v>
      </c>
      <c r="G572" s="2" t="str" cm="1">
        <f t="array" ref="G572">IFERROR(_xlfn.XLOOKUP(A572,Sheet2!$A$2:$A$1453,Sheet2!$G$2:$G$1453),_xlfn.XLOOKUP(A572,TEXT(Sheet2!$A$2:$A$1453,"0"),Sheet2!$G$2:$G$1453,""))</f>
        <v>05-09-2026</v>
      </c>
    </row>
    <row r="573" spans="1:7" x14ac:dyDescent="0.2">
      <c r="A573" s="1" t="s">
        <v>30</v>
      </c>
      <c r="B573" t="str" cm="1">
        <f t="array" ref="B573">IFERROR(_xlfn.XLOOKUP(A573,Sheet2!$A$2:$A$1453,Sheet2!$B$2:$B$1453),_xlfn.XLOOKUP(A573,TEXT(Sheet2!$A$2:$A$1453,"0"),Sheet2!$B$2:$B$1453,""))</f>
        <v>CETAPHIL MOISTURIZING LOTION 500 ML/CONTAINER</v>
      </c>
      <c r="C573" s="2">
        <v>99.67</v>
      </c>
      <c r="D573" s="2" cm="1">
        <f t="array" ref="D573">_xlfn.LET(_xlpm.v,IFERROR(_xlfn.XLOOKUP(A573,Sheet2!$A$2:$A$1453,Sheet2!$D$2:$D$1453),_xlfn.XLOOKUP(A573,TEXT(Sheet2!$A$2:$A$1453,"0"),Sheet2!$D$2:$D$1453,"")),IF(_xlpm.v="","",IF(_xlpm.v&lt;1,_xlpm.v*100,_xlpm.v)))</f>
        <v>25</v>
      </c>
      <c r="E573" s="2">
        <f t="shared" si="8"/>
        <v>74.752499999999998</v>
      </c>
      <c r="F573" s="2" t="str" cm="1">
        <f t="array" ref="F573">IFERROR(_xlfn.XLOOKUP(A573,Sheet2!$A$2:$A$1453,Sheet2!$F$2:$F$1453),_xlfn.XLOOKUP(A573,TEXT(Sheet2!$A$2:$A$1453,"0"),Sheet2!$F$2:$F$1453,""))</f>
        <v>26-7-2026</v>
      </c>
      <c r="G573" s="2" t="str" cm="1">
        <f t="array" ref="G573">IFERROR(_xlfn.XLOOKUP(A573,Sheet2!$A$2:$A$1453,Sheet2!$G$2:$G$1453),_xlfn.XLOOKUP(A573,TEXT(Sheet2!$A$2:$A$1453,"0"),Sheet2!$G$2:$G$1453,""))</f>
        <v>05-09-2026</v>
      </c>
    </row>
    <row r="574" spans="1:7" x14ac:dyDescent="0.2">
      <c r="A574" s="1" t="s">
        <v>31</v>
      </c>
      <c r="B574" t="str" cm="1">
        <f t="array" ref="B574">IFERROR(_xlfn.XLOOKUP(A574,Sheet2!$A$2:$A$1453,Sheet2!$B$2:$B$1453),_xlfn.XLOOKUP(A574,TEXT(Sheet2!$A$2:$A$1453,"0"),Sheet2!$B$2:$B$1453,""))</f>
        <v>LA ROCHE-POSAY EFFACLAR DUO+M C</v>
      </c>
      <c r="C574" s="2">
        <v>86.78</v>
      </c>
      <c r="D574" s="2" cm="1">
        <f t="array" ref="D574">_xlfn.LET(_xlpm.v,IFERROR(_xlfn.XLOOKUP(A574,Sheet2!$A$2:$A$1453,Sheet2!$D$2:$D$1453),_xlfn.XLOOKUP(A574,TEXT(Sheet2!$A$2:$A$1453,"0"),Sheet2!$D$2:$D$1453,"")),IF(_xlpm.v="","",IF(_xlpm.v&lt;1,_xlpm.v*100,_xlpm.v)))</f>
        <v>20</v>
      </c>
      <c r="E574" s="2">
        <f t="shared" si="8"/>
        <v>69.424000000000007</v>
      </c>
      <c r="F574" s="2" t="str" cm="1">
        <f t="array" ref="F574">IFERROR(_xlfn.XLOOKUP(A574,Sheet2!$A$2:$A$1453,Sheet2!$F$2:$F$1453),_xlfn.XLOOKUP(A574,TEXT(Sheet2!$A$2:$A$1453,"0"),Sheet2!$F$2:$F$1453,""))</f>
        <v>26-7-2026</v>
      </c>
      <c r="G574" s="2" t="str" cm="1">
        <f t="array" ref="G574">IFERROR(_xlfn.XLOOKUP(A574,Sheet2!$A$2:$A$1453,Sheet2!$G$2:$G$1453),_xlfn.XLOOKUP(A574,TEXT(Sheet2!$A$2:$A$1453,"0"),Sheet2!$G$2:$G$1453,""))</f>
        <v>05-09-2026</v>
      </c>
    </row>
    <row r="575" spans="1:7" x14ac:dyDescent="0.2">
      <c r="A575" s="1" t="s">
        <v>32</v>
      </c>
      <c r="B575" t="str" cm="1">
        <f t="array" ref="B575">IFERROR(_xlfn.XLOOKUP(A575,Sheet2!$A$2:$A$1453,Sheet2!$B$2:$B$1453),_xlfn.XLOOKUP(A575,TEXT(Sheet2!$A$2:$A$1453,"0"),Sheet2!$B$2:$B$1453,""))</f>
        <v>EUCERIN DEDORANT 24H ROLL (OT) , 50</v>
      </c>
      <c r="C575" s="2">
        <v>49.59</v>
      </c>
      <c r="D575" s="2" cm="1">
        <f t="array" ref="D575">_xlfn.LET(_xlpm.v,IFERROR(_xlfn.XLOOKUP(A575,Sheet2!$A$2:$A$1453,Sheet2!$D$2:$D$1453),_xlfn.XLOOKUP(A575,TEXT(Sheet2!$A$2:$A$1453,"0"),Sheet2!$D$2:$D$1453,"")),IF(_xlpm.v="","",IF(_xlpm.v&lt;1,_xlpm.v*100,_xlpm.v)))</f>
        <v>20</v>
      </c>
      <c r="E575" s="2">
        <f t="shared" si="8"/>
        <v>39.672000000000004</v>
      </c>
      <c r="F575" s="2" t="str" cm="1">
        <f t="array" ref="F575">IFERROR(_xlfn.XLOOKUP(A575,Sheet2!$A$2:$A$1453,Sheet2!$F$2:$F$1453),_xlfn.XLOOKUP(A575,TEXT(Sheet2!$A$2:$A$1453,"0"),Sheet2!$F$2:$F$1453,""))</f>
        <v>26-7-2026</v>
      </c>
      <c r="G575" s="2" t="str" cm="1">
        <f t="array" ref="G575">IFERROR(_xlfn.XLOOKUP(A575,Sheet2!$A$2:$A$1453,Sheet2!$G$2:$G$1453),_xlfn.XLOOKUP(A575,TEXT(Sheet2!$A$2:$A$1453,"0"),Sheet2!$G$2:$G$1453,""))</f>
        <v>05-09-2026</v>
      </c>
    </row>
    <row r="576" spans="1:7" x14ac:dyDescent="0.2">
      <c r="A576" s="1" t="s">
        <v>41</v>
      </c>
      <c r="B576" t="str" cm="1">
        <f t="array" ref="B576">IFERROR(_xlfn.XLOOKUP(A576,Sheet2!$A$2:$A$1453,Sheet2!$B$2:$B$1453),_xlfn.XLOOKUP(A576,TEXT(Sheet2!$A$2:$A$1453,"0"),Sheet2!$B$2:$B$1453,""))</f>
        <v>TRIGLISTAB ARKO Capsule /1Capsule, 30Cap</v>
      </c>
      <c r="C576" s="2">
        <v>112</v>
      </c>
      <c r="D576" s="2" cm="1">
        <f t="array" ref="D576">_xlfn.LET(_xlpm.v,IFERROR(_xlfn.XLOOKUP(A576,Sheet2!$A$2:$A$1453,Sheet2!$D$2:$D$1453),_xlfn.XLOOKUP(A576,TEXT(Sheet2!$A$2:$A$1453,"0"),Sheet2!$D$2:$D$1453,"")),IF(_xlpm.v="","",IF(_xlpm.v&lt;1,_xlpm.v*100,_xlpm.v)))</f>
        <v>50</v>
      </c>
      <c r="E576" s="2">
        <f t="shared" si="8"/>
        <v>56</v>
      </c>
      <c r="F576" s="2" t="str" cm="1">
        <f t="array" ref="F576">IFERROR(_xlfn.XLOOKUP(A576,Sheet2!$A$2:$A$1453,Sheet2!$F$2:$F$1453),_xlfn.XLOOKUP(A576,TEXT(Sheet2!$A$2:$A$1453,"0"),Sheet2!$F$2:$F$1453,""))</f>
        <v>26-7-2026</v>
      </c>
      <c r="G576" s="2" t="str" cm="1">
        <f t="array" ref="G576">IFERROR(_xlfn.XLOOKUP(A576,Sheet2!$A$2:$A$1453,Sheet2!$G$2:$G$1453),_xlfn.XLOOKUP(A576,TEXT(Sheet2!$A$2:$A$1453,"0"),Sheet2!$G$2:$G$1453,""))</f>
        <v>05-09-2026</v>
      </c>
    </row>
    <row r="577" spans="1:7" x14ac:dyDescent="0.2">
      <c r="A577" s="1" t="s">
        <v>45</v>
      </c>
      <c r="B577" t="str" cm="1">
        <f t="array" ref="B577">IFERROR(_xlfn.XLOOKUP(A577,Sheet2!$A$2:$A$1453,Sheet2!$B$2:$B$1453),_xlfn.XLOOKUP(A577,TEXT(Sheet2!$A$2:$A$1453,"0"),Sheet2!$B$2:$B$1453,""))</f>
        <v>NAFEES PHARMA MULTIVITAMIN GUMMIES , 60 TABLET/BOTTEL</v>
      </c>
      <c r="C577" s="2">
        <v>120.75</v>
      </c>
      <c r="D577" s="2" cm="1">
        <f t="array" ref="D577">_xlfn.LET(_xlpm.v,IFERROR(_xlfn.XLOOKUP(A577,Sheet2!$A$2:$A$1453,Sheet2!$D$2:$D$1453),_xlfn.XLOOKUP(A577,TEXT(Sheet2!$A$2:$A$1453,"0"),Sheet2!$D$2:$D$1453,"")),IF(_xlpm.v="","",IF(_xlpm.v&lt;1,_xlpm.v*100,_xlpm.v)))</f>
        <v>50</v>
      </c>
      <c r="E577" s="2">
        <f t="shared" si="8"/>
        <v>60.375</v>
      </c>
      <c r="F577" s="2" t="str" cm="1">
        <f t="array" ref="F577">IFERROR(_xlfn.XLOOKUP(A577,Sheet2!$A$2:$A$1453,Sheet2!$F$2:$F$1453),_xlfn.XLOOKUP(A577,TEXT(Sheet2!$A$2:$A$1453,"0"),Sheet2!$F$2:$F$1453,""))</f>
        <v>26-7-2026</v>
      </c>
      <c r="G577" s="2" t="str" cm="1">
        <f t="array" ref="G577">IFERROR(_xlfn.XLOOKUP(A577,Sheet2!$A$2:$A$1453,Sheet2!$G$2:$G$1453),_xlfn.XLOOKUP(A577,TEXT(Sheet2!$A$2:$A$1453,"0"),Sheet2!$G$2:$G$1453,""))</f>
        <v>05-09-2026</v>
      </c>
    </row>
    <row r="578" spans="1:7" x14ac:dyDescent="0.2">
      <c r="A578" s="1" t="s">
        <v>65</v>
      </c>
      <c r="B578" t="str" cm="1">
        <f t="array" ref="B578">IFERROR(_xlfn.XLOOKUP(A578,Sheet2!$A$2:$A$1453,Sheet2!$B$2:$B$1453),_xlfn.XLOOKUP(A578,TEXT(Sheet2!$A$2:$A$1453,"0"),Sheet2!$B$2:$B$1453,""))</f>
        <v>CERAVE HYDRATING CLEANSER (OT) , 4</v>
      </c>
      <c r="C578" s="2">
        <v>85.01</v>
      </c>
      <c r="D578" s="2" cm="1">
        <f t="array" ref="D578">_xlfn.LET(_xlpm.v,IFERROR(_xlfn.XLOOKUP(A578,Sheet2!$A$2:$A$1453,Sheet2!$D$2:$D$1453),_xlfn.XLOOKUP(A578,TEXT(Sheet2!$A$2:$A$1453,"0"),Sheet2!$D$2:$D$1453,"")),IF(_xlpm.v="","",IF(_xlpm.v&lt;1,_xlpm.v*100,_xlpm.v)))</f>
        <v>20</v>
      </c>
      <c r="E578" s="2">
        <f t="shared" si="8"/>
        <v>68.00800000000001</v>
      </c>
      <c r="F578" s="2" t="str" cm="1">
        <f t="array" ref="F578">IFERROR(_xlfn.XLOOKUP(A578,Sheet2!$A$2:$A$1453,Sheet2!$F$2:$F$1453),_xlfn.XLOOKUP(A578,TEXT(Sheet2!$A$2:$A$1453,"0"),Sheet2!$F$2:$F$1453,""))</f>
        <v>26-7-2026</v>
      </c>
      <c r="G578" s="2" t="str" cm="1">
        <f t="array" ref="G578">IFERROR(_xlfn.XLOOKUP(A578,Sheet2!$A$2:$A$1453,Sheet2!$G$2:$G$1453),_xlfn.XLOOKUP(A578,TEXT(Sheet2!$A$2:$A$1453,"0"),Sheet2!$G$2:$G$1453,""))</f>
        <v>05-09-2026</v>
      </c>
    </row>
    <row r="579" spans="1:7" x14ac:dyDescent="0.2">
      <c r="A579" s="1" t="s">
        <v>68</v>
      </c>
      <c r="B579" t="str" cm="1">
        <f t="array" ref="B579">IFERROR(_xlfn.XLOOKUP(A579,Sheet2!$A$2:$A$1453,Sheet2!$B$2:$B$1453),_xlfn.XLOOKUP(A579,TEXT(Sheet2!$A$2:$A$1453,"0"),Sheet2!$B$2:$B$1453,""))</f>
        <v>BIODERMA CICABIO SOOTHING REPAIR</v>
      </c>
      <c r="C579" s="2">
        <v>63.83</v>
      </c>
      <c r="D579" s="2" cm="1">
        <f t="array" ref="D579">_xlfn.LET(_xlpm.v,IFERROR(_xlfn.XLOOKUP(A579,Sheet2!$A$2:$A$1453,Sheet2!$D$2:$D$1453),_xlfn.XLOOKUP(A579,TEXT(Sheet2!$A$2:$A$1453,"0"),Sheet2!$D$2:$D$1453,"")),IF(_xlpm.v="","",IF(_xlpm.v&lt;1,_xlpm.v*100,_xlpm.v)))</f>
        <v>15</v>
      </c>
      <c r="E579" s="2">
        <f t="shared" ref="E579:E642" si="9">IF(D579="","",C579*(1-D579/100))</f>
        <v>54.255499999999998</v>
      </c>
      <c r="F579" s="2" t="str" cm="1">
        <f t="array" ref="F579">IFERROR(_xlfn.XLOOKUP(A579,Sheet2!$A$2:$A$1453,Sheet2!$F$2:$F$1453),_xlfn.XLOOKUP(A579,TEXT(Sheet2!$A$2:$A$1453,"0"),Sheet2!$F$2:$F$1453,""))</f>
        <v>26-7-2026</v>
      </c>
      <c r="G579" s="2" t="str" cm="1">
        <f t="array" ref="G579">IFERROR(_xlfn.XLOOKUP(A579,Sheet2!$A$2:$A$1453,Sheet2!$G$2:$G$1453),_xlfn.XLOOKUP(A579,TEXT(Sheet2!$A$2:$A$1453,"0"),Sheet2!$G$2:$G$1453,""))</f>
        <v>05-09-2026</v>
      </c>
    </row>
    <row r="580" spans="1:7" x14ac:dyDescent="0.2">
      <c r="A580" s="1">
        <v>20715010547</v>
      </c>
      <c r="B580" t="str" cm="1">
        <f t="array" ref="B580">IFERROR(_xlfn.XLOOKUP(A580,Sheet2!$A$2:$A$1453,Sheet2!$B$2:$B$1453),_xlfn.XLOOKUP(A580,TEXT(Sheet2!$A$2:$A$1453,"0"),Sheet2!$B$2:$B$1453,""))</f>
        <v>FRANCE BEBE EQUILIBRE NO-2</v>
      </c>
      <c r="C580" s="2">
        <v>45</v>
      </c>
      <c r="D580" s="2" cm="1">
        <f t="array" ref="D580">_xlfn.LET(_xlpm.v,IFERROR(_xlfn.XLOOKUP(A580,Sheet2!$A$2:$A$1453,Sheet2!$D$2:$D$1453),_xlfn.XLOOKUP(A580,TEXT(Sheet2!$A$2:$A$1453,"0"),Sheet2!$D$2:$D$1453,"")),IF(_xlpm.v="","",IF(_xlpm.v&lt;1,_xlpm.v*100,_xlpm.v)))</f>
        <v>15</v>
      </c>
      <c r="E580" s="2">
        <f t="shared" si="9"/>
        <v>38.25</v>
      </c>
      <c r="F580" s="2" t="str" cm="1">
        <f t="array" ref="F580">IFERROR(_xlfn.XLOOKUP(A580,Sheet2!$A$2:$A$1453,Sheet2!$F$2:$F$1453),_xlfn.XLOOKUP(A580,TEXT(Sheet2!$A$2:$A$1453,"0"),Sheet2!$F$2:$F$1453,""))</f>
        <v>26-7-2026</v>
      </c>
      <c r="G580" s="2" t="str" cm="1">
        <f t="array" ref="G580">IFERROR(_xlfn.XLOOKUP(A580,Sheet2!$A$2:$A$1453,Sheet2!$G$2:$G$1453),_xlfn.XLOOKUP(A580,TEXT(Sheet2!$A$2:$A$1453,"0"),Sheet2!$G$2:$G$1453,""))</f>
        <v>5-10-2026</v>
      </c>
    </row>
    <row r="581" spans="1:7" x14ac:dyDescent="0.2">
      <c r="A581" s="1">
        <v>20715010215</v>
      </c>
      <c r="B581" t="str" cm="1">
        <f t="array" ref="B581">IFERROR(_xlfn.XLOOKUP(A581,Sheet2!$A$2:$A$1453,Sheet2!$B$2:$B$1453),_xlfn.XLOOKUP(A581,TEXT(Sheet2!$A$2:$A$1453,"0"),Sheet2!$B$2:$B$1453,""))</f>
        <v>LACTONIC HA PLUS 2 GOLD 400G</v>
      </c>
      <c r="C581" s="2">
        <v>66.7</v>
      </c>
      <c r="D581" s="2" cm="1">
        <f t="array" ref="D581">_xlfn.LET(_xlpm.v,IFERROR(_xlfn.XLOOKUP(A581,Sheet2!$A$2:$A$1453,Sheet2!$D$2:$D$1453),_xlfn.XLOOKUP(A581,TEXT(Sheet2!$A$2:$A$1453,"0"),Sheet2!$D$2:$D$1453,"")),IF(_xlpm.v="","",IF(_xlpm.v&lt;1,_xlpm.v*100,_xlpm.v)))</f>
        <v>50</v>
      </c>
      <c r="E581" s="2">
        <f t="shared" si="9"/>
        <v>33.35</v>
      </c>
      <c r="F581" s="2" t="str" cm="1">
        <f t="array" ref="F581">IFERROR(_xlfn.XLOOKUP(A581,Sheet2!$A$2:$A$1453,Sheet2!$F$2:$F$1453),_xlfn.XLOOKUP(A581,TEXT(Sheet2!$A$2:$A$1453,"0"),Sheet2!$F$2:$F$1453,""))</f>
        <v>26-7-2026</v>
      </c>
      <c r="G581" s="2" t="str" cm="1">
        <f t="array" ref="G581">IFERROR(_xlfn.XLOOKUP(A581,Sheet2!$A$2:$A$1453,Sheet2!$G$2:$G$1453),_xlfn.XLOOKUP(A581,TEXT(Sheet2!$A$2:$A$1453,"0"),Sheet2!$G$2:$G$1453,""))</f>
        <v>5-10-2026</v>
      </c>
    </row>
    <row r="582" spans="1:7" x14ac:dyDescent="0.2">
      <c r="A582" s="1">
        <v>20815010041</v>
      </c>
      <c r="B582" t="str" cm="1">
        <f t="array" ref="B582">IFERROR(_xlfn.XLOOKUP(A582,Sheet2!$A$2:$A$1453,Sheet2!$B$2:$B$1453),_xlfn.XLOOKUP(A582,TEXT(Sheet2!$A$2:$A$1453,"0"),Sheet2!$B$2:$B$1453,""))</f>
        <v>BLEVIT RICE WITH MILK  350 GM</v>
      </c>
      <c r="C582" s="2">
        <v>32.96</v>
      </c>
      <c r="D582" s="2" cm="1">
        <f t="array" ref="D582">_xlfn.LET(_xlpm.v,IFERROR(_xlfn.XLOOKUP(A582,Sheet2!$A$2:$A$1453,Sheet2!$D$2:$D$1453),_xlfn.XLOOKUP(A582,TEXT(Sheet2!$A$2:$A$1453,"0"),Sheet2!$D$2:$D$1453,"")),IF(_xlpm.v="","",IF(_xlpm.v&lt;1,_xlpm.v*100,_xlpm.v)))</f>
        <v>25</v>
      </c>
      <c r="E582" s="2">
        <f t="shared" si="9"/>
        <v>24.72</v>
      </c>
      <c r="F582" s="2" t="str" cm="1">
        <f t="array" ref="F582">IFERROR(_xlfn.XLOOKUP(A582,Sheet2!$A$2:$A$1453,Sheet2!$F$2:$F$1453),_xlfn.XLOOKUP(A582,TEXT(Sheet2!$A$2:$A$1453,"0"),Sheet2!$F$2:$F$1453,""))</f>
        <v>26-7-2026</v>
      </c>
      <c r="G582" s="2" t="str" cm="1">
        <f t="array" ref="G582">IFERROR(_xlfn.XLOOKUP(A582,Sheet2!$A$2:$A$1453,Sheet2!$G$2:$G$1453),_xlfn.XLOOKUP(A582,TEXT(Sheet2!$A$2:$A$1453,"0"),Sheet2!$G$2:$G$1453,""))</f>
        <v>5-10-2026</v>
      </c>
    </row>
    <row r="583" spans="1:7" x14ac:dyDescent="0.2">
      <c r="A583" s="1">
        <v>20715010530</v>
      </c>
      <c r="B583" t="str" cm="1">
        <f t="array" ref="B583">IFERROR(_xlfn.XLOOKUP(A583,Sheet2!$A$2:$A$1453,Sheet2!$B$2:$B$1453),_xlfn.XLOOKUP(A583,TEXT(Sheet2!$A$2:$A$1453,"0"),Sheet2!$B$2:$B$1453,""))</f>
        <v>HUMANA MILK (2) 1100 GM</v>
      </c>
      <c r="C583" s="2">
        <v>126.5</v>
      </c>
      <c r="D583" s="2" cm="1">
        <f t="array" ref="D583">_xlfn.LET(_xlpm.v,IFERROR(_xlfn.XLOOKUP(A583,Sheet2!$A$2:$A$1453,Sheet2!$D$2:$D$1453),_xlfn.XLOOKUP(A583,TEXT(Sheet2!$A$2:$A$1453,"0"),Sheet2!$D$2:$D$1453,"")),IF(_xlpm.v="","",IF(_xlpm.v&lt;1,_xlpm.v*100,_xlpm.v)))</f>
        <v>12.5</v>
      </c>
      <c r="E583" s="2">
        <f t="shared" si="9"/>
        <v>110.6875</v>
      </c>
      <c r="F583" s="2" t="str" cm="1">
        <f t="array" ref="F583">IFERROR(_xlfn.XLOOKUP(A583,Sheet2!$A$2:$A$1453,Sheet2!$F$2:$F$1453),_xlfn.XLOOKUP(A583,TEXT(Sheet2!$A$2:$A$1453,"0"),Sheet2!$F$2:$F$1453,""))</f>
        <v>26-7-2026</v>
      </c>
      <c r="G583" s="2" t="str" cm="1">
        <f t="array" ref="G583">IFERROR(_xlfn.XLOOKUP(A583,Sheet2!$A$2:$A$1453,Sheet2!$G$2:$G$1453),_xlfn.XLOOKUP(A583,TEXT(Sheet2!$A$2:$A$1453,"0"),Sheet2!$G$2:$G$1453,""))</f>
        <v>5-10-2026</v>
      </c>
    </row>
    <row r="584" spans="1:7" x14ac:dyDescent="0.2">
      <c r="A584" s="1">
        <v>20715010531</v>
      </c>
      <c r="B584" t="str" cm="1">
        <f t="array" ref="B584">IFERROR(_xlfn.XLOOKUP(A584,Sheet2!$A$2:$A$1453,Sheet2!$B$2:$B$1453),_xlfn.XLOOKUP(A584,TEXT(Sheet2!$A$2:$A$1453,"0"),Sheet2!$B$2:$B$1453,""))</f>
        <v>HUMANA MILK (3) 1100 GM</v>
      </c>
      <c r="C584" s="2">
        <v>124.5</v>
      </c>
      <c r="D584" s="2" cm="1">
        <f t="array" ref="D584">_xlfn.LET(_xlpm.v,IFERROR(_xlfn.XLOOKUP(A584,Sheet2!$A$2:$A$1453,Sheet2!$D$2:$D$1453),_xlfn.XLOOKUP(A584,TEXT(Sheet2!$A$2:$A$1453,"0"),Sheet2!$D$2:$D$1453,"")),IF(_xlpm.v="","",IF(_xlpm.v&lt;1,_xlpm.v*100,_xlpm.v)))</f>
        <v>12.5</v>
      </c>
      <c r="E584" s="2">
        <f t="shared" si="9"/>
        <v>108.9375</v>
      </c>
      <c r="F584" s="2" t="str" cm="1">
        <f t="array" ref="F584">IFERROR(_xlfn.XLOOKUP(A584,Sheet2!$A$2:$A$1453,Sheet2!$F$2:$F$1453),_xlfn.XLOOKUP(A584,TEXT(Sheet2!$A$2:$A$1453,"0"),Sheet2!$F$2:$F$1453,""))</f>
        <v>26-7-2026</v>
      </c>
      <c r="G584" s="2" t="str" cm="1">
        <f t="array" ref="G584">IFERROR(_xlfn.XLOOKUP(A584,Sheet2!$A$2:$A$1453,Sheet2!$G$2:$G$1453),_xlfn.XLOOKUP(A584,TEXT(Sheet2!$A$2:$A$1453,"0"),Sheet2!$G$2:$G$1453,""))</f>
        <v>5-10-2026</v>
      </c>
    </row>
    <row r="585" spans="1:7" x14ac:dyDescent="0.2">
      <c r="A585" s="1">
        <v>20615010344</v>
      </c>
      <c r="B585" t="str" cm="1">
        <f t="array" ref="B585">IFERROR(_xlfn.XLOOKUP(A585,Sheet2!$A$2:$A$1453,Sheet2!$B$2:$B$1453),_xlfn.XLOOKUP(A585,TEXT(Sheet2!$A$2:$A$1453,"0"),Sheet2!$B$2:$B$1453,""))</f>
        <v>ELEGANCE ADULT BRIEFS XL 2X16</v>
      </c>
      <c r="C585" s="2">
        <v>65.63</v>
      </c>
      <c r="D585" s="2" cm="1">
        <f t="array" ref="D585">_xlfn.LET(_xlpm.v,IFERROR(_xlfn.XLOOKUP(A585,Sheet2!$A$2:$A$1453,Sheet2!$D$2:$D$1453),_xlfn.XLOOKUP(A585,TEXT(Sheet2!$A$2:$A$1453,"0"),Sheet2!$D$2:$D$1453,"")),IF(_xlpm.v="","",IF(_xlpm.v&lt;1,_xlpm.v*100,_xlpm.v)))</f>
        <v>15</v>
      </c>
      <c r="E585" s="2">
        <f t="shared" si="9"/>
        <v>55.785499999999992</v>
      </c>
      <c r="F585" s="2" t="str" cm="1">
        <f t="array" ref="F585">IFERROR(_xlfn.XLOOKUP(A585,Sheet2!$A$2:$A$1453,Sheet2!$F$2:$F$1453),_xlfn.XLOOKUP(A585,TEXT(Sheet2!$A$2:$A$1453,"0"),Sheet2!$F$2:$F$1453,""))</f>
        <v>26-7-2026</v>
      </c>
      <c r="G585" s="2" t="str" cm="1">
        <f t="array" ref="G585">IFERROR(_xlfn.XLOOKUP(A585,Sheet2!$A$2:$A$1453,Sheet2!$G$2:$G$1453),_xlfn.XLOOKUP(A585,TEXT(Sheet2!$A$2:$A$1453,"0"),Sheet2!$G$2:$G$1453,""))</f>
        <v>5-10-2026</v>
      </c>
    </row>
    <row r="586" spans="1:7" x14ac:dyDescent="0.2">
      <c r="A586" s="1">
        <v>20615010346</v>
      </c>
      <c r="B586" t="str" cm="1">
        <f t="array" ref="B586">IFERROR(_xlfn.XLOOKUP(A586,Sheet2!$A$2:$A$1453,Sheet2!$B$2:$B$1453),_xlfn.XLOOKUP(A586,TEXT(Sheet2!$A$2:$A$1453,"0"),Sheet2!$B$2:$B$1453,""))</f>
        <v>ELEGANCE ADULT BRIEFS BOX L 1X36</v>
      </c>
      <c r="C586" s="2">
        <v>120</v>
      </c>
      <c r="D586" s="2" cm="1">
        <f t="array" ref="D586">_xlfn.LET(_xlpm.v,IFERROR(_xlfn.XLOOKUP(A586,Sheet2!$A$2:$A$1453,Sheet2!$D$2:$D$1453),_xlfn.XLOOKUP(A586,TEXT(Sheet2!$A$2:$A$1453,"0"),Sheet2!$D$2:$D$1453,"")),IF(_xlpm.v="","",IF(_xlpm.v&lt;1,_xlpm.v*100,_xlpm.v)))</f>
        <v>15</v>
      </c>
      <c r="E586" s="2">
        <f t="shared" si="9"/>
        <v>102</v>
      </c>
      <c r="F586" s="2" t="str" cm="1">
        <f t="array" ref="F586">IFERROR(_xlfn.XLOOKUP(A586,Sheet2!$A$2:$A$1453,Sheet2!$F$2:$F$1453),_xlfn.XLOOKUP(A586,TEXT(Sheet2!$A$2:$A$1453,"0"),Sheet2!$F$2:$F$1453,""))</f>
        <v>26-7-2026</v>
      </c>
      <c r="G586" s="2" t="str" cm="1">
        <f t="array" ref="G586">IFERROR(_xlfn.XLOOKUP(A586,Sheet2!$A$2:$A$1453,Sheet2!$G$2:$G$1453),_xlfn.XLOOKUP(A586,TEXT(Sheet2!$A$2:$A$1453,"0"),Sheet2!$G$2:$G$1453,""))</f>
        <v>5-10-2026</v>
      </c>
    </row>
    <row r="587" spans="1:7" x14ac:dyDescent="0.2">
      <c r="A587" s="1">
        <v>20615010345</v>
      </c>
      <c r="B587" t="str" cm="1">
        <f t="array" ref="B587">IFERROR(_xlfn.XLOOKUP(A587,Sheet2!$A$2:$A$1453,Sheet2!$B$2:$B$1453),_xlfn.XLOOKUP(A587,TEXT(Sheet2!$A$2:$A$1453,"0"),Sheet2!$B$2:$B$1453,""))</f>
        <v>ELEGANCE ADULT BRIEFS  M 2X44</v>
      </c>
      <c r="C587" s="2">
        <v>111.82</v>
      </c>
      <c r="D587" s="2" cm="1">
        <f t="array" ref="D587">_xlfn.LET(_xlpm.v,IFERROR(_xlfn.XLOOKUP(A587,Sheet2!$A$2:$A$1453,Sheet2!$D$2:$D$1453),_xlfn.XLOOKUP(A587,TEXT(Sheet2!$A$2:$A$1453,"0"),Sheet2!$D$2:$D$1453,"")),IF(_xlpm.v="","",IF(_xlpm.v&lt;1,_xlpm.v*100,_xlpm.v)))</f>
        <v>15</v>
      </c>
      <c r="E587" s="2">
        <f t="shared" si="9"/>
        <v>95.046999999999997</v>
      </c>
      <c r="F587" s="2" t="str" cm="1">
        <f t="array" ref="F587">IFERROR(_xlfn.XLOOKUP(A587,Sheet2!$A$2:$A$1453,Sheet2!$F$2:$F$1453),_xlfn.XLOOKUP(A587,TEXT(Sheet2!$A$2:$A$1453,"0"),Sheet2!$F$2:$F$1453,""))</f>
        <v>26-7-2026</v>
      </c>
      <c r="G587" s="2" t="str" cm="1">
        <f t="array" ref="G587">IFERROR(_xlfn.XLOOKUP(A587,Sheet2!$A$2:$A$1453,Sheet2!$G$2:$G$1453),_xlfn.XLOOKUP(A587,TEXT(Sheet2!$A$2:$A$1453,"0"),Sheet2!$G$2:$G$1453,""))</f>
        <v>5-10-2026</v>
      </c>
    </row>
    <row r="588" spans="1:7" x14ac:dyDescent="0.2">
      <c r="A588" s="1">
        <v>20615010348</v>
      </c>
      <c r="B588" t="str" cm="1">
        <f t="array" ref="B588">IFERROR(_xlfn.XLOOKUP(A588,Sheet2!$A$2:$A$1453,Sheet2!$B$2:$B$1453),_xlfn.XLOOKUP(A588,TEXT(Sheet2!$A$2:$A$1453,"0"),Sheet2!$B$2:$B$1453,""))</f>
        <v>BAMBI XXL BOX SUPER NO-6 1X72</v>
      </c>
      <c r="C588" s="2">
        <v>148.63999999999999</v>
      </c>
      <c r="D588" s="2" cm="1">
        <f t="array" ref="D588">_xlfn.LET(_xlpm.v,IFERROR(_xlfn.XLOOKUP(A588,Sheet2!$A$2:$A$1453,Sheet2!$D$2:$D$1453),_xlfn.XLOOKUP(A588,TEXT(Sheet2!$A$2:$A$1453,"0"),Sheet2!$D$2:$D$1453,"")),IF(_xlpm.v="","",IF(_xlpm.v&lt;1,_xlpm.v*100,_xlpm.v)))</f>
        <v>15</v>
      </c>
      <c r="E588" s="2">
        <f t="shared" si="9"/>
        <v>126.34399999999998</v>
      </c>
      <c r="F588" s="2" t="str" cm="1">
        <f t="array" ref="F588">IFERROR(_xlfn.XLOOKUP(A588,Sheet2!$A$2:$A$1453,Sheet2!$F$2:$F$1453),_xlfn.XLOOKUP(A588,TEXT(Sheet2!$A$2:$A$1453,"0"),Sheet2!$F$2:$F$1453,""))</f>
        <v>26-7-2026</v>
      </c>
      <c r="G588" s="2" t="str" cm="1">
        <f t="array" ref="G588">IFERROR(_xlfn.XLOOKUP(A588,Sheet2!$A$2:$A$1453,Sheet2!$G$2:$G$1453),_xlfn.XLOOKUP(A588,TEXT(Sheet2!$A$2:$A$1453,"0"),Sheet2!$G$2:$G$1453,""))</f>
        <v>5-10-2026</v>
      </c>
    </row>
    <row r="589" spans="1:7" x14ac:dyDescent="0.2">
      <c r="A589" s="1">
        <v>20615010136</v>
      </c>
      <c r="B589" t="str" cm="1">
        <f t="array" ref="B589">IFERROR(_xlfn.XLOOKUP(A589,Sheet2!$A$2:$A$1453,Sheet2!$B$2:$B$1453),_xlfn.XLOOKUP(A589,TEXT(Sheet2!$A$2:$A$1453,"0"),Sheet2!$B$2:$B$1453,""))</f>
        <v>BAMBI SANITA NO 6 3X40</v>
      </c>
      <c r="C589" s="2">
        <v>84.86</v>
      </c>
      <c r="D589" s="2" cm="1">
        <f t="array" ref="D589">_xlfn.LET(_xlpm.v,IFERROR(_xlfn.XLOOKUP(A589,Sheet2!$A$2:$A$1453,Sheet2!$D$2:$D$1453),_xlfn.XLOOKUP(A589,TEXT(Sheet2!$A$2:$A$1453,"0"),Sheet2!$D$2:$D$1453,"")),IF(_xlpm.v="","",IF(_xlpm.v&lt;1,_xlpm.v*100,_xlpm.v)))</f>
        <v>15</v>
      </c>
      <c r="E589" s="2">
        <f t="shared" si="9"/>
        <v>72.131</v>
      </c>
      <c r="F589" s="2" t="str" cm="1">
        <f t="array" ref="F589">IFERROR(_xlfn.XLOOKUP(A589,Sheet2!$A$2:$A$1453,Sheet2!$F$2:$F$1453),_xlfn.XLOOKUP(A589,TEXT(Sheet2!$A$2:$A$1453,"0"),Sheet2!$F$2:$F$1453,""))</f>
        <v>26-7-2026</v>
      </c>
      <c r="G589" s="2" t="str" cm="1">
        <f t="array" ref="G589">IFERROR(_xlfn.XLOOKUP(A589,Sheet2!$A$2:$A$1453,Sheet2!$G$2:$G$1453),_xlfn.XLOOKUP(A589,TEXT(Sheet2!$A$2:$A$1453,"0"),Sheet2!$G$2:$G$1453,""))</f>
        <v>5-10-2026</v>
      </c>
    </row>
    <row r="590" spans="1:7" x14ac:dyDescent="0.2">
      <c r="A590" s="1">
        <v>20615010091</v>
      </c>
      <c r="B590" t="str" cm="1">
        <f t="array" ref="B590">IFERROR(_xlfn.XLOOKUP(A590,Sheet2!$A$2:$A$1453,Sheet2!$B$2:$B$1453),_xlfn.XLOOKUP(A590,TEXT(Sheet2!$A$2:$A$1453,"0"),Sheet2!$B$2:$B$1453,""))</f>
        <v>BAMBI S NO-5 6X11</v>
      </c>
      <c r="C590" s="2">
        <v>14.75</v>
      </c>
      <c r="D590" s="2" cm="1">
        <f t="array" ref="D590">_xlfn.LET(_xlpm.v,IFERROR(_xlfn.XLOOKUP(A590,Sheet2!$A$2:$A$1453,Sheet2!$D$2:$D$1453),_xlfn.XLOOKUP(A590,TEXT(Sheet2!$A$2:$A$1453,"0"),Sheet2!$D$2:$D$1453,"")),IF(_xlpm.v="","",IF(_xlpm.v&lt;1,_xlpm.v*100,_xlpm.v)))</f>
        <v>15</v>
      </c>
      <c r="E590" s="2">
        <f t="shared" si="9"/>
        <v>12.5375</v>
      </c>
      <c r="F590" s="2" t="str" cm="1">
        <f t="array" ref="F590">IFERROR(_xlfn.XLOOKUP(A590,Sheet2!$A$2:$A$1453,Sheet2!$F$2:$F$1453),_xlfn.XLOOKUP(A590,TEXT(Sheet2!$A$2:$A$1453,"0"),Sheet2!$F$2:$F$1453,""))</f>
        <v>26-7-2026</v>
      </c>
      <c r="G590" s="2" t="str" cm="1">
        <f t="array" ref="G590">IFERROR(_xlfn.XLOOKUP(A590,Sheet2!$A$2:$A$1453,Sheet2!$G$2:$G$1453),_xlfn.XLOOKUP(A590,TEXT(Sheet2!$A$2:$A$1453,"0"),Sheet2!$G$2:$G$1453,""))</f>
        <v>5-10-2026</v>
      </c>
    </row>
    <row r="591" spans="1:7" x14ac:dyDescent="0.2">
      <c r="A591" s="1">
        <v>20615010342</v>
      </c>
      <c r="B591" t="str" cm="1">
        <f t="array" ref="B591">IFERROR(_xlfn.XLOOKUP(A591,Sheet2!$A$2:$A$1453,Sheet2!$B$2:$B$1453),_xlfn.XLOOKUP(A591,TEXT(Sheet2!$A$2:$A$1453,"0"),Sheet2!$B$2:$B$1453,""))</f>
        <v>BAMBI MEGA NO-3 2X92</v>
      </c>
      <c r="C591" s="2">
        <v>108.68</v>
      </c>
      <c r="D591" s="2" cm="1">
        <f t="array" ref="D591">_xlfn.LET(_xlpm.v,IFERROR(_xlfn.XLOOKUP(A591,Sheet2!$A$2:$A$1453,Sheet2!$D$2:$D$1453),_xlfn.XLOOKUP(A591,TEXT(Sheet2!$A$2:$A$1453,"0"),Sheet2!$D$2:$D$1453,"")),IF(_xlpm.v="","",IF(_xlpm.v&lt;1,_xlpm.v*100,_xlpm.v)))</f>
        <v>15</v>
      </c>
      <c r="E591" s="2">
        <f t="shared" si="9"/>
        <v>92.378</v>
      </c>
      <c r="F591" s="2" t="str" cm="1">
        <f t="array" ref="F591">IFERROR(_xlfn.XLOOKUP(A591,Sheet2!$A$2:$A$1453,Sheet2!$F$2:$F$1453),_xlfn.XLOOKUP(A591,TEXT(Sheet2!$A$2:$A$1453,"0"),Sheet2!$F$2:$F$1453,""))</f>
        <v>26-7-2026</v>
      </c>
      <c r="G591" s="2" t="str" cm="1">
        <f t="array" ref="G591">IFERROR(_xlfn.XLOOKUP(A591,Sheet2!$A$2:$A$1453,Sheet2!$G$2:$G$1453),_xlfn.XLOOKUP(A591,TEXT(Sheet2!$A$2:$A$1453,"0"),Sheet2!$G$2:$G$1453,""))</f>
        <v>5-10-2026</v>
      </c>
    </row>
    <row r="592" spans="1:7" x14ac:dyDescent="0.2">
      <c r="A592" s="1">
        <v>20615010077</v>
      </c>
      <c r="B592" t="str" cm="1">
        <f t="array" ref="B592">IFERROR(_xlfn.XLOOKUP(A592,Sheet2!$A$2:$A$1453,Sheet2!$B$2:$B$1453),_xlfn.XLOOKUP(A592,TEXT(Sheet2!$A$2:$A$1453,"0"),Sheet2!$B$2:$B$1453,""))</f>
        <v>BAMBI M NO-3 3X70</v>
      </c>
      <c r="C592" s="2">
        <v>84.86</v>
      </c>
      <c r="D592" s="2" cm="1">
        <f t="array" ref="D592">_xlfn.LET(_xlpm.v,IFERROR(_xlfn.XLOOKUP(A592,Sheet2!$A$2:$A$1453,Sheet2!$D$2:$D$1453),_xlfn.XLOOKUP(A592,TEXT(Sheet2!$A$2:$A$1453,"0"),Sheet2!$D$2:$D$1453,"")),IF(_xlpm.v="","",IF(_xlpm.v&lt;1,_xlpm.v*100,_xlpm.v)))</f>
        <v>15</v>
      </c>
      <c r="E592" s="2">
        <f t="shared" si="9"/>
        <v>72.131</v>
      </c>
      <c r="F592" s="2" t="str" cm="1">
        <f t="array" ref="F592">IFERROR(_xlfn.XLOOKUP(A592,Sheet2!$A$2:$A$1453,Sheet2!$F$2:$F$1453),_xlfn.XLOOKUP(A592,TEXT(Sheet2!$A$2:$A$1453,"0"),Sheet2!$F$2:$F$1453,""))</f>
        <v>26-7-2026</v>
      </c>
      <c r="G592" s="2" t="str" cm="1">
        <f t="array" ref="G592">IFERROR(_xlfn.XLOOKUP(A592,Sheet2!$A$2:$A$1453,Sheet2!$G$2:$G$1453),_xlfn.XLOOKUP(A592,TEXT(Sheet2!$A$2:$A$1453,"0"),Sheet2!$G$2:$G$1453,""))</f>
        <v>5-10-2026</v>
      </c>
    </row>
    <row r="593" spans="1:7" x14ac:dyDescent="0.2">
      <c r="A593" s="1">
        <v>20615010351</v>
      </c>
      <c r="B593" t="str" cm="1">
        <f t="array" ref="B593">IFERROR(_xlfn.XLOOKUP(A593,Sheet2!$A$2:$A$1453,Sheet2!$B$2:$B$1453),_xlfn.XLOOKUP(A593,TEXT(Sheet2!$A$2:$A$1453,"0"),Sheet2!$B$2:$B$1453,""))</f>
        <v>BAMBI LARG BOX SUPER NO-5 1X108</v>
      </c>
      <c r="C593" s="2">
        <v>148.63999999999999</v>
      </c>
      <c r="D593" s="2" cm="1">
        <f t="array" ref="D593">_xlfn.LET(_xlpm.v,IFERROR(_xlfn.XLOOKUP(A593,Sheet2!$A$2:$A$1453,Sheet2!$D$2:$D$1453),_xlfn.XLOOKUP(A593,TEXT(Sheet2!$A$2:$A$1453,"0"),Sheet2!$D$2:$D$1453,"")),IF(_xlpm.v="","",IF(_xlpm.v&lt;1,_xlpm.v*100,_xlpm.v)))</f>
        <v>15</v>
      </c>
      <c r="E593" s="2">
        <f t="shared" si="9"/>
        <v>126.34399999999998</v>
      </c>
      <c r="F593" s="2" t="str" cm="1">
        <f t="array" ref="F593">IFERROR(_xlfn.XLOOKUP(A593,Sheet2!$A$2:$A$1453,Sheet2!$F$2:$F$1453),_xlfn.XLOOKUP(A593,TEXT(Sheet2!$A$2:$A$1453,"0"),Sheet2!$F$2:$F$1453,""))</f>
        <v>26-7-2026</v>
      </c>
      <c r="G593" s="2" t="str" cm="1">
        <f t="array" ref="G593">IFERROR(_xlfn.XLOOKUP(A593,Sheet2!$A$2:$A$1453,Sheet2!$G$2:$G$1453),_xlfn.XLOOKUP(A593,TEXT(Sheet2!$A$2:$A$1453,"0"),Sheet2!$G$2:$G$1453,""))</f>
        <v>5-10-2026</v>
      </c>
    </row>
    <row r="594" spans="1:7" x14ac:dyDescent="0.2">
      <c r="A594" s="1">
        <v>20615010347</v>
      </c>
      <c r="B594" t="str" cm="1">
        <f t="array" ref="B594">IFERROR(_xlfn.XLOOKUP(A594,Sheet2!$A$2:$A$1453,Sheet2!$B$2:$B$1453),_xlfn.XLOOKUP(A594,TEXT(Sheet2!$A$2:$A$1453,"0"),Sheet2!$B$2:$B$1453,""))</f>
        <v>BAMBI LARG BOX SUPER NO-4 1X124</v>
      </c>
      <c r="C594" s="2">
        <v>148.63999999999999</v>
      </c>
      <c r="D594" s="2" cm="1">
        <f t="array" ref="D594">_xlfn.LET(_xlpm.v,IFERROR(_xlfn.XLOOKUP(A594,Sheet2!$A$2:$A$1453,Sheet2!$D$2:$D$1453),_xlfn.XLOOKUP(A594,TEXT(Sheet2!$A$2:$A$1453,"0"),Sheet2!$D$2:$D$1453,"")),IF(_xlpm.v="","",IF(_xlpm.v&lt;1,_xlpm.v*100,_xlpm.v)))</f>
        <v>15</v>
      </c>
      <c r="E594" s="2">
        <f t="shared" si="9"/>
        <v>126.34399999999998</v>
      </c>
      <c r="F594" s="2" t="str" cm="1">
        <f t="array" ref="F594">IFERROR(_xlfn.XLOOKUP(A594,Sheet2!$A$2:$A$1453,Sheet2!$F$2:$F$1453),_xlfn.XLOOKUP(A594,TEXT(Sheet2!$A$2:$A$1453,"0"),Sheet2!$F$2:$F$1453,""))</f>
        <v>26-7-2026</v>
      </c>
      <c r="G594" s="2" t="str" cm="1">
        <f t="array" ref="G594">IFERROR(_xlfn.XLOOKUP(A594,Sheet2!$A$2:$A$1453,Sheet2!$G$2:$G$1453),_xlfn.XLOOKUP(A594,TEXT(Sheet2!$A$2:$A$1453,"0"),Sheet2!$G$2:$G$1453,""))</f>
        <v>5-10-2026</v>
      </c>
    </row>
    <row r="595" spans="1:7" x14ac:dyDescent="0.2">
      <c r="A595" s="1">
        <v>20615010368</v>
      </c>
      <c r="B595" t="str" cm="1">
        <f t="array" ref="B595">IFERROR(_xlfn.XLOOKUP(A595,Sheet2!$A$2:$A$1453,Sheet2!$B$2:$B$1453),_xlfn.XLOOKUP(A595,TEXT(Sheet2!$A$2:$A$1453,"0"),Sheet2!$B$2:$B$1453,""))</f>
        <v>BABY JOY CULOTTE MEDIUM  MEGA NO-3  3X60</v>
      </c>
      <c r="C595" s="2">
        <v>74.459999999999994</v>
      </c>
      <c r="D595" s="2" cm="1">
        <f t="array" ref="D595">_xlfn.LET(_xlpm.v,IFERROR(_xlfn.XLOOKUP(A595,Sheet2!$A$2:$A$1453,Sheet2!$D$2:$D$1453),_xlfn.XLOOKUP(A595,TEXT(Sheet2!$A$2:$A$1453,"0"),Sheet2!$D$2:$D$1453,"")),IF(_xlpm.v="","",IF(_xlpm.v&lt;1,_xlpm.v*100,_xlpm.v)))</f>
        <v>10</v>
      </c>
      <c r="E595" s="2">
        <f t="shared" si="9"/>
        <v>67.013999999999996</v>
      </c>
      <c r="F595" s="2" t="str" cm="1">
        <f t="array" ref="F595">IFERROR(_xlfn.XLOOKUP(A595,Sheet2!$A$2:$A$1453,Sheet2!$F$2:$F$1453),_xlfn.XLOOKUP(A595,TEXT(Sheet2!$A$2:$A$1453,"0"),Sheet2!$F$2:$F$1453,""))</f>
        <v>26-7-2026</v>
      </c>
      <c r="G595" s="2" t="str" cm="1">
        <f t="array" ref="G595">IFERROR(_xlfn.XLOOKUP(A595,Sheet2!$A$2:$A$1453,Sheet2!$G$2:$G$1453),_xlfn.XLOOKUP(A595,TEXT(Sheet2!$A$2:$A$1453,"0"),Sheet2!$G$2:$G$1453,""))</f>
        <v>5-10-2026</v>
      </c>
    </row>
    <row r="596" spans="1:7" x14ac:dyDescent="0.2">
      <c r="A596" s="1">
        <v>20615010341</v>
      </c>
      <c r="B596" t="str" cm="1">
        <f t="array" ref="B596">IFERROR(_xlfn.XLOOKUP(A596,Sheet2!$A$2:$A$1453,Sheet2!$B$2:$B$1453),_xlfn.XLOOKUP(A596,TEXT(Sheet2!$A$2:$A$1453,"0"),Sheet2!$B$2:$B$1453,""))</f>
        <v>BABMI JUMBO NO-5 3X54</v>
      </c>
      <c r="C596" s="2">
        <v>84.86</v>
      </c>
      <c r="D596" s="2" cm="1">
        <f t="array" ref="D596">_xlfn.LET(_xlpm.v,IFERROR(_xlfn.XLOOKUP(A596,Sheet2!$A$2:$A$1453,Sheet2!$D$2:$D$1453),_xlfn.XLOOKUP(A596,TEXT(Sheet2!$A$2:$A$1453,"0"),Sheet2!$D$2:$D$1453,"")),IF(_xlpm.v="","",IF(_xlpm.v&lt;1,_xlpm.v*100,_xlpm.v)))</f>
        <v>15</v>
      </c>
      <c r="E596" s="2">
        <f t="shared" si="9"/>
        <v>72.131</v>
      </c>
      <c r="F596" s="2" t="str" cm="1">
        <f t="array" ref="F596">IFERROR(_xlfn.XLOOKUP(A596,Sheet2!$A$2:$A$1453,Sheet2!$F$2:$F$1453),_xlfn.XLOOKUP(A596,TEXT(Sheet2!$A$2:$A$1453,"0"),Sheet2!$F$2:$F$1453,""))</f>
        <v>26-7-2026</v>
      </c>
      <c r="G596" s="2" t="str" cm="1">
        <f t="array" ref="G596">IFERROR(_xlfn.XLOOKUP(A596,Sheet2!$A$2:$A$1453,Sheet2!$G$2:$G$1453),_xlfn.XLOOKUP(A596,TEXT(Sheet2!$A$2:$A$1453,"0"),Sheet2!$G$2:$G$1453,""))</f>
        <v>5-10-2026</v>
      </c>
    </row>
    <row r="597" spans="1:7" x14ac:dyDescent="0.2">
      <c r="A597" s="1">
        <v>20315040087</v>
      </c>
      <c r="B597" t="str" cm="1">
        <f t="array" ref="B597">IFERROR(_xlfn.XLOOKUP(A597,Sheet2!$A$2:$A$1453,Sheet2!$B$2:$B$1453),_xlfn.XLOOKUP(A597,TEXT(Sheet2!$A$2:$A$1453,"0"),Sheet2!$B$2:$B$1453,""))</f>
        <v>BABY DAR PACIFIER M 5-8101034</v>
      </c>
      <c r="C597" s="2">
        <v>17.25</v>
      </c>
      <c r="D597" s="2" cm="1">
        <f t="array" ref="D597">_xlfn.LET(_xlpm.v,IFERROR(_xlfn.XLOOKUP(A597,Sheet2!$A$2:$A$1453,Sheet2!$D$2:$D$1453),_xlfn.XLOOKUP(A597,TEXT(Sheet2!$A$2:$A$1453,"0"),Sheet2!$D$2:$D$1453,"")),IF(_xlpm.v="","",IF(_xlpm.v&lt;1,_xlpm.v*100,_xlpm.v)))</f>
        <v>33</v>
      </c>
      <c r="E597" s="2">
        <f t="shared" si="9"/>
        <v>11.557499999999999</v>
      </c>
      <c r="F597" s="2" t="str" cm="1">
        <f t="array" ref="F597">IFERROR(_xlfn.XLOOKUP(A597,Sheet2!$A$2:$A$1453,Sheet2!$F$2:$F$1453),_xlfn.XLOOKUP(A597,TEXT(Sheet2!$A$2:$A$1453,"0"),Sheet2!$F$2:$F$1453,""))</f>
        <v>26-7-2026</v>
      </c>
      <c r="G597" s="2" t="str" cm="1">
        <f t="array" ref="G597">IFERROR(_xlfn.XLOOKUP(A597,Sheet2!$A$2:$A$1453,Sheet2!$G$2:$G$1453),_xlfn.XLOOKUP(A597,TEXT(Sheet2!$A$2:$A$1453,"0"),Sheet2!$G$2:$G$1453,""))</f>
        <v>5-10-2026</v>
      </c>
    </row>
    <row r="598" spans="1:7" x14ac:dyDescent="0.2">
      <c r="A598" s="1">
        <v>20715010463</v>
      </c>
      <c r="B598" t="str" cm="1">
        <f t="array" ref="B598">IFERROR(_xlfn.XLOOKUP(A598,Sheet2!$A$2:$A$1453,Sheet2!$B$2:$B$1453),_xlfn.XLOOKUP(A598,TEXT(Sheet2!$A$2:$A$1453,"0"),Sheet2!$B$2:$B$1453,""))</f>
        <v>LACTONIC (2) GOLD 800G</v>
      </c>
      <c r="C598" s="2">
        <v>184</v>
      </c>
      <c r="D598" s="2" cm="1">
        <f t="array" ref="D598">_xlfn.LET(_xlpm.v,IFERROR(_xlfn.XLOOKUP(A598,Sheet2!$A$2:$A$1453,Sheet2!$D$2:$D$1453),_xlfn.XLOOKUP(A598,TEXT(Sheet2!$A$2:$A$1453,"0"),Sheet2!$D$2:$D$1453,"")),IF(_xlpm.v="","",IF(_xlpm.v&lt;1,_xlpm.v*100,_xlpm.v)))</f>
        <v>50</v>
      </c>
      <c r="E598" s="2">
        <f t="shared" si="9"/>
        <v>92</v>
      </c>
      <c r="F598" s="2" t="str" cm="1">
        <f t="array" ref="F598">IFERROR(_xlfn.XLOOKUP(A598,Sheet2!$A$2:$A$1453,Sheet2!$F$2:$F$1453),_xlfn.XLOOKUP(A598,TEXT(Sheet2!$A$2:$A$1453,"0"),Sheet2!$F$2:$F$1453,""))</f>
        <v>26-7-2026</v>
      </c>
      <c r="G598" s="2" t="str" cm="1">
        <f t="array" ref="G598">IFERROR(_xlfn.XLOOKUP(A598,Sheet2!$A$2:$A$1453,Sheet2!$G$2:$G$1453),_xlfn.XLOOKUP(A598,TEXT(Sheet2!$A$2:$A$1453,"0"),Sheet2!$G$2:$G$1453,""))</f>
        <v>5-10-2026</v>
      </c>
    </row>
    <row r="599" spans="1:7" x14ac:dyDescent="0.2">
      <c r="A599" s="1">
        <v>20615010179</v>
      </c>
      <c r="B599" t="str" cm="1">
        <f t="array" ref="B599">IFERROR(_xlfn.XLOOKUP(A599,Sheet2!$A$2:$A$1453,Sheet2!$B$2:$B$1453),_xlfn.XLOOKUP(A599,TEXT(Sheet2!$A$2:$A$1453,"0"),Sheet2!$B$2:$B$1453,""))</f>
        <v>BABY JOY NO-7 COMPERSSED XXXL JUMBO 3x42</v>
      </c>
      <c r="C599" s="2">
        <v>89.99</v>
      </c>
      <c r="D599" s="2" cm="1">
        <f t="array" ref="D599">_xlfn.LET(_xlpm.v,IFERROR(_xlfn.XLOOKUP(A599,Sheet2!$A$2:$A$1453,Sheet2!$D$2:$D$1453),_xlfn.XLOOKUP(A599,TEXT(Sheet2!$A$2:$A$1453,"0"),Sheet2!$D$2:$D$1453,"")),IF(_xlpm.v="","",IF(_xlpm.v&lt;1,_xlpm.v*100,_xlpm.v)))</f>
        <v>11</v>
      </c>
      <c r="E599" s="2">
        <f t="shared" si="9"/>
        <v>80.091099999999997</v>
      </c>
      <c r="F599" s="2" t="str" cm="1">
        <f t="array" ref="F599">IFERROR(_xlfn.XLOOKUP(A599,Sheet2!$A$2:$A$1453,Sheet2!$F$2:$F$1453),_xlfn.XLOOKUP(A599,TEXT(Sheet2!$A$2:$A$1453,"0"),Sheet2!$F$2:$F$1453,""))</f>
        <v>26-7-2026</v>
      </c>
      <c r="G599" s="2" t="str" cm="1">
        <f t="array" ref="G599">IFERROR(_xlfn.XLOOKUP(A599,Sheet2!$A$2:$A$1453,Sheet2!$G$2:$G$1453),_xlfn.XLOOKUP(A599,TEXT(Sheet2!$A$2:$A$1453,"0"),Sheet2!$G$2:$G$1453,""))</f>
        <v>5-10-2026</v>
      </c>
    </row>
    <row r="600" spans="1:7" x14ac:dyDescent="0.2">
      <c r="A600" s="1">
        <v>20615010421</v>
      </c>
      <c r="B600" t="str" cm="1">
        <f t="array" ref="B600">IFERROR(_xlfn.XLOOKUP(A600,Sheet2!$A$2:$A$1453,Sheet2!$B$2:$B$1453),_xlfn.XLOOKUP(A600,TEXT(Sheet2!$A$2:$A$1453,"0"),Sheet2!$B$2:$B$1453,""))</f>
        <v>TEEMO MEGA NO-2 3X70</v>
      </c>
      <c r="C600" s="2">
        <v>41.4</v>
      </c>
      <c r="D600" s="2" cm="1">
        <f t="array" ref="D600">_xlfn.LET(_xlpm.v,IFERROR(_xlfn.XLOOKUP(A600,Sheet2!$A$2:$A$1453,Sheet2!$D$2:$D$1453),_xlfn.XLOOKUP(A600,TEXT(Sheet2!$A$2:$A$1453,"0"),Sheet2!$D$2:$D$1453,"")),IF(_xlpm.v="","",IF(_xlpm.v&lt;1,_xlpm.v*100,_xlpm.v)))</f>
        <v>12.5</v>
      </c>
      <c r="E600" s="2">
        <f t="shared" si="9"/>
        <v>36.225000000000001</v>
      </c>
      <c r="F600" s="2" t="str" cm="1">
        <f t="array" ref="F600">IFERROR(_xlfn.XLOOKUP(A600,Sheet2!$A$2:$A$1453,Sheet2!$F$2:$F$1453),_xlfn.XLOOKUP(A600,TEXT(Sheet2!$A$2:$A$1453,"0"),Sheet2!$F$2:$F$1453,""))</f>
        <v>26-7-2026</v>
      </c>
      <c r="G600" s="2" t="str" cm="1">
        <f t="array" ref="G600">IFERROR(_xlfn.XLOOKUP(A600,Sheet2!$A$2:$A$1453,Sheet2!$G$2:$G$1453),_xlfn.XLOOKUP(A600,TEXT(Sheet2!$A$2:$A$1453,"0"),Sheet2!$G$2:$G$1453,""))</f>
        <v>5-10-2026</v>
      </c>
    </row>
    <row r="601" spans="1:7" x14ac:dyDescent="0.2">
      <c r="A601" s="1">
        <v>20615010422</v>
      </c>
      <c r="B601" t="str" cm="1">
        <f t="array" ref="B601">IFERROR(_xlfn.XLOOKUP(A601,Sheet2!$A$2:$A$1453,Sheet2!$B$2:$B$1453),_xlfn.XLOOKUP(A601,TEXT(Sheet2!$A$2:$A$1453,"0"),Sheet2!$B$2:$B$1453,""))</f>
        <v>TEEMO MEGA NO-3 3X58</v>
      </c>
      <c r="C601" s="2">
        <v>41.4</v>
      </c>
      <c r="D601" s="2" cm="1">
        <f t="array" ref="D601">_xlfn.LET(_xlpm.v,IFERROR(_xlfn.XLOOKUP(A601,Sheet2!$A$2:$A$1453,Sheet2!$D$2:$D$1453),_xlfn.XLOOKUP(A601,TEXT(Sheet2!$A$2:$A$1453,"0"),Sheet2!$D$2:$D$1453,"")),IF(_xlpm.v="","",IF(_xlpm.v&lt;1,_xlpm.v*100,_xlpm.v)))</f>
        <v>12.5</v>
      </c>
      <c r="E601" s="2">
        <f t="shared" si="9"/>
        <v>36.225000000000001</v>
      </c>
      <c r="F601" s="2" t="str" cm="1">
        <f t="array" ref="F601">IFERROR(_xlfn.XLOOKUP(A601,Sheet2!$A$2:$A$1453,Sheet2!$F$2:$F$1453),_xlfn.XLOOKUP(A601,TEXT(Sheet2!$A$2:$A$1453,"0"),Sheet2!$F$2:$F$1453,""))</f>
        <v>26-7-2026</v>
      </c>
      <c r="G601" s="2" t="str" cm="1">
        <f t="array" ref="G601">IFERROR(_xlfn.XLOOKUP(A601,Sheet2!$A$2:$A$1453,Sheet2!$G$2:$G$1453),_xlfn.XLOOKUP(A601,TEXT(Sheet2!$A$2:$A$1453,"0"),Sheet2!$G$2:$G$1453,""))</f>
        <v>5-10-2026</v>
      </c>
    </row>
    <row r="602" spans="1:7" x14ac:dyDescent="0.2">
      <c r="A602" s="1">
        <v>20615010420</v>
      </c>
      <c r="B602" t="str" cm="1">
        <f t="array" ref="B602">IFERROR(_xlfn.XLOOKUP(A602,Sheet2!$A$2:$A$1453,Sheet2!$B$2:$B$1453),_xlfn.XLOOKUP(A602,TEXT(Sheet2!$A$2:$A$1453,"0"),Sheet2!$B$2:$B$1453,""))</f>
        <v>TEEMO MEGA NO-1 3X76</v>
      </c>
      <c r="C602" s="2">
        <v>41.4</v>
      </c>
      <c r="D602" s="2" cm="1">
        <f t="array" ref="D602">_xlfn.LET(_xlpm.v,IFERROR(_xlfn.XLOOKUP(A602,Sheet2!$A$2:$A$1453,Sheet2!$D$2:$D$1453),_xlfn.XLOOKUP(A602,TEXT(Sheet2!$A$2:$A$1453,"0"),Sheet2!$D$2:$D$1453,"")),IF(_xlpm.v="","",IF(_xlpm.v&lt;1,_xlpm.v*100,_xlpm.v)))</f>
        <v>12.5</v>
      </c>
      <c r="E602" s="2">
        <f t="shared" si="9"/>
        <v>36.225000000000001</v>
      </c>
      <c r="F602" s="2" t="str" cm="1">
        <f t="array" ref="F602">IFERROR(_xlfn.XLOOKUP(A602,Sheet2!$A$2:$A$1453,Sheet2!$F$2:$F$1453),_xlfn.XLOOKUP(A602,TEXT(Sheet2!$A$2:$A$1453,"0"),Sheet2!$F$2:$F$1453,""))</f>
        <v>26-7-2026</v>
      </c>
      <c r="G602" s="2" t="str" cm="1">
        <f t="array" ref="G602">IFERROR(_xlfn.XLOOKUP(A602,Sheet2!$A$2:$A$1453,Sheet2!$G$2:$G$1453),_xlfn.XLOOKUP(A602,TEXT(Sheet2!$A$2:$A$1453,"0"),Sheet2!$G$2:$G$1453,""))</f>
        <v>5-10-2026</v>
      </c>
    </row>
    <row r="603" spans="1:7" x14ac:dyDescent="0.2">
      <c r="A603" s="1">
        <v>20715010525</v>
      </c>
      <c r="B603" t="str" cm="1">
        <f t="array" ref="B603">IFERROR(_xlfn.XLOOKUP(A603,Sheet2!$A$2:$A$1453,Sheet2!$B$2:$B$1453),_xlfn.XLOOKUP(A603,TEXT(Sheet2!$A$2:$A$1453,"0"),Sheet2!$B$2:$B$1453,""))</f>
        <v>VIDALAC MILK NO 1 400 GM</v>
      </c>
      <c r="C603" s="2">
        <v>50.6</v>
      </c>
      <c r="D603" s="2" cm="1">
        <f t="array" ref="D603">_xlfn.LET(_xlpm.v,IFERROR(_xlfn.XLOOKUP(A603,Sheet2!$A$2:$A$1453,Sheet2!$D$2:$D$1453),_xlfn.XLOOKUP(A603,TEXT(Sheet2!$A$2:$A$1453,"0"),Sheet2!$D$2:$D$1453,"")),IF(_xlpm.v="","",IF(_xlpm.v&lt;1,_xlpm.v*100,_xlpm.v)))</f>
        <v>10</v>
      </c>
      <c r="E603" s="2">
        <f t="shared" si="9"/>
        <v>45.54</v>
      </c>
      <c r="F603" s="2" t="str" cm="1">
        <f t="array" ref="F603">IFERROR(_xlfn.XLOOKUP(A603,Sheet2!$A$2:$A$1453,Sheet2!$F$2:$F$1453),_xlfn.XLOOKUP(A603,TEXT(Sheet2!$A$2:$A$1453,"0"),Sheet2!$F$2:$F$1453,""))</f>
        <v>26-7-2026</v>
      </c>
      <c r="G603" s="2" t="str" cm="1">
        <f t="array" ref="G603">IFERROR(_xlfn.XLOOKUP(A603,Sheet2!$A$2:$A$1453,Sheet2!$G$2:$G$1453),_xlfn.XLOOKUP(A603,TEXT(Sheet2!$A$2:$A$1453,"0"),Sheet2!$G$2:$G$1453,""))</f>
        <v>5-10-2026</v>
      </c>
    </row>
    <row r="604" spans="1:7" x14ac:dyDescent="0.2">
      <c r="A604" s="1">
        <v>20715010527</v>
      </c>
      <c r="B604" t="str" cm="1">
        <f t="array" ref="B604">IFERROR(_xlfn.XLOOKUP(A604,Sheet2!$A$2:$A$1453,Sheet2!$B$2:$B$1453),_xlfn.XLOOKUP(A604,TEXT(Sheet2!$A$2:$A$1453,"0"),Sheet2!$B$2:$B$1453,""))</f>
        <v>VIDALAC MILK NO 3 400 GM</v>
      </c>
      <c r="C604" s="2">
        <v>50.6</v>
      </c>
      <c r="D604" s="2" cm="1">
        <f t="array" ref="D604">_xlfn.LET(_xlpm.v,IFERROR(_xlfn.XLOOKUP(A604,Sheet2!$A$2:$A$1453,Sheet2!$D$2:$D$1453),_xlfn.XLOOKUP(A604,TEXT(Sheet2!$A$2:$A$1453,"0"),Sheet2!$D$2:$D$1453,"")),IF(_xlpm.v="","",IF(_xlpm.v&lt;1,_xlpm.v*100,_xlpm.v)))</f>
        <v>10</v>
      </c>
      <c r="E604" s="2">
        <f t="shared" si="9"/>
        <v>45.54</v>
      </c>
      <c r="F604" s="2" t="str" cm="1">
        <f t="array" ref="F604">IFERROR(_xlfn.XLOOKUP(A604,Sheet2!$A$2:$A$1453,Sheet2!$F$2:$F$1453),_xlfn.XLOOKUP(A604,TEXT(Sheet2!$A$2:$A$1453,"0"),Sheet2!$F$2:$F$1453,""))</f>
        <v>26-7-2026</v>
      </c>
      <c r="G604" s="2" t="str" cm="1">
        <f t="array" ref="G604">IFERROR(_xlfn.XLOOKUP(A604,Sheet2!$A$2:$A$1453,Sheet2!$G$2:$G$1453),_xlfn.XLOOKUP(A604,TEXT(Sheet2!$A$2:$A$1453,"0"),Sheet2!$G$2:$G$1453,""))</f>
        <v>5-10-2026</v>
      </c>
    </row>
    <row r="605" spans="1:7" x14ac:dyDescent="0.2">
      <c r="A605" s="1">
        <v>20715010526</v>
      </c>
      <c r="B605" t="str" cm="1">
        <f t="array" ref="B605">IFERROR(_xlfn.XLOOKUP(A605,Sheet2!$A$2:$A$1453,Sheet2!$B$2:$B$1453),_xlfn.XLOOKUP(A605,TEXT(Sheet2!$A$2:$A$1453,"0"),Sheet2!$B$2:$B$1453,""))</f>
        <v>VIDALAC MILK NO 2 400 GM</v>
      </c>
      <c r="C605" s="2">
        <v>50.6</v>
      </c>
      <c r="D605" s="2" cm="1">
        <f t="array" ref="D605">_xlfn.LET(_xlpm.v,IFERROR(_xlfn.XLOOKUP(A605,Sheet2!$A$2:$A$1453,Sheet2!$D$2:$D$1453),_xlfn.XLOOKUP(A605,TEXT(Sheet2!$A$2:$A$1453,"0"),Sheet2!$D$2:$D$1453,"")),IF(_xlpm.v="","",IF(_xlpm.v&lt;1,_xlpm.v*100,_xlpm.v)))</f>
        <v>10</v>
      </c>
      <c r="E605" s="2">
        <f t="shared" si="9"/>
        <v>45.54</v>
      </c>
      <c r="F605" s="2" t="str" cm="1">
        <f t="array" ref="F605">IFERROR(_xlfn.XLOOKUP(A605,Sheet2!$A$2:$A$1453,Sheet2!$F$2:$F$1453),_xlfn.XLOOKUP(A605,TEXT(Sheet2!$A$2:$A$1453,"0"),Sheet2!$F$2:$F$1453,""))</f>
        <v>26-7-2026</v>
      </c>
      <c r="G605" s="2" t="str" cm="1">
        <f t="array" ref="G605">IFERROR(_xlfn.XLOOKUP(A605,Sheet2!$A$2:$A$1453,Sheet2!$G$2:$G$1453),_xlfn.XLOOKUP(A605,TEXT(Sheet2!$A$2:$A$1453,"0"),Sheet2!$G$2:$G$1453,""))</f>
        <v>5-10-2026</v>
      </c>
    </row>
    <row r="606" spans="1:7" x14ac:dyDescent="0.2">
      <c r="A606" s="1">
        <v>20615010078</v>
      </c>
      <c r="B606" t="str" cm="1">
        <f t="array" ref="B606">IFERROR(_xlfn.XLOOKUP(A606,Sheet2!$A$2:$A$1453,Sheet2!$B$2:$B$1453),_xlfn.XLOOKUP(A606,TEXT(Sheet2!$A$2:$A$1453,"0"),Sheet2!$B$2:$B$1453,""))</f>
        <v>BAMBI L NO-4 3X62</v>
      </c>
      <c r="C606" s="2">
        <v>84.86</v>
      </c>
      <c r="D606" s="2" cm="1">
        <f t="array" ref="D606">_xlfn.LET(_xlpm.v,IFERROR(_xlfn.XLOOKUP(A606,Sheet2!$A$2:$A$1453,Sheet2!$D$2:$D$1453),_xlfn.XLOOKUP(A606,TEXT(Sheet2!$A$2:$A$1453,"0"),Sheet2!$D$2:$D$1453,"")),IF(_xlpm.v="","",IF(_xlpm.v&lt;1,_xlpm.v*100,_xlpm.v)))</f>
        <v>15</v>
      </c>
      <c r="E606" s="2">
        <f t="shared" si="9"/>
        <v>72.131</v>
      </c>
      <c r="F606" s="2" t="str" cm="1">
        <f t="array" ref="F606">IFERROR(_xlfn.XLOOKUP(A606,Sheet2!$A$2:$A$1453,Sheet2!$F$2:$F$1453),_xlfn.XLOOKUP(A606,TEXT(Sheet2!$A$2:$A$1453,"0"),Sheet2!$F$2:$F$1453,""))</f>
        <v>26-7-2026</v>
      </c>
      <c r="G606" s="2" t="str" cm="1">
        <f t="array" ref="G606">IFERROR(_xlfn.XLOOKUP(A606,Sheet2!$A$2:$A$1453,Sheet2!$G$2:$G$1453),_xlfn.XLOOKUP(A606,TEXT(Sheet2!$A$2:$A$1453,"0"),Sheet2!$G$2:$G$1453,""))</f>
        <v>5-10-2026</v>
      </c>
    </row>
    <row r="607" spans="1:7" x14ac:dyDescent="0.2">
      <c r="A607" s="1">
        <v>20615010089</v>
      </c>
      <c r="B607" t="str" cm="1">
        <f t="array" ref="B607">IFERROR(_xlfn.XLOOKUP(A607,Sheet2!$A$2:$A$1453,Sheet2!$B$2:$B$1453),_xlfn.XLOOKUP(A607,TEXT(Sheet2!$A$2:$A$1453,"0"),Sheet2!$B$2:$B$1453,""))</f>
        <v>BAMBI S NO-3 6X15</v>
      </c>
      <c r="C607" s="2">
        <v>14.75</v>
      </c>
      <c r="D607" s="2" cm="1">
        <f t="array" ref="D607">_xlfn.LET(_xlpm.v,IFERROR(_xlfn.XLOOKUP(A607,Sheet2!$A$2:$A$1453,Sheet2!$D$2:$D$1453),_xlfn.XLOOKUP(A607,TEXT(Sheet2!$A$2:$A$1453,"0"),Sheet2!$D$2:$D$1453,"")),IF(_xlpm.v="","",IF(_xlpm.v&lt;1,_xlpm.v*100,_xlpm.v)))</f>
        <v>15</v>
      </c>
      <c r="E607" s="2">
        <f t="shared" si="9"/>
        <v>12.5375</v>
      </c>
      <c r="F607" s="2" t="str" cm="1">
        <f t="array" ref="F607">IFERROR(_xlfn.XLOOKUP(A607,Sheet2!$A$2:$A$1453,Sheet2!$F$2:$F$1453),_xlfn.XLOOKUP(A607,TEXT(Sheet2!$A$2:$A$1453,"0"),Sheet2!$F$2:$F$1453,""))</f>
        <v>26-7-2026</v>
      </c>
      <c r="G607" s="2" t="str" cm="1">
        <f t="array" ref="G607">IFERROR(_xlfn.XLOOKUP(A607,Sheet2!$A$2:$A$1453,Sheet2!$G$2:$G$1453),_xlfn.XLOOKUP(A607,TEXT(Sheet2!$A$2:$A$1453,"0"),Sheet2!$G$2:$G$1453,""))</f>
        <v>5-10-2026</v>
      </c>
    </row>
    <row r="608" spans="1:7" x14ac:dyDescent="0.2">
      <c r="A608" s="1">
        <v>20615010090</v>
      </c>
      <c r="B608" t="str" cm="1">
        <f t="array" ref="B608">IFERROR(_xlfn.XLOOKUP(A608,Sheet2!$A$2:$A$1453,Sheet2!$B$2:$B$1453),_xlfn.XLOOKUP(A608,TEXT(Sheet2!$A$2:$A$1453,"0"),Sheet2!$B$2:$B$1453,""))</f>
        <v>BAMBI S NO-4 6X13</v>
      </c>
      <c r="C608" s="2">
        <v>14.75</v>
      </c>
      <c r="D608" s="2" cm="1">
        <f t="array" ref="D608">_xlfn.LET(_xlpm.v,IFERROR(_xlfn.XLOOKUP(A608,Sheet2!$A$2:$A$1453,Sheet2!$D$2:$D$1453),_xlfn.XLOOKUP(A608,TEXT(Sheet2!$A$2:$A$1453,"0"),Sheet2!$D$2:$D$1453,"")),IF(_xlpm.v="","",IF(_xlpm.v&lt;1,_xlpm.v*100,_xlpm.v)))</f>
        <v>15</v>
      </c>
      <c r="E608" s="2">
        <f t="shared" si="9"/>
        <v>12.5375</v>
      </c>
      <c r="F608" s="2" t="str" cm="1">
        <f t="array" ref="F608">IFERROR(_xlfn.XLOOKUP(A608,Sheet2!$A$2:$A$1453,Sheet2!$F$2:$F$1453),_xlfn.XLOOKUP(A608,TEXT(Sheet2!$A$2:$A$1453,"0"),Sheet2!$F$2:$F$1453,""))</f>
        <v>26-7-2026</v>
      </c>
      <c r="G608" s="2" t="str" cm="1">
        <f t="array" ref="G608">IFERROR(_xlfn.XLOOKUP(A608,Sheet2!$A$2:$A$1453,Sheet2!$G$2:$G$1453),_xlfn.XLOOKUP(A608,TEXT(Sheet2!$A$2:$A$1453,"0"),Sheet2!$G$2:$G$1453,""))</f>
        <v>5-10-2026</v>
      </c>
    </row>
    <row r="609" spans="1:7" x14ac:dyDescent="0.2">
      <c r="A609" s="1">
        <v>20615010190</v>
      </c>
      <c r="B609" t="str" cm="1">
        <f t="array" ref="B609">IFERROR(_xlfn.XLOOKUP(A609,Sheet2!$A$2:$A$1453,Sheet2!$B$2:$B$1453),_xlfn.XLOOKUP(A609,TEXT(Sheet2!$A$2:$A$1453,"0"),Sheet2!$B$2:$B$1453,""))</f>
        <v>BAMBI  MEGA NO-4 2X80</v>
      </c>
      <c r="C609" s="2">
        <v>108.68</v>
      </c>
      <c r="D609" s="2" cm="1">
        <f t="array" ref="D609">_xlfn.LET(_xlpm.v,IFERROR(_xlfn.XLOOKUP(A609,Sheet2!$A$2:$A$1453,Sheet2!$D$2:$D$1453),_xlfn.XLOOKUP(A609,TEXT(Sheet2!$A$2:$A$1453,"0"),Sheet2!$D$2:$D$1453,"")),IF(_xlpm.v="","",IF(_xlpm.v&lt;1,_xlpm.v*100,_xlpm.v)))</f>
        <v>15</v>
      </c>
      <c r="E609" s="2">
        <f t="shared" si="9"/>
        <v>92.378</v>
      </c>
      <c r="F609" s="2" t="str" cm="1">
        <f t="array" ref="F609">IFERROR(_xlfn.XLOOKUP(A609,Sheet2!$A$2:$A$1453,Sheet2!$F$2:$F$1453),_xlfn.XLOOKUP(A609,TEXT(Sheet2!$A$2:$A$1453,"0"),Sheet2!$F$2:$F$1453,""))</f>
        <v>26-7-2026</v>
      </c>
      <c r="G609" s="2" t="str" cm="1">
        <f t="array" ref="G609">IFERROR(_xlfn.XLOOKUP(A609,Sheet2!$A$2:$A$1453,Sheet2!$G$2:$G$1453),_xlfn.XLOOKUP(A609,TEXT(Sheet2!$A$2:$A$1453,"0"),Sheet2!$G$2:$G$1453,""))</f>
        <v>5-10-2026</v>
      </c>
    </row>
    <row r="610" spans="1:7" x14ac:dyDescent="0.2">
      <c r="A610" s="1">
        <v>20615010088</v>
      </c>
      <c r="B610" t="str" cm="1">
        <f t="array" ref="B610">IFERROR(_xlfn.XLOOKUP(A610,Sheet2!$A$2:$A$1453,Sheet2!$B$2:$B$1453),_xlfn.XLOOKUP(A610,TEXT(Sheet2!$A$2:$A$1453,"0"),Sheet2!$B$2:$B$1453,""))</f>
        <v>BAMBI S NO-2 4X19</v>
      </c>
      <c r="C610" s="2">
        <v>14.75</v>
      </c>
      <c r="D610" s="2" cm="1">
        <f t="array" ref="D610">_xlfn.LET(_xlpm.v,IFERROR(_xlfn.XLOOKUP(A610,Sheet2!$A$2:$A$1453,Sheet2!$D$2:$D$1453),_xlfn.XLOOKUP(A610,TEXT(Sheet2!$A$2:$A$1453,"0"),Sheet2!$D$2:$D$1453,"")),IF(_xlpm.v="","",IF(_xlpm.v&lt;1,_xlpm.v*100,_xlpm.v)))</f>
        <v>15</v>
      </c>
      <c r="E610" s="2">
        <f t="shared" si="9"/>
        <v>12.5375</v>
      </c>
      <c r="F610" s="2" t="str" cm="1">
        <f t="array" ref="F610">IFERROR(_xlfn.XLOOKUP(A610,Sheet2!$A$2:$A$1453,Sheet2!$F$2:$F$1453),_xlfn.XLOOKUP(A610,TEXT(Sheet2!$A$2:$A$1453,"0"),Sheet2!$F$2:$F$1453,""))</f>
        <v>26-7-2026</v>
      </c>
      <c r="G610" s="2" t="str" cm="1">
        <f t="array" ref="G610">IFERROR(_xlfn.XLOOKUP(A610,Sheet2!$A$2:$A$1453,Sheet2!$G$2:$G$1453),_xlfn.XLOOKUP(A610,TEXT(Sheet2!$A$2:$A$1453,"0"),Sheet2!$G$2:$G$1453,""))</f>
        <v>5-10-2026</v>
      </c>
    </row>
    <row r="611" spans="1:7" x14ac:dyDescent="0.2">
      <c r="A611" s="1">
        <v>20615010087</v>
      </c>
      <c r="B611" t="str" cm="1">
        <f t="array" ref="B611">IFERROR(_xlfn.XLOOKUP(A611,Sheet2!$A$2:$A$1453,Sheet2!$B$2:$B$1453),_xlfn.XLOOKUP(A611,TEXT(Sheet2!$A$2:$A$1453,"0"),Sheet2!$B$2:$B$1453,""))</f>
        <v>BAMBI NO-6 6X10</v>
      </c>
      <c r="C611" s="2">
        <v>14.89</v>
      </c>
      <c r="D611" s="2" cm="1">
        <f t="array" ref="D611">_xlfn.LET(_xlpm.v,IFERROR(_xlfn.XLOOKUP(A611,Sheet2!$A$2:$A$1453,Sheet2!$D$2:$D$1453),_xlfn.XLOOKUP(A611,TEXT(Sheet2!$A$2:$A$1453,"0"),Sheet2!$D$2:$D$1453,"")),IF(_xlpm.v="","",IF(_xlpm.v&lt;1,_xlpm.v*100,_xlpm.v)))</f>
        <v>15</v>
      </c>
      <c r="E611" s="2">
        <f t="shared" si="9"/>
        <v>12.656499999999999</v>
      </c>
      <c r="F611" s="2" t="str" cm="1">
        <f t="array" ref="F611">IFERROR(_xlfn.XLOOKUP(A611,Sheet2!$A$2:$A$1453,Sheet2!$F$2:$F$1453),_xlfn.XLOOKUP(A611,TEXT(Sheet2!$A$2:$A$1453,"0"),Sheet2!$F$2:$F$1453,""))</f>
        <v>26-7-2026</v>
      </c>
      <c r="G611" s="2" t="str" cm="1">
        <f t="array" ref="G611">IFERROR(_xlfn.XLOOKUP(A611,Sheet2!$A$2:$A$1453,Sheet2!$G$2:$G$1453),_xlfn.XLOOKUP(A611,TEXT(Sheet2!$A$2:$A$1453,"0"),Sheet2!$G$2:$G$1453,""))</f>
        <v>5-10-2026</v>
      </c>
    </row>
    <row r="612" spans="1:7" x14ac:dyDescent="0.2">
      <c r="A612" s="1">
        <v>20615010085</v>
      </c>
      <c r="B612" t="str" cm="1">
        <f t="array" ref="B612">IFERROR(_xlfn.XLOOKUP(A612,Sheet2!$A$2:$A$1453,Sheet2!$B$2:$B$1453),_xlfn.XLOOKUP(A612,TEXT(Sheet2!$A$2:$A$1453,"0"),Sheet2!$B$2:$B$1453,""))</f>
        <v>BAMBI NEW BORN 3X19</v>
      </c>
      <c r="C612" s="2">
        <v>14.49</v>
      </c>
      <c r="D612" s="2" cm="1">
        <f t="array" ref="D612">_xlfn.LET(_xlpm.v,IFERROR(_xlfn.XLOOKUP(A612,Sheet2!$A$2:$A$1453,Sheet2!$D$2:$D$1453),_xlfn.XLOOKUP(A612,TEXT(Sheet2!$A$2:$A$1453,"0"),Sheet2!$D$2:$D$1453,"")),IF(_xlpm.v="","",IF(_xlpm.v&lt;1,_xlpm.v*100,_xlpm.v)))</f>
        <v>15</v>
      </c>
      <c r="E612" s="2">
        <f t="shared" si="9"/>
        <v>12.3165</v>
      </c>
      <c r="F612" s="2" t="str" cm="1">
        <f t="array" ref="F612">IFERROR(_xlfn.XLOOKUP(A612,Sheet2!$A$2:$A$1453,Sheet2!$F$2:$F$1453),_xlfn.XLOOKUP(A612,TEXT(Sheet2!$A$2:$A$1453,"0"),Sheet2!$F$2:$F$1453,""))</f>
        <v>26-7-2026</v>
      </c>
      <c r="G612" s="2" t="str" cm="1">
        <f t="array" ref="G612">IFERROR(_xlfn.XLOOKUP(A612,Sheet2!$A$2:$A$1453,Sheet2!$G$2:$G$1453),_xlfn.XLOOKUP(A612,TEXT(Sheet2!$A$2:$A$1453,"0"),Sheet2!$G$2:$G$1453,""))</f>
        <v>5-10-2026</v>
      </c>
    </row>
    <row r="613" spans="1:7" x14ac:dyDescent="0.2">
      <c r="A613" s="1">
        <v>20615010186</v>
      </c>
      <c r="B613" t="str" cm="1">
        <f t="array" ref="B613">IFERROR(_xlfn.XLOOKUP(A613,Sheet2!$A$2:$A$1453,Sheet2!$B$2:$B$1453),_xlfn.XLOOKUP(A613,TEXT(Sheet2!$A$2:$A$1453,"0"),Sheet2!$B$2:$B$1453,""))</f>
        <v>BAMBI MEGA NO5 2X74</v>
      </c>
      <c r="C613" s="2">
        <v>108.68</v>
      </c>
      <c r="D613" s="2" cm="1">
        <f t="array" ref="D613">_xlfn.LET(_xlpm.v,IFERROR(_xlfn.XLOOKUP(A613,Sheet2!$A$2:$A$1453,Sheet2!$D$2:$D$1453),_xlfn.XLOOKUP(A613,TEXT(Sheet2!$A$2:$A$1453,"0"),Sheet2!$D$2:$D$1453,"")),IF(_xlpm.v="","",IF(_xlpm.v&lt;1,_xlpm.v*100,_xlpm.v)))</f>
        <v>15</v>
      </c>
      <c r="E613" s="2">
        <f t="shared" si="9"/>
        <v>92.378</v>
      </c>
      <c r="F613" s="2" t="str" cm="1">
        <f t="array" ref="F613">IFERROR(_xlfn.XLOOKUP(A613,Sheet2!$A$2:$A$1453,Sheet2!$F$2:$F$1453),_xlfn.XLOOKUP(A613,TEXT(Sheet2!$A$2:$A$1453,"0"),Sheet2!$F$2:$F$1453,""))</f>
        <v>26-7-2026</v>
      </c>
      <c r="G613" s="2" t="str" cm="1">
        <f t="array" ref="G613">IFERROR(_xlfn.XLOOKUP(A613,Sheet2!$A$2:$A$1453,Sheet2!$G$2:$G$1453),_xlfn.XLOOKUP(A613,TEXT(Sheet2!$A$2:$A$1453,"0"),Sheet2!$G$2:$G$1453,""))</f>
        <v>5-10-2026</v>
      </c>
    </row>
    <row r="614" spans="1:7" x14ac:dyDescent="0.2">
      <c r="A614" s="1">
        <v>20715010200</v>
      </c>
      <c r="B614" t="str" cm="1">
        <f t="array" ref="B614">IFERROR(_xlfn.XLOOKUP(A614,Sheet2!$A$2:$A$1453,Sheet2!$B$2:$B$1453),_xlfn.XLOOKUP(A614,TEXT(Sheet2!$A$2:$A$1453,"0"),Sheet2!$B$2:$B$1453,""))</f>
        <v>SUPRAMIL (3) 400G</v>
      </c>
      <c r="C614" s="2">
        <v>46</v>
      </c>
      <c r="D614" s="2" cm="1">
        <f t="array" ref="D614">_xlfn.LET(_xlpm.v,IFERROR(_xlfn.XLOOKUP(A614,Sheet2!$A$2:$A$1453,Sheet2!$D$2:$D$1453),_xlfn.XLOOKUP(A614,TEXT(Sheet2!$A$2:$A$1453,"0"),Sheet2!$D$2:$D$1453,"")),IF(_xlpm.v="","",IF(_xlpm.v&lt;1,_xlpm.v*100,_xlpm.v)))</f>
        <v>25</v>
      </c>
      <c r="E614" s="2">
        <f t="shared" si="9"/>
        <v>34.5</v>
      </c>
      <c r="F614" s="2" t="str" cm="1">
        <f t="array" ref="F614">IFERROR(_xlfn.XLOOKUP(A614,Sheet2!$A$2:$A$1453,Sheet2!$F$2:$F$1453),_xlfn.XLOOKUP(A614,TEXT(Sheet2!$A$2:$A$1453,"0"),Sheet2!$F$2:$F$1453,""))</f>
        <v>26-7-2026</v>
      </c>
      <c r="G614" s="2" t="str" cm="1">
        <f t="array" ref="G614">IFERROR(_xlfn.XLOOKUP(A614,Sheet2!$A$2:$A$1453,Sheet2!$G$2:$G$1453),_xlfn.XLOOKUP(A614,TEXT(Sheet2!$A$2:$A$1453,"0"),Sheet2!$G$2:$G$1453,""))</f>
        <v>5-10-2026</v>
      </c>
    </row>
    <row r="615" spans="1:7" x14ac:dyDescent="0.2">
      <c r="A615" s="1">
        <v>20715010501</v>
      </c>
      <c r="B615" t="str" cm="1">
        <f t="array" ref="B615">IFERROR(_xlfn.XLOOKUP(A615,Sheet2!$A$2:$A$1453,Sheet2!$B$2:$B$1453),_xlfn.XLOOKUP(A615,TEXT(Sheet2!$A$2:$A$1453,"0"),Sheet2!$B$2:$B$1453,""))</f>
        <v>ISILAC 3 400 GM</v>
      </c>
      <c r="C615" s="2">
        <v>49.5</v>
      </c>
      <c r="D615" s="2" cm="1">
        <f t="array" ref="D615">_xlfn.LET(_xlpm.v,IFERROR(_xlfn.XLOOKUP(A615,Sheet2!$A$2:$A$1453,Sheet2!$D$2:$D$1453),_xlfn.XLOOKUP(A615,TEXT(Sheet2!$A$2:$A$1453,"0"),Sheet2!$D$2:$D$1453,"")),IF(_xlpm.v="","",IF(_xlpm.v&lt;1,_xlpm.v*100,_xlpm.v)))</f>
        <v>10</v>
      </c>
      <c r="E615" s="2">
        <f t="shared" si="9"/>
        <v>44.550000000000004</v>
      </c>
      <c r="F615" s="2" t="str" cm="1">
        <f t="array" ref="F615">IFERROR(_xlfn.XLOOKUP(A615,Sheet2!$A$2:$A$1453,Sheet2!$F$2:$F$1453),_xlfn.XLOOKUP(A615,TEXT(Sheet2!$A$2:$A$1453,"0"),Sheet2!$F$2:$F$1453,""))</f>
        <v>26-7-2026</v>
      </c>
      <c r="G615" s="2" t="str" cm="1">
        <f t="array" ref="G615">IFERROR(_xlfn.XLOOKUP(A615,Sheet2!$A$2:$A$1453,Sheet2!$G$2:$G$1453),_xlfn.XLOOKUP(A615,TEXT(Sheet2!$A$2:$A$1453,"0"),Sheet2!$G$2:$G$1453,""))</f>
        <v>5-10-2026</v>
      </c>
    </row>
    <row r="616" spans="1:7" x14ac:dyDescent="0.2">
      <c r="A616" s="1">
        <v>20715010500</v>
      </c>
      <c r="B616" t="str" cm="1">
        <f t="array" ref="B616">IFERROR(_xlfn.XLOOKUP(A616,Sheet2!$A$2:$A$1453,Sheet2!$B$2:$B$1453),_xlfn.XLOOKUP(A616,TEXT(Sheet2!$A$2:$A$1453,"0"),Sheet2!$B$2:$B$1453,""))</f>
        <v>ISILAC 2 400 GM</v>
      </c>
      <c r="C616" s="2">
        <v>49.94</v>
      </c>
      <c r="D616" s="2" cm="1">
        <f t="array" ref="D616">_xlfn.LET(_xlpm.v,IFERROR(_xlfn.XLOOKUP(A616,Sheet2!$A$2:$A$1453,Sheet2!$D$2:$D$1453),_xlfn.XLOOKUP(A616,TEXT(Sheet2!$A$2:$A$1453,"0"),Sheet2!$D$2:$D$1453,"")),IF(_xlpm.v="","",IF(_xlpm.v&lt;1,_xlpm.v*100,_xlpm.v)))</f>
        <v>10</v>
      </c>
      <c r="E616" s="2">
        <f t="shared" si="9"/>
        <v>44.945999999999998</v>
      </c>
      <c r="F616" s="2" t="str" cm="1">
        <f t="array" ref="F616">IFERROR(_xlfn.XLOOKUP(A616,Sheet2!$A$2:$A$1453,Sheet2!$F$2:$F$1453),_xlfn.XLOOKUP(A616,TEXT(Sheet2!$A$2:$A$1453,"0"),Sheet2!$F$2:$F$1453,""))</f>
        <v>26-7-2026</v>
      </c>
      <c r="G616" s="2" t="str" cm="1">
        <f t="array" ref="G616">IFERROR(_xlfn.XLOOKUP(A616,Sheet2!$A$2:$A$1453,Sheet2!$G$2:$G$1453),_xlfn.XLOOKUP(A616,TEXT(Sheet2!$A$2:$A$1453,"0"),Sheet2!$G$2:$G$1453,""))</f>
        <v>5-10-2026</v>
      </c>
    </row>
    <row r="617" spans="1:7" x14ac:dyDescent="0.2">
      <c r="A617" s="1">
        <v>20715010499</v>
      </c>
      <c r="B617" t="str" cm="1">
        <f t="array" ref="B617">IFERROR(_xlfn.XLOOKUP(A617,Sheet2!$A$2:$A$1453,Sheet2!$B$2:$B$1453),_xlfn.XLOOKUP(A617,TEXT(Sheet2!$A$2:$A$1453,"0"),Sheet2!$B$2:$B$1453,""))</f>
        <v>ISILAC 1 400 GM</v>
      </c>
      <c r="C617" s="2">
        <v>49.94</v>
      </c>
      <c r="D617" s="2" cm="1">
        <f t="array" ref="D617">_xlfn.LET(_xlpm.v,IFERROR(_xlfn.XLOOKUP(A617,Sheet2!$A$2:$A$1453,Sheet2!$D$2:$D$1453),_xlfn.XLOOKUP(A617,TEXT(Sheet2!$A$2:$A$1453,"0"),Sheet2!$D$2:$D$1453,"")),IF(_xlpm.v="","",IF(_xlpm.v&lt;1,_xlpm.v*100,_xlpm.v)))</f>
        <v>10</v>
      </c>
      <c r="E617" s="2">
        <f t="shared" si="9"/>
        <v>44.945999999999998</v>
      </c>
      <c r="F617" s="2" t="str" cm="1">
        <f t="array" ref="F617">IFERROR(_xlfn.XLOOKUP(A617,Sheet2!$A$2:$A$1453,Sheet2!$F$2:$F$1453),_xlfn.XLOOKUP(A617,TEXT(Sheet2!$A$2:$A$1453,"0"),Sheet2!$F$2:$F$1453,""))</f>
        <v>26-7-2026</v>
      </c>
      <c r="G617" s="2" t="str" cm="1">
        <f t="array" ref="G617">IFERROR(_xlfn.XLOOKUP(A617,Sheet2!$A$2:$A$1453,Sheet2!$G$2:$G$1453),_xlfn.XLOOKUP(A617,TEXT(Sheet2!$A$2:$A$1453,"0"),Sheet2!$G$2:$G$1453,""))</f>
        <v>5-10-2026</v>
      </c>
    </row>
    <row r="618" spans="1:7" x14ac:dyDescent="0.2">
      <c r="A618" s="1">
        <v>20615010425</v>
      </c>
      <c r="B618" t="str" cm="1">
        <f t="array" ref="B618">IFERROR(_xlfn.XLOOKUP(A618,Sheet2!$A$2:$A$1453,Sheet2!$B$2:$B$1453),_xlfn.XLOOKUP(A618,TEXT(Sheet2!$A$2:$A$1453,"0"),Sheet2!$B$2:$B$1453,""))</f>
        <v>TEEMO MEGA NO-6 3X40</v>
      </c>
      <c r="C618" s="2">
        <v>41.4</v>
      </c>
      <c r="D618" s="2" cm="1">
        <f t="array" ref="D618">_xlfn.LET(_xlpm.v,IFERROR(_xlfn.XLOOKUP(A618,Sheet2!$A$2:$A$1453,Sheet2!$D$2:$D$1453),_xlfn.XLOOKUP(A618,TEXT(Sheet2!$A$2:$A$1453,"0"),Sheet2!$D$2:$D$1453,"")),IF(_xlpm.v="","",IF(_xlpm.v&lt;1,_xlpm.v*100,_xlpm.v)))</f>
        <v>12.5</v>
      </c>
      <c r="E618" s="2">
        <f t="shared" si="9"/>
        <v>36.225000000000001</v>
      </c>
      <c r="F618" s="2" t="str" cm="1">
        <f t="array" ref="F618">IFERROR(_xlfn.XLOOKUP(A618,Sheet2!$A$2:$A$1453,Sheet2!$F$2:$F$1453),_xlfn.XLOOKUP(A618,TEXT(Sheet2!$A$2:$A$1453,"0"),Sheet2!$F$2:$F$1453,""))</f>
        <v>26-7-2026</v>
      </c>
      <c r="G618" s="2" t="str" cm="1">
        <f t="array" ref="G618">IFERROR(_xlfn.XLOOKUP(A618,Sheet2!$A$2:$A$1453,Sheet2!$G$2:$G$1453),_xlfn.XLOOKUP(A618,TEXT(Sheet2!$A$2:$A$1453,"0"),Sheet2!$G$2:$G$1453,""))</f>
        <v>5-10-2026</v>
      </c>
    </row>
    <row r="619" spans="1:7" x14ac:dyDescent="0.2">
      <c r="A619" s="1">
        <v>20615010424</v>
      </c>
      <c r="B619" t="str" cm="1">
        <f t="array" ref="B619">IFERROR(_xlfn.XLOOKUP(A619,Sheet2!$A$2:$A$1453,Sheet2!$B$2:$B$1453),_xlfn.XLOOKUP(A619,TEXT(Sheet2!$A$2:$A$1453,"0"),Sheet2!$B$2:$B$1453,""))</f>
        <v>TEEMO MEGA NO-5 3X48</v>
      </c>
      <c r="C619" s="2">
        <v>41.4</v>
      </c>
      <c r="D619" s="2" cm="1">
        <f t="array" ref="D619">_xlfn.LET(_xlpm.v,IFERROR(_xlfn.XLOOKUP(A619,Sheet2!$A$2:$A$1453,Sheet2!$D$2:$D$1453),_xlfn.XLOOKUP(A619,TEXT(Sheet2!$A$2:$A$1453,"0"),Sheet2!$D$2:$D$1453,"")),IF(_xlpm.v="","",IF(_xlpm.v&lt;1,_xlpm.v*100,_xlpm.v)))</f>
        <v>12.5</v>
      </c>
      <c r="E619" s="2">
        <f t="shared" si="9"/>
        <v>36.225000000000001</v>
      </c>
      <c r="F619" s="2" t="str" cm="1">
        <f t="array" ref="F619">IFERROR(_xlfn.XLOOKUP(A619,Sheet2!$A$2:$A$1453,Sheet2!$F$2:$F$1453),_xlfn.XLOOKUP(A619,TEXT(Sheet2!$A$2:$A$1453,"0"),Sheet2!$F$2:$F$1453,""))</f>
        <v>26-7-2026</v>
      </c>
      <c r="G619" s="2" t="str" cm="1">
        <f t="array" ref="G619">IFERROR(_xlfn.XLOOKUP(A619,Sheet2!$A$2:$A$1453,Sheet2!$G$2:$G$1453),_xlfn.XLOOKUP(A619,TEXT(Sheet2!$A$2:$A$1453,"0"),Sheet2!$G$2:$G$1453,""))</f>
        <v>5-10-2026</v>
      </c>
    </row>
    <row r="620" spans="1:7" x14ac:dyDescent="0.2">
      <c r="A620" s="1">
        <v>20615010423</v>
      </c>
      <c r="B620" t="str" cm="1">
        <f t="array" ref="B620">IFERROR(_xlfn.XLOOKUP(A620,Sheet2!$A$2:$A$1453,Sheet2!$B$2:$B$1453),_xlfn.XLOOKUP(A620,TEXT(Sheet2!$A$2:$A$1453,"0"),Sheet2!$B$2:$B$1453,""))</f>
        <v>TEEMO MEGA NO-4 3X54</v>
      </c>
      <c r="C620" s="2">
        <v>41.4</v>
      </c>
      <c r="D620" s="2" cm="1">
        <f t="array" ref="D620">_xlfn.LET(_xlpm.v,IFERROR(_xlfn.XLOOKUP(A620,Sheet2!$A$2:$A$1453,Sheet2!$D$2:$D$1453),_xlfn.XLOOKUP(A620,TEXT(Sheet2!$A$2:$A$1453,"0"),Sheet2!$D$2:$D$1453,"")),IF(_xlpm.v="","",IF(_xlpm.v&lt;1,_xlpm.v*100,_xlpm.v)))</f>
        <v>12.5</v>
      </c>
      <c r="E620" s="2">
        <f t="shared" si="9"/>
        <v>36.225000000000001</v>
      </c>
      <c r="F620" s="2" t="str" cm="1">
        <f t="array" ref="F620">IFERROR(_xlfn.XLOOKUP(A620,Sheet2!$A$2:$A$1453,Sheet2!$F$2:$F$1453),_xlfn.XLOOKUP(A620,TEXT(Sheet2!$A$2:$A$1453,"0"),Sheet2!$F$2:$F$1453,""))</f>
        <v>26-7-2026</v>
      </c>
      <c r="G620" s="2" t="str" cm="1">
        <f t="array" ref="G620">IFERROR(_xlfn.XLOOKUP(A620,Sheet2!$A$2:$A$1453,Sheet2!$G$2:$G$1453),_xlfn.XLOOKUP(A620,TEXT(Sheet2!$A$2:$A$1453,"0"),Sheet2!$G$2:$G$1453,""))</f>
        <v>5-10-2026</v>
      </c>
    </row>
    <row r="621" spans="1:7" x14ac:dyDescent="0.2">
      <c r="A621" s="1">
        <v>20615010267</v>
      </c>
      <c r="B621" t="str" cm="1">
        <f t="array" ref="B621">IFERROR(_xlfn.XLOOKUP(A621,Sheet2!$A$2:$A$1453,Sheet2!$B$2:$B$1453),_xlfn.XLOOKUP(A621,TEXT(Sheet2!$A$2:$A$1453,"0"),Sheet2!$B$2:$B$1453,""))</f>
        <v> PAMPERS BOX JUMBO NO-4 1X96</v>
      </c>
      <c r="C621" s="2">
        <v>111.55</v>
      </c>
      <c r="D621" s="2" cm="1">
        <f t="array" ref="D621">_xlfn.LET(_xlpm.v,IFERROR(_xlfn.XLOOKUP(A621,Sheet2!$A$2:$A$1453,Sheet2!$D$2:$D$1453),_xlfn.XLOOKUP(A621,TEXT(Sheet2!$A$2:$A$1453,"0"),Sheet2!$D$2:$D$1453,"")),IF(_xlpm.v="","",IF(_xlpm.v&lt;1,_xlpm.v*100,_xlpm.v)))</f>
        <v>12.5</v>
      </c>
      <c r="E621" s="2">
        <f t="shared" si="9"/>
        <v>97.606250000000003</v>
      </c>
      <c r="F621" s="2" t="str" cm="1">
        <f t="array" ref="F621">IFERROR(_xlfn.XLOOKUP(A621,Sheet2!$A$2:$A$1453,Sheet2!$F$2:$F$1453),_xlfn.XLOOKUP(A621,TEXT(Sheet2!$A$2:$A$1453,"0"),Sheet2!$F$2:$F$1453,""))</f>
        <v>26-7-2026</v>
      </c>
      <c r="G621" s="2" t="str" cm="1">
        <f t="array" ref="G621">IFERROR(_xlfn.XLOOKUP(A621,Sheet2!$A$2:$A$1453,Sheet2!$G$2:$G$1453),_xlfn.XLOOKUP(A621,TEXT(Sheet2!$A$2:$A$1453,"0"),Sheet2!$G$2:$G$1453,""))</f>
        <v>5-10-2026</v>
      </c>
    </row>
    <row r="622" spans="1:7" x14ac:dyDescent="0.2">
      <c r="A622" s="1">
        <v>20615010269</v>
      </c>
      <c r="B622" t="str" cm="1">
        <f t="array" ref="B622">IFERROR(_xlfn.XLOOKUP(A622,Sheet2!$A$2:$A$1453,Sheet2!$B$2:$B$1453),_xlfn.XLOOKUP(A622,TEXT(Sheet2!$A$2:$A$1453,"0"),Sheet2!$B$2:$B$1453,""))</f>
        <v> PAMPERS BOX JUMBO NO-6 1X58</v>
      </c>
      <c r="C622" s="2">
        <v>111.55</v>
      </c>
      <c r="D622" s="2" cm="1">
        <f t="array" ref="D622">_xlfn.LET(_xlpm.v,IFERROR(_xlfn.XLOOKUP(A622,Sheet2!$A$2:$A$1453,Sheet2!$D$2:$D$1453),_xlfn.XLOOKUP(A622,TEXT(Sheet2!$A$2:$A$1453,"0"),Sheet2!$D$2:$D$1453,"")),IF(_xlpm.v="","",IF(_xlpm.v&lt;1,_xlpm.v*100,_xlpm.v)))</f>
        <v>12.5</v>
      </c>
      <c r="E622" s="2">
        <f t="shared" si="9"/>
        <v>97.606250000000003</v>
      </c>
      <c r="F622" s="2" t="str" cm="1">
        <f t="array" ref="F622">IFERROR(_xlfn.XLOOKUP(A622,Sheet2!$A$2:$A$1453,Sheet2!$F$2:$F$1453),_xlfn.XLOOKUP(A622,TEXT(Sheet2!$A$2:$A$1453,"0"),Sheet2!$F$2:$F$1453,""))</f>
        <v>26-7-2026</v>
      </c>
      <c r="G622" s="2" t="str" cm="1">
        <f t="array" ref="G622">IFERROR(_xlfn.XLOOKUP(A622,Sheet2!$A$2:$A$1453,Sheet2!$G$2:$G$1453),_xlfn.XLOOKUP(A622,TEXT(Sheet2!$A$2:$A$1453,"0"),Sheet2!$G$2:$G$1453,""))</f>
        <v>5-10-2026</v>
      </c>
    </row>
    <row r="623" spans="1:7" x14ac:dyDescent="0.2">
      <c r="A623" s="1">
        <v>20615010175</v>
      </c>
      <c r="B623" t="str" cm="1">
        <f t="array" ref="B623">IFERROR(_xlfn.XLOOKUP(A623,Sheet2!$A$2:$A$1453,Sheet2!$B$2:$B$1453),_xlfn.XLOOKUP(A623,TEXT(Sheet2!$A$2:$A$1453,"0"),Sheet2!$B$2:$B$1453,""))</f>
        <v>PAMPERS NO-3 2X84</v>
      </c>
      <c r="C623" s="2">
        <v>87.4</v>
      </c>
      <c r="D623" s="2" cm="1">
        <f t="array" ref="D623">_xlfn.LET(_xlpm.v,IFERROR(_xlfn.XLOOKUP(A623,Sheet2!$A$2:$A$1453,Sheet2!$D$2:$D$1453),_xlfn.XLOOKUP(A623,TEXT(Sheet2!$A$2:$A$1453,"0"),Sheet2!$D$2:$D$1453,"")),IF(_xlpm.v="","",IF(_xlpm.v&lt;1,_xlpm.v*100,_xlpm.v)))</f>
        <v>12.5</v>
      </c>
      <c r="E623" s="2">
        <f t="shared" si="9"/>
        <v>76.475000000000009</v>
      </c>
      <c r="F623" s="2" t="str" cm="1">
        <f t="array" ref="F623">IFERROR(_xlfn.XLOOKUP(A623,Sheet2!$A$2:$A$1453,Sheet2!$F$2:$F$1453),_xlfn.XLOOKUP(A623,TEXT(Sheet2!$A$2:$A$1453,"0"),Sheet2!$F$2:$F$1453,""))</f>
        <v>26-7-2026</v>
      </c>
      <c r="G623" s="2" t="str" cm="1">
        <f t="array" ref="G623">IFERROR(_xlfn.XLOOKUP(A623,Sheet2!$A$2:$A$1453,Sheet2!$G$2:$G$1453),_xlfn.XLOOKUP(A623,TEXT(Sheet2!$A$2:$A$1453,"0"),Sheet2!$G$2:$G$1453,""))</f>
        <v>5-10-2026</v>
      </c>
    </row>
    <row r="624" spans="1:7" x14ac:dyDescent="0.2">
      <c r="A624" s="1">
        <v>20615010110</v>
      </c>
      <c r="B624" t="str" cm="1">
        <f t="array" ref="B624">IFERROR(_xlfn.XLOOKUP(A624,Sheet2!$A$2:$A$1453,Sheet2!$B$2:$B$1453),_xlfn.XLOOKUP(A624,TEXT(Sheet2!$A$2:$A$1453,"0"),Sheet2!$B$2:$B$1453,""))</f>
        <v xml:space="preserve">pampers mega no 4 2*76           </v>
      </c>
      <c r="C624" s="2">
        <v>87.4</v>
      </c>
      <c r="D624" s="2" cm="1">
        <f t="array" ref="D624">_xlfn.LET(_xlpm.v,IFERROR(_xlfn.XLOOKUP(A624,Sheet2!$A$2:$A$1453,Sheet2!$D$2:$D$1453),_xlfn.XLOOKUP(A624,TEXT(Sheet2!$A$2:$A$1453,"0"),Sheet2!$D$2:$D$1453,"")),IF(_xlpm.v="","",IF(_xlpm.v&lt;1,_xlpm.v*100,_xlpm.v)))</f>
        <v>12.5</v>
      </c>
      <c r="E624" s="2">
        <f t="shared" si="9"/>
        <v>76.475000000000009</v>
      </c>
      <c r="F624" s="2" t="str" cm="1">
        <f t="array" ref="F624">IFERROR(_xlfn.XLOOKUP(A624,Sheet2!$A$2:$A$1453,Sheet2!$F$2:$F$1453),_xlfn.XLOOKUP(A624,TEXT(Sheet2!$A$2:$A$1453,"0"),Sheet2!$F$2:$F$1453,""))</f>
        <v>26-7-2026</v>
      </c>
      <c r="G624" s="2" t="str" cm="1">
        <f t="array" ref="G624">IFERROR(_xlfn.XLOOKUP(A624,Sheet2!$A$2:$A$1453,Sheet2!$G$2:$G$1453),_xlfn.XLOOKUP(A624,TEXT(Sheet2!$A$2:$A$1453,"0"),Sheet2!$G$2:$G$1453,""))</f>
        <v>5-10-2026</v>
      </c>
    </row>
    <row r="625" spans="1:7" x14ac:dyDescent="0.2">
      <c r="A625" s="1">
        <v>20615010173</v>
      </c>
      <c r="B625" t="str" cm="1">
        <f t="array" ref="B625">IFERROR(_xlfn.XLOOKUP(A625,Sheet2!$A$2:$A$1453,Sheet2!$B$2:$B$1453),_xlfn.XLOOKUP(A625,TEXT(Sheet2!$A$2:$A$1453,"0"),Sheet2!$B$2:$B$1453,""))</f>
        <v>pampers mega no 5 2*70</v>
      </c>
      <c r="C625" s="2">
        <v>87.4</v>
      </c>
      <c r="D625" s="2" cm="1">
        <f t="array" ref="D625">_xlfn.LET(_xlpm.v,IFERROR(_xlfn.XLOOKUP(A625,Sheet2!$A$2:$A$1453,Sheet2!$D$2:$D$1453),_xlfn.XLOOKUP(A625,TEXT(Sheet2!$A$2:$A$1453,"0"),Sheet2!$D$2:$D$1453,"")),IF(_xlpm.v="","",IF(_xlpm.v&lt;1,_xlpm.v*100,_xlpm.v)))</f>
        <v>12.5</v>
      </c>
      <c r="E625" s="2">
        <f t="shared" si="9"/>
        <v>76.475000000000009</v>
      </c>
      <c r="F625" s="2" t="str" cm="1">
        <f t="array" ref="F625">IFERROR(_xlfn.XLOOKUP(A625,Sheet2!$A$2:$A$1453,Sheet2!$F$2:$F$1453),_xlfn.XLOOKUP(A625,TEXT(Sheet2!$A$2:$A$1453,"0"),Sheet2!$F$2:$F$1453,""))</f>
        <v>26-7-2026</v>
      </c>
      <c r="G625" s="2" t="str" cm="1">
        <f t="array" ref="G625">IFERROR(_xlfn.XLOOKUP(A625,Sheet2!$A$2:$A$1453,Sheet2!$G$2:$G$1453),_xlfn.XLOOKUP(A625,TEXT(Sheet2!$A$2:$A$1453,"0"),Sheet2!$G$2:$G$1453,""))</f>
        <v>5-10-2026</v>
      </c>
    </row>
    <row r="626" spans="1:7" x14ac:dyDescent="0.2">
      <c r="A626" s="1">
        <v>20615010119</v>
      </c>
      <c r="B626" t="str" cm="1">
        <f t="array" ref="B626">IFERROR(_xlfn.XLOOKUP(A626,Sheet2!$A$2:$A$1453,Sheet2!$B$2:$B$1453),_xlfn.XLOOKUP(A626,TEXT(Sheet2!$A$2:$A$1453,"0"),Sheet2!$B$2:$B$1453,""))</f>
        <v>pampers mega no6 2*48</v>
      </c>
      <c r="C626" s="2">
        <v>87.4</v>
      </c>
      <c r="D626" s="2" cm="1">
        <f t="array" ref="D626">_xlfn.LET(_xlpm.v,IFERROR(_xlfn.XLOOKUP(A626,Sheet2!$A$2:$A$1453,Sheet2!$D$2:$D$1453),_xlfn.XLOOKUP(A626,TEXT(Sheet2!$A$2:$A$1453,"0"),Sheet2!$D$2:$D$1453,"")),IF(_xlpm.v="","",IF(_xlpm.v&lt;1,_xlpm.v*100,_xlpm.v)))</f>
        <v>12.5</v>
      </c>
      <c r="E626" s="2">
        <f t="shared" si="9"/>
        <v>76.475000000000009</v>
      </c>
      <c r="F626" s="2" t="str" cm="1">
        <f t="array" ref="F626">IFERROR(_xlfn.XLOOKUP(A626,Sheet2!$A$2:$A$1453,Sheet2!$F$2:$F$1453),_xlfn.XLOOKUP(A626,TEXT(Sheet2!$A$2:$A$1453,"0"),Sheet2!$F$2:$F$1453,""))</f>
        <v>26-7-2026</v>
      </c>
      <c r="G626" s="2" t="str" cm="1">
        <f t="array" ref="G626">IFERROR(_xlfn.XLOOKUP(A626,Sheet2!$A$2:$A$1453,Sheet2!$G$2:$G$1453),_xlfn.XLOOKUP(A626,TEXT(Sheet2!$A$2:$A$1453,"0"),Sheet2!$G$2:$G$1453,""))</f>
        <v>5-10-2026</v>
      </c>
    </row>
    <row r="627" spans="1:7" x14ac:dyDescent="0.2">
      <c r="A627" s="1" t="s">
        <v>66</v>
      </c>
      <c r="B627" t="str" cm="1">
        <f t="array" ref="B627">IFERROR(_xlfn.XLOOKUP(A627,Sheet2!$A$2:$A$1453,Sheet2!$B$2:$B$1453),_xlfn.XLOOKUP(A627,TEXT(Sheet2!$A$2:$A$1453,"0"),Sheet2!$B$2:$B$1453,""))</f>
        <v>BIODERMA SENSIBIO H2O Liquid /1ML, 500ML/Container</v>
      </c>
      <c r="C627" s="2">
        <v>136.85</v>
      </c>
      <c r="D627" s="2" cm="1">
        <f t="array" ref="D627">_xlfn.LET(_xlpm.v,IFERROR(_xlfn.XLOOKUP(A627,Sheet2!$A$2:$A$1453,Sheet2!$D$2:$D$1453),_xlfn.XLOOKUP(A627,TEXT(Sheet2!$A$2:$A$1453,"0"),Sheet2!$D$2:$D$1453,"")),IF(_xlpm.v="","",IF(_xlpm.v&lt;1,_xlpm.v*100,_xlpm.v)))</f>
        <v>50</v>
      </c>
      <c r="E627" s="2">
        <f t="shared" si="9"/>
        <v>68.424999999999997</v>
      </c>
      <c r="F627" s="2" t="str" cm="1">
        <f t="array" ref="F627">IFERROR(_xlfn.XLOOKUP(A627,Sheet2!$A$2:$A$1453,Sheet2!$F$2:$F$1453),_xlfn.XLOOKUP(A627,TEXT(Sheet2!$A$2:$A$1453,"0"),Sheet2!$F$2:$F$1453,""))</f>
        <v>26-7-2026</v>
      </c>
      <c r="G627" s="2" t="str" cm="1">
        <f t="array" ref="G627">IFERROR(_xlfn.XLOOKUP(A627,Sheet2!$A$2:$A$1453,Sheet2!$G$2:$G$1453),_xlfn.XLOOKUP(A627,TEXT(Sheet2!$A$2:$A$1453,"0"),Sheet2!$G$2:$G$1453,""))</f>
        <v>5-10-2026</v>
      </c>
    </row>
    <row r="628" spans="1:7" x14ac:dyDescent="0.2">
      <c r="A628" s="1" t="s">
        <v>67</v>
      </c>
      <c r="B628" t="str" cm="1">
        <f t="array" ref="B628">IFERROR(_xlfn.XLOOKUP(A628,Sheet2!$A$2:$A$1453,Sheet2!$B$2:$B$1453),_xlfn.XLOOKUP(A628,TEXT(Sheet2!$A$2:$A$1453,"0"),Sheet2!$B$2:$B$1453,""))</f>
        <v>BIODERMA SEBIUM HYDRA Cream /1APPLY, 40ML/Tube</v>
      </c>
      <c r="C628" s="2">
        <v>119.6</v>
      </c>
      <c r="D628" s="2" cm="1">
        <f t="array" ref="D628">_xlfn.LET(_xlpm.v,IFERROR(_xlfn.XLOOKUP(A628,Sheet2!$A$2:$A$1453,Sheet2!$D$2:$D$1453),_xlfn.XLOOKUP(A628,TEXT(Sheet2!$A$2:$A$1453,"0"),Sheet2!$D$2:$D$1453,"")),IF(_xlpm.v="","",IF(_xlpm.v&lt;1,_xlpm.v*100,_xlpm.v)))</f>
        <v>50</v>
      </c>
      <c r="E628" s="2">
        <f t="shared" si="9"/>
        <v>59.8</v>
      </c>
      <c r="F628" s="2" t="str" cm="1">
        <f t="array" ref="F628">IFERROR(_xlfn.XLOOKUP(A628,Sheet2!$A$2:$A$1453,Sheet2!$F$2:$F$1453),_xlfn.XLOOKUP(A628,TEXT(Sheet2!$A$2:$A$1453,"0"),Sheet2!$F$2:$F$1453,""))</f>
        <v>26-7-2026</v>
      </c>
      <c r="G628" s="2" t="str" cm="1">
        <f t="array" ref="G628">IFERROR(_xlfn.XLOOKUP(A628,Sheet2!$A$2:$A$1453,Sheet2!$G$2:$G$1453),_xlfn.XLOOKUP(A628,TEXT(Sheet2!$A$2:$A$1453,"0"),Sheet2!$G$2:$G$1453,""))</f>
        <v>5-10-2026</v>
      </c>
    </row>
    <row r="629" spans="1:7" x14ac:dyDescent="0.2">
      <c r="A629" s="1">
        <v>20715010544</v>
      </c>
      <c r="B629" t="str" cm="1">
        <f t="array" ref="B629">IFERROR(_xlfn.XLOOKUP(A629,Sheet2!$A$2:$A$1453,Sheet2!$B$2:$B$1453),_xlfn.XLOOKUP(A629,TEXT(Sheet2!$A$2:$A$1453,"0"),Sheet2!$B$2:$B$1453,""))</f>
        <v>TEBRAMIL ADVANCED NO 3 400 GM</v>
      </c>
      <c r="C629" s="2">
        <v>51.75</v>
      </c>
      <c r="D629" s="2" cm="1">
        <f t="array" ref="D629">_xlfn.LET(_xlpm.v,IFERROR(_xlfn.XLOOKUP(A629,Sheet2!$A$2:$A$1453,Sheet2!$D$2:$D$1453),_xlfn.XLOOKUP(A629,TEXT(Sheet2!$A$2:$A$1453,"0"),Sheet2!$D$2:$D$1453,"")),IF(_xlpm.v="","",IF(_xlpm.v&lt;1,_xlpm.v*100,_xlpm.v)))</f>
        <v>10</v>
      </c>
      <c r="E629" s="2">
        <f t="shared" si="9"/>
        <v>46.575000000000003</v>
      </c>
      <c r="F629" s="2" t="str" cm="1">
        <f t="array" ref="F629">IFERROR(_xlfn.XLOOKUP(A629,Sheet2!$A$2:$A$1453,Sheet2!$F$2:$F$1453),_xlfn.XLOOKUP(A629,TEXT(Sheet2!$A$2:$A$1453,"0"),Sheet2!$F$2:$F$1453,""))</f>
        <v>26-7-2026</v>
      </c>
      <c r="G629" s="2" t="str" cm="1">
        <f t="array" ref="G629">IFERROR(_xlfn.XLOOKUP(A629,Sheet2!$A$2:$A$1453,Sheet2!$G$2:$G$1453),_xlfn.XLOOKUP(A629,TEXT(Sheet2!$A$2:$A$1453,"0"),Sheet2!$G$2:$G$1453,""))</f>
        <v>5-10-2026</v>
      </c>
    </row>
    <row r="630" spans="1:7" x14ac:dyDescent="0.2">
      <c r="A630" s="1">
        <v>20715010543</v>
      </c>
      <c r="B630" t="str" cm="1">
        <f t="array" ref="B630">IFERROR(_xlfn.XLOOKUP(A630,Sheet2!$A$2:$A$1453,Sheet2!$B$2:$B$1453),_xlfn.XLOOKUP(A630,TEXT(Sheet2!$A$2:$A$1453,"0"),Sheet2!$B$2:$B$1453,""))</f>
        <v>TEBRAMIL ADVANCED NO 2 400 GM</v>
      </c>
      <c r="C630" s="2">
        <v>51.75</v>
      </c>
      <c r="D630" s="2" cm="1">
        <f t="array" ref="D630">_xlfn.LET(_xlpm.v,IFERROR(_xlfn.XLOOKUP(A630,Sheet2!$A$2:$A$1453,Sheet2!$D$2:$D$1453),_xlfn.XLOOKUP(A630,TEXT(Sheet2!$A$2:$A$1453,"0"),Sheet2!$D$2:$D$1453,"")),IF(_xlpm.v="","",IF(_xlpm.v&lt;1,_xlpm.v*100,_xlpm.v)))</f>
        <v>10</v>
      </c>
      <c r="E630" s="2">
        <f t="shared" si="9"/>
        <v>46.575000000000003</v>
      </c>
      <c r="F630" s="2" t="str" cm="1">
        <f t="array" ref="F630">IFERROR(_xlfn.XLOOKUP(A630,Sheet2!$A$2:$A$1453,Sheet2!$F$2:$F$1453),_xlfn.XLOOKUP(A630,TEXT(Sheet2!$A$2:$A$1453,"0"),Sheet2!$F$2:$F$1453,""))</f>
        <v>26-7-2026</v>
      </c>
      <c r="G630" s="2" t="str" cm="1">
        <f t="array" ref="G630">IFERROR(_xlfn.XLOOKUP(A630,Sheet2!$A$2:$A$1453,Sheet2!$G$2:$G$1453),_xlfn.XLOOKUP(A630,TEXT(Sheet2!$A$2:$A$1453,"0"),Sheet2!$G$2:$G$1453,""))</f>
        <v>5-10-2026</v>
      </c>
    </row>
    <row r="631" spans="1:7" x14ac:dyDescent="0.2">
      <c r="A631" s="1">
        <v>20715010542</v>
      </c>
      <c r="B631" t="str" cm="1">
        <f t="array" ref="B631">IFERROR(_xlfn.XLOOKUP(A631,Sheet2!$A$2:$A$1453,Sheet2!$B$2:$B$1453),_xlfn.XLOOKUP(A631,TEXT(Sheet2!$A$2:$A$1453,"0"),Sheet2!$B$2:$B$1453,""))</f>
        <v>TEBRAMIL ADVANCED NO 1 400 GM</v>
      </c>
      <c r="C631" s="2">
        <v>51.75</v>
      </c>
      <c r="D631" s="2" cm="1">
        <f t="array" ref="D631">_xlfn.LET(_xlpm.v,IFERROR(_xlfn.XLOOKUP(A631,Sheet2!$A$2:$A$1453,Sheet2!$D$2:$D$1453),_xlfn.XLOOKUP(A631,TEXT(Sheet2!$A$2:$A$1453,"0"),Sheet2!$D$2:$D$1453,"")),IF(_xlpm.v="","",IF(_xlpm.v&lt;1,_xlpm.v*100,_xlpm.v)))</f>
        <v>10</v>
      </c>
      <c r="E631" s="2">
        <f t="shared" si="9"/>
        <v>46.575000000000003</v>
      </c>
      <c r="F631" s="2" t="str" cm="1">
        <f t="array" ref="F631">IFERROR(_xlfn.XLOOKUP(A631,Sheet2!$A$2:$A$1453,Sheet2!$F$2:$F$1453),_xlfn.XLOOKUP(A631,TEXT(Sheet2!$A$2:$A$1453,"0"),Sheet2!$F$2:$F$1453,""))</f>
        <v>26-7-2026</v>
      </c>
      <c r="G631" s="2" t="str" cm="1">
        <f t="array" ref="G631">IFERROR(_xlfn.XLOOKUP(A631,Sheet2!$A$2:$A$1453,Sheet2!$G$2:$G$1453),_xlfn.XLOOKUP(A631,TEXT(Sheet2!$A$2:$A$1453,"0"),Sheet2!$G$2:$G$1453,""))</f>
        <v>5-10-2026</v>
      </c>
    </row>
    <row r="632" spans="1:7" x14ac:dyDescent="0.2">
      <c r="A632" s="1">
        <v>20715010456</v>
      </c>
      <c r="B632" t="str" cm="1">
        <f t="array" ref="B632">IFERROR(_xlfn.XLOOKUP(A632,Sheet2!$A$2:$A$1453,Sheet2!$B$2:$B$1453),_xlfn.XLOOKUP(A632,TEXT(Sheet2!$A$2:$A$1453,"0"),Sheet2!$B$2:$B$1453,""))</f>
        <v>SIMILAC GOLD 1 1600G</v>
      </c>
      <c r="C632" s="2">
        <v>216.94</v>
      </c>
      <c r="D632" s="2" cm="1">
        <f t="array" ref="D632">_xlfn.LET(_xlpm.v,IFERROR(_xlfn.XLOOKUP(A632,Sheet2!$A$2:$A$1453,Sheet2!$D$2:$D$1453),_xlfn.XLOOKUP(A632,TEXT(Sheet2!$A$2:$A$1453,"0"),Sheet2!$D$2:$D$1453,"")),IF(_xlpm.v="","",IF(_xlpm.v&lt;1,_xlpm.v*100,_xlpm.v)))</f>
        <v>10</v>
      </c>
      <c r="E632" s="2">
        <f t="shared" si="9"/>
        <v>195.24600000000001</v>
      </c>
      <c r="F632" s="2" t="str" cm="1">
        <f t="array" ref="F632">IFERROR(_xlfn.XLOOKUP(A632,Sheet2!$A$2:$A$1453,Sheet2!$F$2:$F$1453),_xlfn.XLOOKUP(A632,TEXT(Sheet2!$A$2:$A$1453,"0"),Sheet2!$F$2:$F$1453,""))</f>
        <v>26-7-2026</v>
      </c>
      <c r="G632" s="2" t="str" cm="1">
        <f t="array" ref="G632">IFERROR(_xlfn.XLOOKUP(A632,Sheet2!$A$2:$A$1453,Sheet2!$G$2:$G$1453),_xlfn.XLOOKUP(A632,TEXT(Sheet2!$A$2:$A$1453,"0"),Sheet2!$G$2:$G$1453,""))</f>
        <v>5-10-2026</v>
      </c>
    </row>
    <row r="633" spans="1:7" x14ac:dyDescent="0.2">
      <c r="A633" s="1">
        <v>20715010265</v>
      </c>
      <c r="B633" t="str" cm="1">
        <f t="array" ref="B633">IFERROR(_xlfn.XLOOKUP(A633,Sheet2!$A$2:$A$1453,Sheet2!$B$2:$B$1453),_xlfn.XLOOKUP(A633,TEXT(Sheet2!$A$2:$A$1453,"0"),Sheet2!$B$2:$B$1453,""))</f>
        <v>BLEMIL PLUS ( 3 ) 1200</v>
      </c>
      <c r="C633" s="2">
        <v>148.35</v>
      </c>
      <c r="D633" s="2" cm="1">
        <f t="array" ref="D633">_xlfn.LET(_xlpm.v,IFERROR(_xlfn.XLOOKUP(A633,Sheet2!$A$2:$A$1453,Sheet2!$D$2:$D$1453),_xlfn.XLOOKUP(A633,TEXT(Sheet2!$A$2:$A$1453,"0"),Sheet2!$D$2:$D$1453,"")),IF(_xlpm.v="","",IF(_xlpm.v&lt;1,_xlpm.v*100,_xlpm.v)))</f>
        <v>10</v>
      </c>
      <c r="E633" s="2">
        <f t="shared" si="9"/>
        <v>133.51499999999999</v>
      </c>
      <c r="F633" s="2" t="str" cm="1">
        <f t="array" ref="F633">IFERROR(_xlfn.XLOOKUP(A633,Sheet2!$A$2:$A$1453,Sheet2!$F$2:$F$1453),_xlfn.XLOOKUP(A633,TEXT(Sheet2!$A$2:$A$1453,"0"),Sheet2!$F$2:$F$1453,""))</f>
        <v>26-7-2026</v>
      </c>
      <c r="G633" s="2" t="str" cm="1">
        <f t="array" ref="G633">IFERROR(_xlfn.XLOOKUP(A633,Sheet2!$A$2:$A$1453,Sheet2!$G$2:$G$1453),_xlfn.XLOOKUP(A633,TEXT(Sheet2!$A$2:$A$1453,"0"),Sheet2!$G$2:$G$1453,""))</f>
        <v>5-10-2026</v>
      </c>
    </row>
    <row r="634" spans="1:7" x14ac:dyDescent="0.2">
      <c r="A634" s="1">
        <v>20715010448</v>
      </c>
      <c r="B634" t="str" cm="1">
        <f t="array" ref="B634">IFERROR(_xlfn.XLOOKUP(A634,Sheet2!$A$2:$A$1453,Sheet2!$B$2:$B$1453),_xlfn.XLOOKUP(A634,TEXT(Sheet2!$A$2:$A$1453,"0"),Sheet2!$B$2:$B$1453,""))</f>
        <v>BIOMIL 3- 800G</v>
      </c>
      <c r="C634" s="2">
        <v>89.7</v>
      </c>
      <c r="D634" s="2" cm="1">
        <f t="array" ref="D634">_xlfn.LET(_xlpm.v,IFERROR(_xlfn.XLOOKUP(A634,Sheet2!$A$2:$A$1453,Sheet2!$D$2:$D$1453),_xlfn.XLOOKUP(A634,TEXT(Sheet2!$A$2:$A$1453,"0"),Sheet2!$D$2:$D$1453,"")),IF(_xlpm.v="","",IF(_xlpm.v&lt;1,_xlpm.v*100,_xlpm.v)))</f>
        <v>10</v>
      </c>
      <c r="E634" s="2">
        <f t="shared" si="9"/>
        <v>80.73</v>
      </c>
      <c r="F634" s="2" t="str" cm="1">
        <f t="array" ref="F634">IFERROR(_xlfn.XLOOKUP(A634,Sheet2!$A$2:$A$1453,Sheet2!$F$2:$F$1453),_xlfn.XLOOKUP(A634,TEXT(Sheet2!$A$2:$A$1453,"0"),Sheet2!$F$2:$F$1453,""))</f>
        <v>26-7-2026</v>
      </c>
      <c r="G634" s="2" t="str" cm="1">
        <f t="array" ref="G634">IFERROR(_xlfn.XLOOKUP(A634,Sheet2!$A$2:$A$1453,Sheet2!$G$2:$G$1453),_xlfn.XLOOKUP(A634,TEXT(Sheet2!$A$2:$A$1453,"0"),Sheet2!$G$2:$G$1453,""))</f>
        <v>5-10-2026</v>
      </c>
    </row>
    <row r="635" spans="1:7" x14ac:dyDescent="0.2">
      <c r="A635" s="1">
        <v>20715010447</v>
      </c>
      <c r="B635" t="str" cm="1">
        <f t="array" ref="B635">IFERROR(_xlfn.XLOOKUP(A635,Sheet2!$A$2:$A$1453,Sheet2!$B$2:$B$1453),_xlfn.XLOOKUP(A635,TEXT(Sheet2!$A$2:$A$1453,"0"),Sheet2!$B$2:$B$1453,""))</f>
        <v>BIOMIL 2- 800G</v>
      </c>
      <c r="C635" s="2">
        <v>89.7</v>
      </c>
      <c r="D635" s="2" cm="1">
        <f t="array" ref="D635">_xlfn.LET(_xlpm.v,IFERROR(_xlfn.XLOOKUP(A635,Sheet2!$A$2:$A$1453,Sheet2!$D$2:$D$1453),_xlfn.XLOOKUP(A635,TEXT(Sheet2!$A$2:$A$1453,"0"),Sheet2!$D$2:$D$1453,"")),IF(_xlpm.v="","",IF(_xlpm.v&lt;1,_xlpm.v*100,_xlpm.v)))</f>
        <v>10</v>
      </c>
      <c r="E635" s="2">
        <f t="shared" si="9"/>
        <v>80.73</v>
      </c>
      <c r="F635" s="2" t="str" cm="1">
        <f t="array" ref="F635">IFERROR(_xlfn.XLOOKUP(A635,Sheet2!$A$2:$A$1453,Sheet2!$F$2:$F$1453),_xlfn.XLOOKUP(A635,TEXT(Sheet2!$A$2:$A$1453,"0"),Sheet2!$F$2:$F$1453,""))</f>
        <v>26-7-2026</v>
      </c>
      <c r="G635" s="2" t="str" cm="1">
        <f t="array" ref="G635">IFERROR(_xlfn.XLOOKUP(A635,Sheet2!$A$2:$A$1453,Sheet2!$G$2:$G$1453),_xlfn.XLOOKUP(A635,TEXT(Sheet2!$A$2:$A$1453,"0"),Sheet2!$G$2:$G$1453,""))</f>
        <v>5-10-2026</v>
      </c>
    </row>
    <row r="636" spans="1:7" x14ac:dyDescent="0.2">
      <c r="A636" s="1">
        <v>20715010446</v>
      </c>
      <c r="B636" t="str" cm="1">
        <f t="array" ref="B636">IFERROR(_xlfn.XLOOKUP(A636,Sheet2!$A$2:$A$1453,Sheet2!$B$2:$B$1453),_xlfn.XLOOKUP(A636,TEXT(Sheet2!$A$2:$A$1453,"0"),Sheet2!$B$2:$B$1453,""))</f>
        <v>BIOMIL1- 800G</v>
      </c>
      <c r="C636" s="2">
        <v>89.7</v>
      </c>
      <c r="D636" s="2" cm="1">
        <f t="array" ref="D636">_xlfn.LET(_xlpm.v,IFERROR(_xlfn.XLOOKUP(A636,Sheet2!$A$2:$A$1453,Sheet2!$D$2:$D$1453),_xlfn.XLOOKUP(A636,TEXT(Sheet2!$A$2:$A$1453,"0"),Sheet2!$D$2:$D$1453,"")),IF(_xlpm.v="","",IF(_xlpm.v&lt;1,_xlpm.v*100,_xlpm.v)))</f>
        <v>10</v>
      </c>
      <c r="E636" s="2">
        <f t="shared" si="9"/>
        <v>80.73</v>
      </c>
      <c r="F636" s="2" t="str" cm="1">
        <f t="array" ref="F636">IFERROR(_xlfn.XLOOKUP(A636,Sheet2!$A$2:$A$1453,Sheet2!$F$2:$F$1453),_xlfn.XLOOKUP(A636,TEXT(Sheet2!$A$2:$A$1453,"0"),Sheet2!$F$2:$F$1453,""))</f>
        <v>26-7-2026</v>
      </c>
      <c r="G636" s="2" t="str" cm="1">
        <f t="array" ref="G636">IFERROR(_xlfn.XLOOKUP(A636,Sheet2!$A$2:$A$1453,Sheet2!$G$2:$G$1453),_xlfn.XLOOKUP(A636,TEXT(Sheet2!$A$2:$A$1453,"0"),Sheet2!$G$2:$G$1453,""))</f>
        <v>5-10-2026</v>
      </c>
    </row>
    <row r="637" spans="1:7" x14ac:dyDescent="0.2">
      <c r="A637" s="1">
        <v>20715010538</v>
      </c>
      <c r="B637" t="str" cm="1">
        <f t="array" ref="B637">IFERROR(_xlfn.XLOOKUP(A637,Sheet2!$A$2:$A$1453,Sheet2!$B$2:$B$1453),_xlfn.XLOOKUP(A637,TEXT(Sheet2!$A$2:$A$1453,"0"),Sheet2!$B$2:$B$1453,""))</f>
        <v>APTAMIL NO 3 800G</v>
      </c>
      <c r="C637" s="2">
        <v>105.74</v>
      </c>
      <c r="D637" s="2" cm="1">
        <f t="array" ref="D637">_xlfn.LET(_xlpm.v,IFERROR(_xlfn.XLOOKUP(A637,Sheet2!$A$2:$A$1453,Sheet2!$D$2:$D$1453),_xlfn.XLOOKUP(A637,TEXT(Sheet2!$A$2:$A$1453,"0"),Sheet2!$D$2:$D$1453,"")),IF(_xlpm.v="","",IF(_xlpm.v&lt;1,_xlpm.v*100,_xlpm.v)))</f>
        <v>7.5</v>
      </c>
      <c r="E637" s="2">
        <f t="shared" si="9"/>
        <v>97.8095</v>
      </c>
      <c r="F637" s="2" t="str" cm="1">
        <f t="array" ref="F637">IFERROR(_xlfn.XLOOKUP(A637,Sheet2!$A$2:$A$1453,Sheet2!$F$2:$F$1453),_xlfn.XLOOKUP(A637,TEXT(Sheet2!$A$2:$A$1453,"0"),Sheet2!$F$2:$F$1453,""))</f>
        <v>26-7-2026</v>
      </c>
      <c r="G637" s="2" t="str" cm="1">
        <f t="array" ref="G637">IFERROR(_xlfn.XLOOKUP(A637,Sheet2!$A$2:$A$1453,Sheet2!$G$2:$G$1453),_xlfn.XLOOKUP(A637,TEXT(Sheet2!$A$2:$A$1453,"0"),Sheet2!$G$2:$G$1453,""))</f>
        <v>5-10-2026</v>
      </c>
    </row>
    <row r="638" spans="1:7" x14ac:dyDescent="0.2">
      <c r="A638" s="1">
        <v>20715010294</v>
      </c>
      <c r="B638" t="str" cm="1">
        <f t="array" ref="B638">IFERROR(_xlfn.XLOOKUP(A638,Sheet2!$A$2:$A$1453,Sheet2!$B$2:$B$1453),_xlfn.XLOOKUP(A638,TEXT(Sheet2!$A$2:$A$1453,"0"),Sheet2!$B$2:$B$1453,""))</f>
        <v>APTAMIL NO1 800G</v>
      </c>
      <c r="C638" s="2">
        <v>112.7</v>
      </c>
      <c r="D638" s="2" cm="1">
        <f t="array" ref="D638">_xlfn.LET(_xlpm.v,IFERROR(_xlfn.XLOOKUP(A638,Sheet2!$A$2:$A$1453,Sheet2!$D$2:$D$1453),_xlfn.XLOOKUP(A638,TEXT(Sheet2!$A$2:$A$1453,"0"),Sheet2!$D$2:$D$1453,"")),IF(_xlpm.v="","",IF(_xlpm.v&lt;1,_xlpm.v*100,_xlpm.v)))</f>
        <v>7.5</v>
      </c>
      <c r="E638" s="2">
        <f t="shared" si="9"/>
        <v>104.2475</v>
      </c>
      <c r="F638" s="2" t="str" cm="1">
        <f t="array" ref="F638">IFERROR(_xlfn.XLOOKUP(A638,Sheet2!$A$2:$A$1453,Sheet2!$F$2:$F$1453),_xlfn.XLOOKUP(A638,TEXT(Sheet2!$A$2:$A$1453,"0"),Sheet2!$F$2:$F$1453,""))</f>
        <v>26-7-2026</v>
      </c>
      <c r="G638" s="2" t="str" cm="1">
        <f t="array" ref="G638">IFERROR(_xlfn.XLOOKUP(A638,Sheet2!$A$2:$A$1453,Sheet2!$G$2:$G$1453),_xlfn.XLOOKUP(A638,TEXT(Sheet2!$A$2:$A$1453,"0"),Sheet2!$G$2:$G$1453,""))</f>
        <v>5-10-2026</v>
      </c>
    </row>
    <row r="639" spans="1:7" x14ac:dyDescent="0.2">
      <c r="A639" s="1">
        <v>20615010147</v>
      </c>
      <c r="B639" t="str" cm="1">
        <f t="array" ref="B639">IFERROR(_xlfn.XLOOKUP(A639,Sheet2!$A$2:$A$1453,Sheet2!$B$2:$B$1453),_xlfn.XLOOKUP(A639,TEXT(Sheet2!$A$2:$A$1453,"0"),Sheet2!$B$2:$B$1453,""))</f>
        <v>BABY JOY 4+ 3X70</v>
      </c>
      <c r="C639" s="2">
        <v>89.99</v>
      </c>
      <c r="D639" s="2" cm="1">
        <f t="array" ref="D639">_xlfn.LET(_xlpm.v,IFERROR(_xlfn.XLOOKUP(A639,Sheet2!$A$2:$A$1453,Sheet2!$D$2:$D$1453),_xlfn.XLOOKUP(A639,TEXT(Sheet2!$A$2:$A$1453,"0"),Sheet2!$D$2:$D$1453,"")),IF(_xlpm.v="","",IF(_xlpm.v&lt;1,_xlpm.v*100,_xlpm.v)))</f>
        <v>11</v>
      </c>
      <c r="E639" s="2">
        <f t="shared" si="9"/>
        <v>80.091099999999997</v>
      </c>
      <c r="F639" s="2" t="str" cm="1">
        <f t="array" ref="F639">IFERROR(_xlfn.XLOOKUP(A639,Sheet2!$A$2:$A$1453,Sheet2!$F$2:$F$1453),_xlfn.XLOOKUP(A639,TEXT(Sheet2!$A$2:$A$1453,"0"),Sheet2!$F$2:$F$1453,""))</f>
        <v>26-7-2026</v>
      </c>
      <c r="G639" s="2" t="str" cm="1">
        <f t="array" ref="G639">IFERROR(_xlfn.XLOOKUP(A639,Sheet2!$A$2:$A$1453,Sheet2!$G$2:$G$1453),_xlfn.XLOOKUP(A639,TEXT(Sheet2!$A$2:$A$1453,"0"),Sheet2!$G$2:$G$1453,""))</f>
        <v>5-10-2026</v>
      </c>
    </row>
    <row r="640" spans="1:7" x14ac:dyDescent="0.2">
      <c r="A640" s="1">
        <v>20615010146</v>
      </c>
      <c r="B640" t="str" cm="1">
        <f t="array" ref="B640">IFERROR(_xlfn.XLOOKUP(A640,Sheet2!$A$2:$A$1453,Sheet2!$B$2:$B$1453),_xlfn.XLOOKUP(A640,TEXT(Sheet2!$A$2:$A$1453,"0"),Sheet2!$B$2:$B$1453,""))</f>
        <v>BABY JOY NO 5 3*66</v>
      </c>
      <c r="C640" s="2">
        <v>89.99</v>
      </c>
      <c r="D640" s="2" cm="1">
        <f t="array" ref="D640">_xlfn.LET(_xlpm.v,IFERROR(_xlfn.XLOOKUP(A640,Sheet2!$A$2:$A$1453,Sheet2!$D$2:$D$1453),_xlfn.XLOOKUP(A640,TEXT(Sheet2!$A$2:$A$1453,"0"),Sheet2!$D$2:$D$1453,"")),IF(_xlpm.v="","",IF(_xlpm.v&lt;1,_xlpm.v*100,_xlpm.v)))</f>
        <v>11</v>
      </c>
      <c r="E640" s="2">
        <f t="shared" si="9"/>
        <v>80.091099999999997</v>
      </c>
      <c r="F640" s="2" t="str" cm="1">
        <f t="array" ref="F640">IFERROR(_xlfn.XLOOKUP(A640,Sheet2!$A$2:$A$1453,Sheet2!$F$2:$F$1453),_xlfn.XLOOKUP(A640,TEXT(Sheet2!$A$2:$A$1453,"0"),Sheet2!$F$2:$F$1453,""))</f>
        <v>26-7-2026</v>
      </c>
      <c r="G640" s="2" t="str" cm="1">
        <f t="array" ref="G640">IFERROR(_xlfn.XLOOKUP(A640,Sheet2!$A$2:$A$1453,Sheet2!$G$2:$G$1453),_xlfn.XLOOKUP(A640,TEXT(Sheet2!$A$2:$A$1453,"0"),Sheet2!$G$2:$G$1453,""))</f>
        <v>5-10-2026</v>
      </c>
    </row>
    <row r="641" spans="1:7" x14ac:dyDescent="0.2">
      <c r="A641" s="1">
        <v>20615010016</v>
      </c>
      <c r="B641" t="str" cm="1">
        <f t="array" ref="B641">IFERROR(_xlfn.XLOOKUP(A641,Sheet2!$A$2:$A$1453,Sheet2!$B$2:$B$1453),_xlfn.XLOOKUP(A641,TEXT(Sheet2!$A$2:$A$1453,"0"),Sheet2!$B$2:$B$1453,""))</f>
        <v>BABY JOY NO.6 3*46</v>
      </c>
      <c r="C641" s="2">
        <v>89.99</v>
      </c>
      <c r="D641" s="2" cm="1">
        <f t="array" ref="D641">_xlfn.LET(_xlpm.v,IFERROR(_xlfn.XLOOKUP(A641,Sheet2!$A$2:$A$1453,Sheet2!$D$2:$D$1453),_xlfn.XLOOKUP(A641,TEXT(Sheet2!$A$2:$A$1453,"0"),Sheet2!$D$2:$D$1453,"")),IF(_xlpm.v="","",IF(_xlpm.v&lt;1,_xlpm.v*100,_xlpm.v)))</f>
        <v>11</v>
      </c>
      <c r="E641" s="2">
        <f t="shared" si="9"/>
        <v>80.091099999999997</v>
      </c>
      <c r="F641" s="2" t="str" cm="1">
        <f t="array" ref="F641">IFERROR(_xlfn.XLOOKUP(A641,Sheet2!$A$2:$A$1453,Sheet2!$F$2:$F$1453),_xlfn.XLOOKUP(A641,TEXT(Sheet2!$A$2:$A$1453,"0"),Sheet2!$F$2:$F$1453,""))</f>
        <v>26-7-2026</v>
      </c>
      <c r="G641" s="2" t="str" cm="1">
        <f t="array" ref="G641">IFERROR(_xlfn.XLOOKUP(A641,Sheet2!$A$2:$A$1453,Sheet2!$G$2:$G$1453),_xlfn.XLOOKUP(A641,TEXT(Sheet2!$A$2:$A$1453,"0"),Sheet2!$G$2:$G$1453,""))</f>
        <v>5-10-2026</v>
      </c>
    </row>
    <row r="642" spans="1:7" x14ac:dyDescent="0.2">
      <c r="A642" s="1">
        <v>20615010003</v>
      </c>
      <c r="B642" t="str" cm="1">
        <f t="array" ref="B642">IFERROR(_xlfn.XLOOKUP(A642,Sheet2!$A$2:$A$1453,Sheet2!$B$2:$B$1453),_xlfn.XLOOKUP(A642,TEXT(Sheet2!$A$2:$A$1453,"0"),Sheet2!$B$2:$B$1453,""))</f>
        <v>BABY JOY NO3 3*84</v>
      </c>
      <c r="C642" s="2">
        <v>89.99</v>
      </c>
      <c r="D642" s="2" cm="1">
        <f t="array" ref="D642">_xlfn.LET(_xlpm.v,IFERROR(_xlfn.XLOOKUP(A642,Sheet2!$A$2:$A$1453,Sheet2!$D$2:$D$1453),_xlfn.XLOOKUP(A642,TEXT(Sheet2!$A$2:$A$1453,"0"),Sheet2!$D$2:$D$1453,"")),IF(_xlpm.v="","",IF(_xlpm.v&lt;1,_xlpm.v*100,_xlpm.v)))</f>
        <v>11</v>
      </c>
      <c r="E642" s="2">
        <f t="shared" si="9"/>
        <v>80.091099999999997</v>
      </c>
      <c r="F642" s="2" t="str" cm="1">
        <f t="array" ref="F642">IFERROR(_xlfn.XLOOKUP(A642,Sheet2!$A$2:$A$1453,Sheet2!$F$2:$F$1453),_xlfn.XLOOKUP(A642,TEXT(Sheet2!$A$2:$A$1453,"0"),Sheet2!$F$2:$F$1453,""))</f>
        <v>26-7-2026</v>
      </c>
      <c r="G642" s="2" t="str" cm="1">
        <f t="array" ref="G642">IFERROR(_xlfn.XLOOKUP(A642,Sheet2!$A$2:$A$1453,Sheet2!$G$2:$G$1453),_xlfn.XLOOKUP(A642,TEXT(Sheet2!$A$2:$A$1453,"0"),Sheet2!$G$2:$G$1453,""))</f>
        <v>5-10-2026</v>
      </c>
    </row>
    <row r="643" spans="1:7" x14ac:dyDescent="0.2">
      <c r="A643" s="1">
        <v>20615010145</v>
      </c>
      <c r="B643" t="str" cm="1">
        <f t="array" ref="B643">IFERROR(_xlfn.XLOOKUP(A643,Sheet2!$A$2:$A$1453,Sheet2!$B$2:$B$1453),_xlfn.XLOOKUP(A643,TEXT(Sheet2!$A$2:$A$1453,"0"),Sheet2!$B$2:$B$1453,""))</f>
        <v>BABY JOY NO4 3*74</v>
      </c>
      <c r="C643" s="2">
        <v>89.99</v>
      </c>
      <c r="D643" s="2" cm="1">
        <f t="array" ref="D643">_xlfn.LET(_xlpm.v,IFERROR(_xlfn.XLOOKUP(A643,Sheet2!$A$2:$A$1453,Sheet2!$D$2:$D$1453),_xlfn.XLOOKUP(A643,TEXT(Sheet2!$A$2:$A$1453,"0"),Sheet2!$D$2:$D$1453,"")),IF(_xlpm.v="","",IF(_xlpm.v&lt;1,_xlpm.v*100,_xlpm.v)))</f>
        <v>11</v>
      </c>
      <c r="E643" s="2">
        <f t="shared" ref="E643:E697" si="10">IF(D643="","",C643*(1-D643/100))</f>
        <v>80.091099999999997</v>
      </c>
      <c r="F643" s="2" t="str" cm="1">
        <f t="array" ref="F643">IFERROR(_xlfn.XLOOKUP(A643,Sheet2!$A$2:$A$1453,Sheet2!$F$2:$F$1453),_xlfn.XLOOKUP(A643,TEXT(Sheet2!$A$2:$A$1453,"0"),Sheet2!$F$2:$F$1453,""))</f>
        <v>26-7-2026</v>
      </c>
      <c r="G643" s="2" t="str" cm="1">
        <f t="array" ref="G643">IFERROR(_xlfn.XLOOKUP(A643,Sheet2!$A$2:$A$1453,Sheet2!$G$2:$G$1453),_xlfn.XLOOKUP(A643,TEXT(Sheet2!$A$2:$A$1453,"0"),Sheet2!$G$2:$G$1453,""))</f>
        <v>5-10-2026</v>
      </c>
    </row>
    <row r="644" spans="1:7" x14ac:dyDescent="0.2">
      <c r="A644" s="1">
        <v>20715010035</v>
      </c>
      <c r="B644" t="str" cm="1">
        <f t="array" ref="B644">IFERROR(_xlfn.XLOOKUP(A644,Sheet2!$A$2:$A$1453,Sheet2!$B$2:$B$1453),_xlfn.XLOOKUP(A644,TEXT(Sheet2!$A$2:$A$1453,"0"),Sheet2!$B$2:$B$1453,""))</f>
        <v>BIOMIL 2- 400G</v>
      </c>
      <c r="C644" s="2">
        <v>44.85</v>
      </c>
      <c r="D644" s="2" cm="1">
        <f t="array" ref="D644">_xlfn.LET(_xlpm.v,IFERROR(_xlfn.XLOOKUP(A644,Sheet2!$A$2:$A$1453,Sheet2!$D$2:$D$1453),_xlfn.XLOOKUP(A644,TEXT(Sheet2!$A$2:$A$1453,"0"),Sheet2!$D$2:$D$1453,"")),IF(_xlpm.v="","",IF(_xlpm.v&lt;1,_xlpm.v*100,_xlpm.v)))</f>
        <v>7.5</v>
      </c>
      <c r="E644" s="2">
        <f t="shared" si="10"/>
        <v>41.486250000000005</v>
      </c>
      <c r="F644" s="2" t="str" cm="1">
        <f t="array" ref="F644">IFERROR(_xlfn.XLOOKUP(A644,Sheet2!$A$2:$A$1453,Sheet2!$F$2:$F$1453),_xlfn.XLOOKUP(A644,TEXT(Sheet2!$A$2:$A$1453,"0"),Sheet2!$F$2:$F$1453,""))</f>
        <v>26-7-2026</v>
      </c>
      <c r="G644" s="2" t="str" cm="1">
        <f t="array" ref="G644">IFERROR(_xlfn.XLOOKUP(A644,Sheet2!$A$2:$A$1453,Sheet2!$G$2:$G$1453),_xlfn.XLOOKUP(A644,TEXT(Sheet2!$A$2:$A$1453,"0"),Sheet2!$G$2:$G$1453,""))</f>
        <v>5-10-2026</v>
      </c>
    </row>
    <row r="645" spans="1:7" x14ac:dyDescent="0.2">
      <c r="A645" s="1">
        <v>20715010036</v>
      </c>
      <c r="B645" t="str" cm="1">
        <f t="array" ref="B645">IFERROR(_xlfn.XLOOKUP(A645,Sheet2!$A$2:$A$1453,Sheet2!$B$2:$B$1453),_xlfn.XLOOKUP(A645,TEXT(Sheet2!$A$2:$A$1453,"0"),Sheet2!$B$2:$B$1453,""))</f>
        <v>BIOMIL 3- 400G</v>
      </c>
      <c r="C645" s="2">
        <v>46</v>
      </c>
      <c r="D645" s="2" cm="1">
        <f t="array" ref="D645">_xlfn.LET(_xlpm.v,IFERROR(_xlfn.XLOOKUP(A645,Sheet2!$A$2:$A$1453,Sheet2!$D$2:$D$1453),_xlfn.XLOOKUP(A645,TEXT(Sheet2!$A$2:$A$1453,"0"),Sheet2!$D$2:$D$1453,"")),IF(_xlpm.v="","",IF(_xlpm.v&lt;1,_xlpm.v*100,_xlpm.v)))</f>
        <v>7.5</v>
      </c>
      <c r="E645" s="2">
        <f t="shared" si="10"/>
        <v>42.550000000000004</v>
      </c>
      <c r="F645" s="2" t="str" cm="1">
        <f t="array" ref="F645">IFERROR(_xlfn.XLOOKUP(A645,Sheet2!$A$2:$A$1453,Sheet2!$F$2:$F$1453),_xlfn.XLOOKUP(A645,TEXT(Sheet2!$A$2:$A$1453,"0"),Sheet2!$F$2:$F$1453,""))</f>
        <v>26-7-2026</v>
      </c>
      <c r="G645" s="2" t="str" cm="1">
        <f t="array" ref="G645">IFERROR(_xlfn.XLOOKUP(A645,Sheet2!$A$2:$A$1453,Sheet2!$G$2:$G$1453),_xlfn.XLOOKUP(A645,TEXT(Sheet2!$A$2:$A$1453,"0"),Sheet2!$G$2:$G$1453,""))</f>
        <v>5-10-2026</v>
      </c>
    </row>
    <row r="646" spans="1:7" x14ac:dyDescent="0.2">
      <c r="A646" s="1">
        <v>20715010034</v>
      </c>
      <c r="B646" t="str" cm="1">
        <f t="array" ref="B646">IFERROR(_xlfn.XLOOKUP(A646,Sheet2!$A$2:$A$1453,Sheet2!$B$2:$B$1453),_xlfn.XLOOKUP(A646,TEXT(Sheet2!$A$2:$A$1453,"0"),Sheet2!$B$2:$B$1453,""))</f>
        <v>BIOMIL1- 400G</v>
      </c>
      <c r="C646" s="2">
        <v>46</v>
      </c>
      <c r="D646" s="2" cm="1">
        <f t="array" ref="D646">_xlfn.LET(_xlpm.v,IFERROR(_xlfn.XLOOKUP(A646,Sheet2!$A$2:$A$1453,Sheet2!$D$2:$D$1453),_xlfn.XLOOKUP(A646,TEXT(Sheet2!$A$2:$A$1453,"0"),Sheet2!$D$2:$D$1453,"")),IF(_xlpm.v="","",IF(_xlpm.v&lt;1,_xlpm.v*100,_xlpm.v)))</f>
        <v>7.5</v>
      </c>
      <c r="E646" s="2">
        <f t="shared" si="10"/>
        <v>42.550000000000004</v>
      </c>
      <c r="F646" s="2" t="str" cm="1">
        <f t="array" ref="F646">IFERROR(_xlfn.XLOOKUP(A646,Sheet2!$A$2:$A$1453,Sheet2!$F$2:$F$1453),_xlfn.XLOOKUP(A646,TEXT(Sheet2!$A$2:$A$1453,"0"),Sheet2!$F$2:$F$1453,""))</f>
        <v>26-7-2026</v>
      </c>
      <c r="G646" s="2" t="str" cm="1">
        <f t="array" ref="G646">IFERROR(_xlfn.XLOOKUP(A646,Sheet2!$A$2:$A$1453,Sheet2!$G$2:$G$1453),_xlfn.XLOOKUP(A646,TEXT(Sheet2!$A$2:$A$1453,"0"),Sheet2!$G$2:$G$1453,""))</f>
        <v>5-10-2026</v>
      </c>
    </row>
    <row r="647" spans="1:7" x14ac:dyDescent="0.2">
      <c r="A647" s="1">
        <v>20715010039</v>
      </c>
      <c r="B647" t="str" cm="1">
        <f t="array" ref="B647">IFERROR(_xlfn.XLOOKUP(A647,Sheet2!$A$2:$A$1453,Sheet2!$B$2:$B$1453),_xlfn.XLOOKUP(A647,TEXT(Sheet2!$A$2:$A$1453,"0"),Sheet2!$B$2:$B$1453,""))</f>
        <v>BLEMIL PLUS (1) 400 GM</v>
      </c>
      <c r="C647" s="2">
        <v>52.9</v>
      </c>
      <c r="D647" s="2" cm="1">
        <f t="array" ref="D647">_xlfn.LET(_xlpm.v,IFERROR(_xlfn.XLOOKUP(A647,Sheet2!$A$2:$A$1453,Sheet2!$D$2:$D$1453),_xlfn.XLOOKUP(A647,TEXT(Sheet2!$A$2:$A$1453,"0"),Sheet2!$D$2:$D$1453,"")),IF(_xlpm.v="","",IF(_xlpm.v&lt;1,_xlpm.v*100,_xlpm.v)))</f>
        <v>7.5</v>
      </c>
      <c r="E647" s="2">
        <f t="shared" si="10"/>
        <v>48.932500000000005</v>
      </c>
      <c r="F647" s="2" t="str" cm="1">
        <f t="array" ref="F647">IFERROR(_xlfn.XLOOKUP(A647,Sheet2!$A$2:$A$1453,Sheet2!$F$2:$F$1453),_xlfn.XLOOKUP(A647,TEXT(Sheet2!$A$2:$A$1453,"0"),Sheet2!$F$2:$F$1453,""))</f>
        <v>26-7-2026</v>
      </c>
      <c r="G647" s="2" t="str" cm="1">
        <f t="array" ref="G647">IFERROR(_xlfn.XLOOKUP(A647,Sheet2!$A$2:$A$1453,Sheet2!$G$2:$G$1453),_xlfn.XLOOKUP(A647,TEXT(Sheet2!$A$2:$A$1453,"0"),Sheet2!$G$2:$G$1453,""))</f>
        <v>5-10-2026</v>
      </c>
    </row>
    <row r="648" spans="1:7" x14ac:dyDescent="0.2">
      <c r="A648" s="1">
        <v>20715010038</v>
      </c>
      <c r="B648" t="str" cm="1">
        <f t="array" ref="B648">IFERROR(_xlfn.XLOOKUP(A648,Sheet2!$A$2:$A$1453,Sheet2!$B$2:$B$1453),_xlfn.XLOOKUP(A648,TEXT(Sheet2!$A$2:$A$1453,"0"),Sheet2!$B$2:$B$1453,""))</f>
        <v>BLEMIL PLUS  (2)  400G</v>
      </c>
      <c r="C648" s="2">
        <v>52.9</v>
      </c>
      <c r="D648" s="2" cm="1">
        <f t="array" ref="D648">_xlfn.LET(_xlpm.v,IFERROR(_xlfn.XLOOKUP(A648,Sheet2!$A$2:$A$1453,Sheet2!$D$2:$D$1453),_xlfn.XLOOKUP(A648,TEXT(Sheet2!$A$2:$A$1453,"0"),Sheet2!$D$2:$D$1453,"")),IF(_xlpm.v="","",IF(_xlpm.v&lt;1,_xlpm.v*100,_xlpm.v)))</f>
        <v>7.5</v>
      </c>
      <c r="E648" s="2">
        <f t="shared" si="10"/>
        <v>48.932500000000005</v>
      </c>
      <c r="F648" s="2" t="str" cm="1">
        <f t="array" ref="F648">IFERROR(_xlfn.XLOOKUP(A648,Sheet2!$A$2:$A$1453,Sheet2!$F$2:$F$1453),_xlfn.XLOOKUP(A648,TEXT(Sheet2!$A$2:$A$1453,"0"),Sheet2!$F$2:$F$1453,""))</f>
        <v>26-7-2026</v>
      </c>
      <c r="G648" s="2" t="str" cm="1">
        <f t="array" ref="G648">IFERROR(_xlfn.XLOOKUP(A648,Sheet2!$A$2:$A$1453,Sheet2!$G$2:$G$1453),_xlfn.XLOOKUP(A648,TEXT(Sheet2!$A$2:$A$1453,"0"),Sheet2!$G$2:$G$1453,""))</f>
        <v>5-10-2026</v>
      </c>
    </row>
    <row r="649" spans="1:7" x14ac:dyDescent="0.2">
      <c r="A649" s="1">
        <v>20715010042</v>
      </c>
      <c r="B649" t="str" cm="1">
        <f t="array" ref="B649">IFERROR(_xlfn.XLOOKUP(A649,Sheet2!$A$2:$A$1453,Sheet2!$B$2:$B$1453),_xlfn.XLOOKUP(A649,TEXT(Sheet2!$A$2:$A$1453,"0"),Sheet2!$B$2:$B$1453,""))</f>
        <v>BLEMIL PLUS 2 800G</v>
      </c>
      <c r="C649" s="2">
        <v>101.78</v>
      </c>
      <c r="D649" s="2" cm="1">
        <f t="array" ref="D649">_xlfn.LET(_xlpm.v,IFERROR(_xlfn.XLOOKUP(A649,Sheet2!$A$2:$A$1453,Sheet2!$D$2:$D$1453),_xlfn.XLOOKUP(A649,TEXT(Sheet2!$A$2:$A$1453,"0"),Sheet2!$D$2:$D$1453,"")),IF(_xlpm.v="","",IF(_xlpm.v&lt;1,_xlpm.v*100,_xlpm.v)))</f>
        <v>10</v>
      </c>
      <c r="E649" s="2">
        <f t="shared" si="10"/>
        <v>91.602000000000004</v>
      </c>
      <c r="F649" s="2" t="str" cm="1">
        <f t="array" ref="F649">IFERROR(_xlfn.XLOOKUP(A649,Sheet2!$A$2:$A$1453,Sheet2!$F$2:$F$1453),_xlfn.XLOOKUP(A649,TEXT(Sheet2!$A$2:$A$1453,"0"),Sheet2!$F$2:$F$1453,""))</f>
        <v>26-7-2026</v>
      </c>
      <c r="G649" s="2" t="str" cm="1">
        <f t="array" ref="G649">IFERROR(_xlfn.XLOOKUP(A649,Sheet2!$A$2:$A$1453,Sheet2!$G$2:$G$1453),_xlfn.XLOOKUP(A649,TEXT(Sheet2!$A$2:$A$1453,"0"),Sheet2!$G$2:$G$1453,""))</f>
        <v>5-10-2026</v>
      </c>
    </row>
    <row r="650" spans="1:7" x14ac:dyDescent="0.2">
      <c r="A650" s="1">
        <v>20715010044</v>
      </c>
      <c r="B650" t="str" cm="1">
        <f t="array" ref="B650">IFERROR(_xlfn.XLOOKUP(A650,Sheet2!$A$2:$A$1453,Sheet2!$B$2:$B$1453),_xlfn.XLOOKUP(A650,TEXT(Sheet2!$A$2:$A$1453,"0"),Sheet2!$B$2:$B$1453,""))</f>
        <v>BLEMIL PLUS 3 400G</v>
      </c>
      <c r="C650" s="2">
        <v>50.6</v>
      </c>
      <c r="D650" s="2" cm="1">
        <f t="array" ref="D650">_xlfn.LET(_xlpm.v,IFERROR(_xlfn.XLOOKUP(A650,Sheet2!$A$2:$A$1453,Sheet2!$D$2:$D$1453),_xlfn.XLOOKUP(A650,TEXT(Sheet2!$A$2:$A$1453,"0"),Sheet2!$D$2:$D$1453,"")),IF(_xlpm.v="","",IF(_xlpm.v&lt;1,_xlpm.v*100,_xlpm.v)))</f>
        <v>7.5</v>
      </c>
      <c r="E650" s="2">
        <f t="shared" si="10"/>
        <v>46.805000000000007</v>
      </c>
      <c r="F650" s="2" t="str" cm="1">
        <f t="array" ref="F650">IFERROR(_xlfn.XLOOKUP(A650,Sheet2!$A$2:$A$1453,Sheet2!$F$2:$F$1453),_xlfn.XLOOKUP(A650,TEXT(Sheet2!$A$2:$A$1453,"0"),Sheet2!$F$2:$F$1453,""))</f>
        <v>26-7-2026</v>
      </c>
      <c r="G650" s="2" t="str" cm="1">
        <f t="array" ref="G650">IFERROR(_xlfn.XLOOKUP(A650,Sheet2!$A$2:$A$1453,Sheet2!$G$2:$G$1453),_xlfn.XLOOKUP(A650,TEXT(Sheet2!$A$2:$A$1453,"0"),Sheet2!$G$2:$G$1453,""))</f>
        <v>5-10-2026</v>
      </c>
    </row>
    <row r="651" spans="1:7" x14ac:dyDescent="0.2">
      <c r="A651" s="1">
        <v>20715010050</v>
      </c>
      <c r="B651" t="str" cm="1">
        <f t="array" ref="B651">IFERROR(_xlfn.XLOOKUP(A651,Sheet2!$A$2:$A$1453,Sheet2!$B$2:$B$1453),_xlfn.XLOOKUP(A651,TEXT(Sheet2!$A$2:$A$1453,"0"),Sheet2!$B$2:$B$1453,""))</f>
        <v>BLEMIL PLUS NO (1) 800 GM</v>
      </c>
      <c r="C651" s="2">
        <v>101.78</v>
      </c>
      <c r="D651" s="2" cm="1">
        <f t="array" ref="D651">_xlfn.LET(_xlpm.v,IFERROR(_xlfn.XLOOKUP(A651,Sheet2!$A$2:$A$1453,Sheet2!$D$2:$D$1453),_xlfn.XLOOKUP(A651,TEXT(Sheet2!$A$2:$A$1453,"0"),Sheet2!$D$2:$D$1453,"")),IF(_xlpm.v="","",IF(_xlpm.v&lt;1,_xlpm.v*100,_xlpm.v)))</f>
        <v>10</v>
      </c>
      <c r="E651" s="2">
        <f t="shared" si="10"/>
        <v>91.602000000000004</v>
      </c>
      <c r="F651" s="2" t="str" cm="1">
        <f t="array" ref="F651">IFERROR(_xlfn.XLOOKUP(A651,Sheet2!$A$2:$A$1453,Sheet2!$F$2:$F$1453),_xlfn.XLOOKUP(A651,TEXT(Sheet2!$A$2:$A$1453,"0"),Sheet2!$F$2:$F$1453,""))</f>
        <v>26-7-2026</v>
      </c>
      <c r="G651" s="2" t="str" cm="1">
        <f t="array" ref="G651">IFERROR(_xlfn.XLOOKUP(A651,Sheet2!$A$2:$A$1453,Sheet2!$G$2:$G$1453),_xlfn.XLOOKUP(A651,TEXT(Sheet2!$A$2:$A$1453,"0"),Sheet2!$G$2:$G$1453,""))</f>
        <v>5-10-2026</v>
      </c>
    </row>
    <row r="652" spans="1:7" x14ac:dyDescent="0.2">
      <c r="A652" s="1">
        <v>20715010051</v>
      </c>
      <c r="B652" t="str" cm="1">
        <f t="array" ref="B652">IFERROR(_xlfn.XLOOKUP(A652,Sheet2!$A$2:$A$1453,Sheet2!$B$2:$B$1453),_xlfn.XLOOKUP(A652,TEXT(Sheet2!$A$2:$A$1453,"0"),Sheet2!$B$2:$B$1453,""))</f>
        <v>BLEMIL PLUS NO (3) 800 GM</v>
      </c>
      <c r="C652" s="2">
        <v>98.9</v>
      </c>
      <c r="D652" s="2" cm="1">
        <f t="array" ref="D652">_xlfn.LET(_xlpm.v,IFERROR(_xlfn.XLOOKUP(A652,Sheet2!$A$2:$A$1453,Sheet2!$D$2:$D$1453),_xlfn.XLOOKUP(A652,TEXT(Sheet2!$A$2:$A$1453,"0"),Sheet2!$D$2:$D$1453,"")),IF(_xlpm.v="","",IF(_xlpm.v&lt;1,_xlpm.v*100,_xlpm.v)))</f>
        <v>10</v>
      </c>
      <c r="E652" s="2">
        <f t="shared" si="10"/>
        <v>89.01</v>
      </c>
      <c r="F652" s="2" t="str" cm="1">
        <f t="array" ref="F652">IFERROR(_xlfn.XLOOKUP(A652,Sheet2!$A$2:$A$1453,Sheet2!$F$2:$F$1453),_xlfn.XLOOKUP(A652,TEXT(Sheet2!$A$2:$A$1453,"0"),Sheet2!$F$2:$F$1453,""))</f>
        <v>26-7-2026</v>
      </c>
      <c r="G652" s="2" t="str" cm="1">
        <f t="array" ref="G652">IFERROR(_xlfn.XLOOKUP(A652,Sheet2!$A$2:$A$1453,Sheet2!$G$2:$G$1453),_xlfn.XLOOKUP(A652,TEXT(Sheet2!$A$2:$A$1453,"0"),Sheet2!$G$2:$G$1453,""))</f>
        <v>5-10-2026</v>
      </c>
    </row>
    <row r="653" spans="1:7" x14ac:dyDescent="0.2">
      <c r="A653" s="1">
        <v>20715010076</v>
      </c>
      <c r="B653" t="str" cm="1">
        <f t="array" ref="B653">IFERROR(_xlfn.XLOOKUP(A653,Sheet2!$A$2:$A$1453,Sheet2!$B$2:$B$1453),_xlfn.XLOOKUP(A653,TEXT(Sheet2!$A$2:$A$1453,"0"),Sheet2!$B$2:$B$1453,""))</f>
        <v>HUMANA BEBEMIL (1) 800 GM</v>
      </c>
      <c r="C653" s="2">
        <v>94</v>
      </c>
      <c r="D653" s="2" cm="1">
        <f t="array" ref="D653">_xlfn.LET(_xlpm.v,IFERROR(_xlfn.XLOOKUP(A653,Sheet2!$A$2:$A$1453,Sheet2!$D$2:$D$1453),_xlfn.XLOOKUP(A653,TEXT(Sheet2!$A$2:$A$1453,"0"),Sheet2!$D$2:$D$1453,"")),IF(_xlpm.v="","",IF(_xlpm.v&lt;1,_xlpm.v*100,_xlpm.v)))</f>
        <v>12.5</v>
      </c>
      <c r="E653" s="2">
        <f t="shared" si="10"/>
        <v>82.25</v>
      </c>
      <c r="F653" s="2" t="str" cm="1">
        <f t="array" ref="F653">IFERROR(_xlfn.XLOOKUP(A653,Sheet2!$A$2:$A$1453,Sheet2!$F$2:$F$1453),_xlfn.XLOOKUP(A653,TEXT(Sheet2!$A$2:$A$1453,"0"),Sheet2!$F$2:$F$1453,""))</f>
        <v>26-7-2026</v>
      </c>
      <c r="G653" s="2" t="str" cm="1">
        <f t="array" ref="G653">IFERROR(_xlfn.XLOOKUP(A653,Sheet2!$A$2:$A$1453,Sheet2!$G$2:$G$1453),_xlfn.XLOOKUP(A653,TEXT(Sheet2!$A$2:$A$1453,"0"),Sheet2!$G$2:$G$1453,""))</f>
        <v>5-10-2026</v>
      </c>
    </row>
    <row r="654" spans="1:7" x14ac:dyDescent="0.2">
      <c r="A654" s="1">
        <v>20715010079</v>
      </c>
      <c r="B654" t="str" cm="1">
        <f t="array" ref="B654">IFERROR(_xlfn.XLOOKUP(A654,Sheet2!$A$2:$A$1453,Sheet2!$B$2:$B$1453),_xlfn.XLOOKUP(A654,TEXT(Sheet2!$A$2:$A$1453,"0"),Sheet2!$B$2:$B$1453,""))</f>
        <v>HUMANA BEBEMIL (3) 800 GM</v>
      </c>
      <c r="C654" s="2">
        <v>98</v>
      </c>
      <c r="D654" s="2" cm="1">
        <f t="array" ref="D654">_xlfn.LET(_xlpm.v,IFERROR(_xlfn.XLOOKUP(A654,Sheet2!$A$2:$A$1453,Sheet2!$D$2:$D$1453),_xlfn.XLOOKUP(A654,TEXT(Sheet2!$A$2:$A$1453,"0"),Sheet2!$D$2:$D$1453,"")),IF(_xlpm.v="","",IF(_xlpm.v&lt;1,_xlpm.v*100,_xlpm.v)))</f>
        <v>12.5</v>
      </c>
      <c r="E654" s="2">
        <f t="shared" si="10"/>
        <v>85.75</v>
      </c>
      <c r="F654" s="2" t="str" cm="1">
        <f t="array" ref="F654">IFERROR(_xlfn.XLOOKUP(A654,Sheet2!$A$2:$A$1453,Sheet2!$F$2:$F$1453),_xlfn.XLOOKUP(A654,TEXT(Sheet2!$A$2:$A$1453,"0"),Sheet2!$F$2:$F$1453,""))</f>
        <v>26-7-2026</v>
      </c>
      <c r="G654" s="2" t="str" cm="1">
        <f t="array" ref="G654">IFERROR(_xlfn.XLOOKUP(A654,Sheet2!$A$2:$A$1453,Sheet2!$G$2:$G$1453),_xlfn.XLOOKUP(A654,TEXT(Sheet2!$A$2:$A$1453,"0"),Sheet2!$G$2:$G$1453,""))</f>
        <v>5-10-2026</v>
      </c>
    </row>
    <row r="655" spans="1:7" x14ac:dyDescent="0.2">
      <c r="A655" s="1">
        <v>20715010250</v>
      </c>
      <c r="B655" t="str" cm="1">
        <f t="array" ref="B655">IFERROR(_xlfn.XLOOKUP(A655,Sheet2!$A$2:$A$1453,Sheet2!$B$2:$B$1453),_xlfn.XLOOKUP(A655,TEXT(Sheet2!$A$2:$A$1453,"0"),Sheet2!$B$2:$B$1453,""))</f>
        <v>NAN ( 2)  800 G</v>
      </c>
      <c r="C655" s="2">
        <v>112.87</v>
      </c>
      <c r="D655" s="2" cm="1">
        <f t="array" ref="D655">_xlfn.LET(_xlpm.v,IFERROR(_xlfn.XLOOKUP(A655,Sheet2!$A$2:$A$1453,Sheet2!$D$2:$D$1453),_xlfn.XLOOKUP(A655,TEXT(Sheet2!$A$2:$A$1453,"0"),Sheet2!$D$2:$D$1453,"")),IF(_xlpm.v="","",IF(_xlpm.v&lt;1,_xlpm.v*100,_xlpm.v)))</f>
        <v>5</v>
      </c>
      <c r="E655" s="2">
        <f t="shared" si="10"/>
        <v>107.2265</v>
      </c>
      <c r="F655" s="2" t="str" cm="1">
        <f t="array" ref="F655">IFERROR(_xlfn.XLOOKUP(A655,Sheet2!$A$2:$A$1453,Sheet2!$F$2:$F$1453),_xlfn.XLOOKUP(A655,TEXT(Sheet2!$A$2:$A$1453,"0"),Sheet2!$F$2:$F$1453,""))</f>
        <v>26-7-2026</v>
      </c>
      <c r="G655" s="2" t="str" cm="1">
        <f t="array" ref="G655">IFERROR(_xlfn.XLOOKUP(A655,Sheet2!$A$2:$A$1453,Sheet2!$G$2:$G$1453),_xlfn.XLOOKUP(A655,TEXT(Sheet2!$A$2:$A$1453,"0"),Sheet2!$G$2:$G$1453,""))</f>
        <v>5-10-2026</v>
      </c>
    </row>
    <row r="656" spans="1:7" x14ac:dyDescent="0.2">
      <c r="A656" s="1">
        <v>20715010248</v>
      </c>
      <c r="B656" t="str" cm="1">
        <f t="array" ref="B656">IFERROR(_xlfn.XLOOKUP(A656,Sheet2!$A$2:$A$1453,Sheet2!$B$2:$B$1453),_xlfn.XLOOKUP(A656,TEXT(Sheet2!$A$2:$A$1453,"0"),Sheet2!$B$2:$B$1453,""))</f>
        <v>NAN 1 MILK 800 GM</v>
      </c>
      <c r="C656" s="2">
        <v>112.36</v>
      </c>
      <c r="D656" s="2" cm="1">
        <f t="array" ref="D656">_xlfn.LET(_xlpm.v,IFERROR(_xlfn.XLOOKUP(A656,Sheet2!$A$2:$A$1453,Sheet2!$D$2:$D$1453),_xlfn.XLOOKUP(A656,TEXT(Sheet2!$A$2:$A$1453,"0"),Sheet2!$D$2:$D$1453,"")),IF(_xlpm.v="","",IF(_xlpm.v&lt;1,_xlpm.v*100,_xlpm.v)))</f>
        <v>5</v>
      </c>
      <c r="E656" s="2">
        <f t="shared" si="10"/>
        <v>106.74199999999999</v>
      </c>
      <c r="F656" s="2" t="str" cm="1">
        <f t="array" ref="F656">IFERROR(_xlfn.XLOOKUP(A656,Sheet2!$A$2:$A$1453,Sheet2!$F$2:$F$1453),_xlfn.XLOOKUP(A656,TEXT(Sheet2!$A$2:$A$1453,"0"),Sheet2!$F$2:$F$1453,""))</f>
        <v>26-7-2026</v>
      </c>
      <c r="G656" s="2" t="str" cm="1">
        <f t="array" ref="G656">IFERROR(_xlfn.XLOOKUP(A656,Sheet2!$A$2:$A$1453,Sheet2!$G$2:$G$1453),_xlfn.XLOOKUP(A656,TEXT(Sheet2!$A$2:$A$1453,"0"),Sheet2!$G$2:$G$1453,""))</f>
        <v>5-10-2026</v>
      </c>
    </row>
    <row r="657" spans="1:7" x14ac:dyDescent="0.2">
      <c r="A657" s="1">
        <v>20715010103</v>
      </c>
      <c r="B657" t="str" cm="1">
        <f t="array" ref="B657">IFERROR(_xlfn.XLOOKUP(A657,Sheet2!$A$2:$A$1453,Sheet2!$B$2:$B$1453),_xlfn.XLOOKUP(A657,TEXT(Sheet2!$A$2:$A$1453,"0"),Sheet2!$B$2:$B$1453,""))</f>
        <v>NAN 3 800G</v>
      </c>
      <c r="C657" s="2">
        <v>101</v>
      </c>
      <c r="D657" s="2" cm="1">
        <f t="array" ref="D657">_xlfn.LET(_xlpm.v,IFERROR(_xlfn.XLOOKUP(A657,Sheet2!$A$2:$A$1453,Sheet2!$D$2:$D$1453),_xlfn.XLOOKUP(A657,TEXT(Sheet2!$A$2:$A$1453,"0"),Sheet2!$D$2:$D$1453,"")),IF(_xlpm.v="","",IF(_xlpm.v&lt;1,_xlpm.v*100,_xlpm.v)))</f>
        <v>5</v>
      </c>
      <c r="E657" s="2">
        <f t="shared" si="10"/>
        <v>95.949999999999989</v>
      </c>
      <c r="F657" s="2" t="str" cm="1">
        <f t="array" ref="F657">IFERROR(_xlfn.XLOOKUP(A657,Sheet2!$A$2:$A$1453,Sheet2!$F$2:$F$1453),_xlfn.XLOOKUP(A657,TEXT(Sheet2!$A$2:$A$1453,"0"),Sheet2!$F$2:$F$1453,""))</f>
        <v>26-7-2026</v>
      </c>
      <c r="G657" s="2" t="str" cm="1">
        <f t="array" ref="G657">IFERROR(_xlfn.XLOOKUP(A657,Sheet2!$A$2:$A$1453,Sheet2!$G$2:$G$1453),_xlfn.XLOOKUP(A657,TEXT(Sheet2!$A$2:$A$1453,"0"),Sheet2!$G$2:$G$1453,""))</f>
        <v>5-10-2026</v>
      </c>
    </row>
    <row r="658" spans="1:7" x14ac:dyDescent="0.2">
      <c r="A658" s="1">
        <v>20715010345</v>
      </c>
      <c r="B658" t="str" cm="1">
        <f t="array" ref="B658">IFERROR(_xlfn.XLOOKUP(A658,Sheet2!$A$2:$A$1453,Sheet2!$B$2:$B$1453),_xlfn.XLOOKUP(A658,TEXT(Sheet2!$A$2:$A$1453,"0"),Sheet2!$B$2:$B$1453,""))</f>
        <v>NAN 3-1800G</v>
      </c>
      <c r="C658" s="2">
        <v>210</v>
      </c>
      <c r="D658" s="2" cm="1">
        <f t="array" ref="D658">_xlfn.LET(_xlpm.v,IFERROR(_xlfn.XLOOKUP(A658,Sheet2!$A$2:$A$1453,Sheet2!$D$2:$D$1453),_xlfn.XLOOKUP(A658,TEXT(Sheet2!$A$2:$A$1453,"0"),Sheet2!$D$2:$D$1453,"")),IF(_xlpm.v="","",IF(_xlpm.v&lt;1,_xlpm.v*100,_xlpm.v)))</f>
        <v>5</v>
      </c>
      <c r="E658" s="2">
        <f t="shared" si="10"/>
        <v>199.5</v>
      </c>
      <c r="F658" s="2" t="str" cm="1">
        <f t="array" ref="F658">IFERROR(_xlfn.XLOOKUP(A658,Sheet2!$A$2:$A$1453,Sheet2!$F$2:$F$1453),_xlfn.XLOOKUP(A658,TEXT(Sheet2!$A$2:$A$1453,"0"),Sheet2!$F$2:$F$1453,""))</f>
        <v>26-7-2026</v>
      </c>
      <c r="G658" s="2" t="str" cm="1">
        <f t="array" ref="G658">IFERROR(_xlfn.XLOOKUP(A658,Sheet2!$A$2:$A$1453,Sheet2!$G$2:$G$1453),_xlfn.XLOOKUP(A658,TEXT(Sheet2!$A$2:$A$1453,"0"),Sheet2!$G$2:$G$1453,""))</f>
        <v>5-10-2026</v>
      </c>
    </row>
    <row r="659" spans="1:7" x14ac:dyDescent="0.2">
      <c r="A659" s="1">
        <v>20715010136</v>
      </c>
      <c r="B659" t="str" cm="1">
        <f t="array" ref="B659">IFERROR(_xlfn.XLOOKUP(A659,Sheet2!$A$2:$A$1453,Sheet2!$B$2:$B$1453),_xlfn.XLOOKUP(A659,TEXT(Sheet2!$A$2:$A$1453,"0"),Sheet2!$B$2:$B$1453,""))</f>
        <v>NIDO NO 1 (1-3) 1800 G</v>
      </c>
      <c r="C659" s="2">
        <v>141.74</v>
      </c>
      <c r="D659" s="2" cm="1">
        <f t="array" ref="D659">_xlfn.LET(_xlpm.v,IFERROR(_xlfn.XLOOKUP(A659,Sheet2!$A$2:$A$1453,Sheet2!$D$2:$D$1453),_xlfn.XLOOKUP(A659,TEXT(Sheet2!$A$2:$A$1453,"0"),Sheet2!$D$2:$D$1453,"")),IF(_xlpm.v="","",IF(_xlpm.v&lt;1,_xlpm.v*100,_xlpm.v)))</f>
        <v>10</v>
      </c>
      <c r="E659" s="2">
        <f t="shared" si="10"/>
        <v>127.56600000000002</v>
      </c>
      <c r="F659" s="2" t="str" cm="1">
        <f t="array" ref="F659">IFERROR(_xlfn.XLOOKUP(A659,Sheet2!$A$2:$A$1453,Sheet2!$F$2:$F$1453),_xlfn.XLOOKUP(A659,TEXT(Sheet2!$A$2:$A$1453,"0"),Sheet2!$F$2:$F$1453,""))</f>
        <v>26-7-2026</v>
      </c>
      <c r="G659" s="2" t="str" cm="1">
        <f t="array" ref="G659">IFERROR(_xlfn.XLOOKUP(A659,Sheet2!$A$2:$A$1453,Sheet2!$G$2:$G$1453),_xlfn.XLOOKUP(A659,TEXT(Sheet2!$A$2:$A$1453,"0"),Sheet2!$G$2:$G$1453,""))</f>
        <v>5-10-2026</v>
      </c>
    </row>
    <row r="660" spans="1:7" x14ac:dyDescent="0.2">
      <c r="A660" s="1">
        <v>20715010112</v>
      </c>
      <c r="B660" t="str" cm="1">
        <f t="array" ref="B660">IFERROR(_xlfn.XLOOKUP(A660,Sheet2!$A$2:$A$1453,Sheet2!$B$2:$B$1453),_xlfn.XLOOKUP(A660,TEXT(Sheet2!$A$2:$A$1453,"0"),Sheet2!$B$2:$B$1453,""))</f>
        <v>NIDO NO 1 (1-3) 400G</v>
      </c>
      <c r="C660" s="2">
        <v>37.01</v>
      </c>
      <c r="D660" s="2" cm="1">
        <f t="array" ref="D660">_xlfn.LET(_xlpm.v,IFERROR(_xlfn.XLOOKUP(A660,Sheet2!$A$2:$A$1453,Sheet2!$D$2:$D$1453),_xlfn.XLOOKUP(A660,TEXT(Sheet2!$A$2:$A$1453,"0"),Sheet2!$D$2:$D$1453,"")),IF(_xlpm.v="","",IF(_xlpm.v&lt;1,_xlpm.v*100,_xlpm.v)))</f>
        <v>10</v>
      </c>
      <c r="E660" s="2">
        <f t="shared" si="10"/>
        <v>33.308999999999997</v>
      </c>
      <c r="F660" s="2" t="str" cm="1">
        <f t="array" ref="F660">IFERROR(_xlfn.XLOOKUP(A660,Sheet2!$A$2:$A$1453,Sheet2!$F$2:$F$1453),_xlfn.XLOOKUP(A660,TEXT(Sheet2!$A$2:$A$1453,"0"),Sheet2!$F$2:$F$1453,""))</f>
        <v>26-7-2026</v>
      </c>
      <c r="G660" s="2" t="str" cm="1">
        <f t="array" ref="G660">IFERROR(_xlfn.XLOOKUP(A660,Sheet2!$A$2:$A$1453,Sheet2!$G$2:$G$1453),_xlfn.XLOOKUP(A660,TEXT(Sheet2!$A$2:$A$1453,"0"),Sheet2!$G$2:$G$1453,""))</f>
        <v>5-10-2026</v>
      </c>
    </row>
    <row r="661" spans="1:7" x14ac:dyDescent="0.2">
      <c r="A661" s="1">
        <v>20715010111</v>
      </c>
      <c r="B661" t="str" cm="1">
        <f t="array" ref="B661">IFERROR(_xlfn.XLOOKUP(A661,Sheet2!$A$2:$A$1453,Sheet2!$B$2:$B$1453),_xlfn.XLOOKUP(A661,TEXT(Sheet2!$A$2:$A$1453,"0"),Sheet2!$B$2:$B$1453,""))</f>
        <v>NIDO NO 1 (1-3) 900 G</v>
      </c>
      <c r="C661" s="2">
        <v>78.78</v>
      </c>
      <c r="D661" s="2" cm="1">
        <f t="array" ref="D661">_xlfn.LET(_xlpm.v,IFERROR(_xlfn.XLOOKUP(A661,Sheet2!$A$2:$A$1453,Sheet2!$D$2:$D$1453),_xlfn.XLOOKUP(A661,TEXT(Sheet2!$A$2:$A$1453,"0"),Sheet2!$D$2:$D$1453,"")),IF(_xlpm.v="","",IF(_xlpm.v&lt;1,_xlpm.v*100,_xlpm.v)))</f>
        <v>10</v>
      </c>
      <c r="E661" s="2">
        <f t="shared" si="10"/>
        <v>70.902000000000001</v>
      </c>
      <c r="F661" s="2" t="str" cm="1">
        <f t="array" ref="F661">IFERROR(_xlfn.XLOOKUP(A661,Sheet2!$A$2:$A$1453,Sheet2!$F$2:$F$1453),_xlfn.XLOOKUP(A661,TEXT(Sheet2!$A$2:$A$1453,"0"),Sheet2!$F$2:$F$1453,""))</f>
        <v>26-7-2026</v>
      </c>
      <c r="G661" s="2" t="str" cm="1">
        <f t="array" ref="G661">IFERROR(_xlfn.XLOOKUP(A661,Sheet2!$A$2:$A$1453,Sheet2!$G$2:$G$1453),_xlfn.XLOOKUP(A661,TEXT(Sheet2!$A$2:$A$1453,"0"),Sheet2!$G$2:$G$1453,""))</f>
        <v>5-10-2026</v>
      </c>
    </row>
    <row r="662" spans="1:7" x14ac:dyDescent="0.2">
      <c r="A662" s="1">
        <v>20715010116</v>
      </c>
      <c r="B662" t="str" cm="1">
        <f t="array" ref="B662">IFERROR(_xlfn.XLOOKUP(A662,Sheet2!$A$2:$A$1453,Sheet2!$B$2:$B$1453),_xlfn.XLOOKUP(A662,TEXT(Sheet2!$A$2:$A$1453,"0"),Sheet2!$B$2:$B$1453,""))</f>
        <v>NOVALAC 1 800GM</v>
      </c>
      <c r="C662" s="2">
        <v>99.5</v>
      </c>
      <c r="D662" s="2" cm="1">
        <f t="array" ref="D662">_xlfn.LET(_xlpm.v,IFERROR(_xlfn.XLOOKUP(A662,Sheet2!$A$2:$A$1453,Sheet2!$D$2:$D$1453),_xlfn.XLOOKUP(A662,TEXT(Sheet2!$A$2:$A$1453,"0"),Sheet2!$D$2:$D$1453,"")),IF(_xlpm.v="","",IF(_xlpm.v&lt;1,_xlpm.v*100,_xlpm.v)))</f>
        <v>10</v>
      </c>
      <c r="E662" s="2">
        <f t="shared" si="10"/>
        <v>89.55</v>
      </c>
      <c r="F662" s="2" t="str" cm="1">
        <f t="array" ref="F662">IFERROR(_xlfn.XLOOKUP(A662,Sheet2!$A$2:$A$1453,Sheet2!$F$2:$F$1453),_xlfn.XLOOKUP(A662,TEXT(Sheet2!$A$2:$A$1453,"0"),Sheet2!$F$2:$F$1453,""))</f>
        <v>26-7-2026</v>
      </c>
      <c r="G662" s="2" t="str" cm="1">
        <f t="array" ref="G662">IFERROR(_xlfn.XLOOKUP(A662,Sheet2!$A$2:$A$1453,Sheet2!$G$2:$G$1453),_xlfn.XLOOKUP(A662,TEXT(Sheet2!$A$2:$A$1453,"0"),Sheet2!$G$2:$G$1453,""))</f>
        <v>5-10-2026</v>
      </c>
    </row>
    <row r="663" spans="1:7" x14ac:dyDescent="0.2">
      <c r="A663" s="1">
        <v>20715010118</v>
      </c>
      <c r="B663" t="str" cm="1">
        <f t="array" ref="B663">IFERROR(_xlfn.XLOOKUP(A663,Sheet2!$A$2:$A$1453,Sheet2!$B$2:$B$1453),_xlfn.XLOOKUP(A663,TEXT(Sheet2!$A$2:$A$1453,"0"),Sheet2!$B$2:$B$1453,""))</f>
        <v>NOVALAC 2 800GM</v>
      </c>
      <c r="C663" s="2">
        <v>99.5</v>
      </c>
      <c r="D663" s="2" cm="1">
        <f t="array" ref="D663">_xlfn.LET(_xlpm.v,IFERROR(_xlfn.XLOOKUP(A663,Sheet2!$A$2:$A$1453,Sheet2!$D$2:$D$1453),_xlfn.XLOOKUP(A663,TEXT(Sheet2!$A$2:$A$1453,"0"),Sheet2!$D$2:$D$1453,"")),IF(_xlpm.v="","",IF(_xlpm.v&lt;1,_xlpm.v*100,_xlpm.v)))</f>
        <v>10</v>
      </c>
      <c r="E663" s="2">
        <f t="shared" si="10"/>
        <v>89.55</v>
      </c>
      <c r="F663" s="2" t="str" cm="1">
        <f t="array" ref="F663">IFERROR(_xlfn.XLOOKUP(A663,Sheet2!$A$2:$A$1453,Sheet2!$F$2:$F$1453),_xlfn.XLOOKUP(A663,TEXT(Sheet2!$A$2:$A$1453,"0"),Sheet2!$F$2:$F$1453,""))</f>
        <v>26-7-2026</v>
      </c>
      <c r="G663" s="2" t="str" cm="1">
        <f t="array" ref="G663">IFERROR(_xlfn.XLOOKUP(A663,Sheet2!$A$2:$A$1453,Sheet2!$G$2:$G$1453),_xlfn.XLOOKUP(A663,TEXT(Sheet2!$A$2:$A$1453,"0"),Sheet2!$G$2:$G$1453,""))</f>
        <v>5-10-2026</v>
      </c>
    </row>
    <row r="664" spans="1:7" x14ac:dyDescent="0.2">
      <c r="A664" s="1">
        <v>20715010127</v>
      </c>
      <c r="B664" t="str" cm="1">
        <f t="array" ref="B664">IFERROR(_xlfn.XLOOKUP(A664,Sheet2!$A$2:$A$1453,Sheet2!$B$2:$B$1453),_xlfn.XLOOKUP(A664,TEXT(Sheet2!$A$2:$A$1453,"0"),Sheet2!$B$2:$B$1453,""))</f>
        <v>NOVALAC GENIO 800 G</v>
      </c>
      <c r="C664" s="2">
        <v>95</v>
      </c>
      <c r="D664" s="2" cm="1">
        <f t="array" ref="D664">_xlfn.LET(_xlpm.v,IFERROR(_xlfn.XLOOKUP(A664,Sheet2!$A$2:$A$1453,Sheet2!$D$2:$D$1453),_xlfn.XLOOKUP(A664,TEXT(Sheet2!$A$2:$A$1453,"0"),Sheet2!$D$2:$D$1453,"")),IF(_xlpm.v="","",IF(_xlpm.v&lt;1,_xlpm.v*100,_xlpm.v)))</f>
        <v>10</v>
      </c>
      <c r="E664" s="2">
        <f t="shared" si="10"/>
        <v>85.5</v>
      </c>
      <c r="F664" s="2" t="str" cm="1">
        <f t="array" ref="F664">IFERROR(_xlfn.XLOOKUP(A664,Sheet2!$A$2:$A$1453,Sheet2!$F$2:$F$1453),_xlfn.XLOOKUP(A664,TEXT(Sheet2!$A$2:$A$1453,"0"),Sheet2!$F$2:$F$1453,""))</f>
        <v>26-7-2026</v>
      </c>
      <c r="G664" s="2" t="str" cm="1">
        <f t="array" ref="G664">IFERROR(_xlfn.XLOOKUP(A664,Sheet2!$A$2:$A$1453,Sheet2!$G$2:$G$1453),_xlfn.XLOOKUP(A664,TEXT(Sheet2!$A$2:$A$1453,"0"),Sheet2!$G$2:$G$1453,""))</f>
        <v>5-10-2026</v>
      </c>
    </row>
    <row r="665" spans="1:7" x14ac:dyDescent="0.2">
      <c r="A665" s="1">
        <v>20715010217</v>
      </c>
      <c r="B665" t="str" cm="1">
        <f t="array" ref="B665">IFERROR(_xlfn.XLOOKUP(A665,Sheet2!$A$2:$A$1453,Sheet2!$B$2:$B$1453),_xlfn.XLOOKUP(A665,TEXT(Sheet2!$A$2:$A$1453,"0"),Sheet2!$B$2:$B$1453,""))</f>
        <v>NURALAC NO1 400 G</v>
      </c>
      <c r="C665" s="2">
        <v>47.99</v>
      </c>
      <c r="D665" s="2" cm="1">
        <f t="array" ref="D665">_xlfn.LET(_xlpm.v,IFERROR(_xlfn.XLOOKUP(A665,Sheet2!$A$2:$A$1453,Sheet2!$D$2:$D$1453),_xlfn.XLOOKUP(A665,TEXT(Sheet2!$A$2:$A$1453,"0"),Sheet2!$D$2:$D$1453,"")),IF(_xlpm.v="","",IF(_xlpm.v&lt;1,_xlpm.v*100,_xlpm.v)))</f>
        <v>17.5</v>
      </c>
      <c r="E665" s="2">
        <f t="shared" si="10"/>
        <v>39.591749999999998</v>
      </c>
      <c r="F665" s="2" t="str" cm="1">
        <f t="array" ref="F665">IFERROR(_xlfn.XLOOKUP(A665,Sheet2!$A$2:$A$1453,Sheet2!$F$2:$F$1453),_xlfn.XLOOKUP(A665,TEXT(Sheet2!$A$2:$A$1453,"0"),Sheet2!$F$2:$F$1453,""))</f>
        <v>26-7-2026</v>
      </c>
      <c r="G665" s="2" t="str" cm="1">
        <f t="array" ref="G665">IFERROR(_xlfn.XLOOKUP(A665,Sheet2!$A$2:$A$1453,Sheet2!$G$2:$G$1453),_xlfn.XLOOKUP(A665,TEXT(Sheet2!$A$2:$A$1453,"0"),Sheet2!$G$2:$G$1453,""))</f>
        <v>5-10-2026</v>
      </c>
    </row>
    <row r="666" spans="1:7" x14ac:dyDescent="0.2">
      <c r="A666" s="1">
        <v>20715010221</v>
      </c>
      <c r="B666" t="str" cm="1">
        <f t="array" ref="B666">IFERROR(_xlfn.XLOOKUP(A666,Sheet2!$A$2:$A$1453,Sheet2!$B$2:$B$1453),_xlfn.XLOOKUP(A666,TEXT(Sheet2!$A$2:$A$1453,"0"),Sheet2!$B$2:$B$1453,""))</f>
        <v>NURALAC NO1 900 G</v>
      </c>
      <c r="C666" s="2">
        <v>101.68</v>
      </c>
      <c r="D666" s="2" cm="1">
        <f t="array" ref="D666">_xlfn.LET(_xlpm.v,IFERROR(_xlfn.XLOOKUP(A666,Sheet2!$A$2:$A$1453,Sheet2!$D$2:$D$1453),_xlfn.XLOOKUP(A666,TEXT(Sheet2!$A$2:$A$1453,"0"),Sheet2!$D$2:$D$1453,"")),IF(_xlpm.v="","",IF(_xlpm.v&lt;1,_xlpm.v*100,_xlpm.v)))</f>
        <v>20</v>
      </c>
      <c r="E666" s="2">
        <f t="shared" si="10"/>
        <v>81.344000000000008</v>
      </c>
      <c r="F666" s="2" t="str" cm="1">
        <f t="array" ref="F666">IFERROR(_xlfn.XLOOKUP(A666,Sheet2!$A$2:$A$1453,Sheet2!$F$2:$F$1453),_xlfn.XLOOKUP(A666,TEXT(Sheet2!$A$2:$A$1453,"0"),Sheet2!$F$2:$F$1453,""))</f>
        <v>26-7-2026</v>
      </c>
      <c r="G666" s="2" t="str" cm="1">
        <f t="array" ref="G666">IFERROR(_xlfn.XLOOKUP(A666,Sheet2!$A$2:$A$1453,Sheet2!$G$2:$G$1453),_xlfn.XLOOKUP(A666,TEXT(Sheet2!$A$2:$A$1453,"0"),Sheet2!$G$2:$G$1453,""))</f>
        <v>5-10-2026</v>
      </c>
    </row>
    <row r="667" spans="1:7" x14ac:dyDescent="0.2">
      <c r="A667" s="1">
        <v>20715010218</v>
      </c>
      <c r="B667" t="str" cm="1">
        <f t="array" ref="B667">IFERROR(_xlfn.XLOOKUP(A667,Sheet2!$A$2:$A$1453,Sheet2!$B$2:$B$1453),_xlfn.XLOOKUP(A667,TEXT(Sheet2!$A$2:$A$1453,"0"),Sheet2!$B$2:$B$1453,""))</f>
        <v>NURALAC NO2 400 G</v>
      </c>
      <c r="C667" s="2">
        <v>47.99</v>
      </c>
      <c r="D667" s="2" cm="1">
        <f t="array" ref="D667">_xlfn.LET(_xlpm.v,IFERROR(_xlfn.XLOOKUP(A667,Sheet2!$A$2:$A$1453,Sheet2!$D$2:$D$1453),_xlfn.XLOOKUP(A667,TEXT(Sheet2!$A$2:$A$1453,"0"),Sheet2!$D$2:$D$1453,"")),IF(_xlpm.v="","",IF(_xlpm.v&lt;1,_xlpm.v*100,_xlpm.v)))</f>
        <v>17.5</v>
      </c>
      <c r="E667" s="2">
        <f t="shared" si="10"/>
        <v>39.591749999999998</v>
      </c>
      <c r="F667" s="2" t="str" cm="1">
        <f t="array" ref="F667">IFERROR(_xlfn.XLOOKUP(A667,Sheet2!$A$2:$A$1453,Sheet2!$F$2:$F$1453),_xlfn.XLOOKUP(A667,TEXT(Sheet2!$A$2:$A$1453,"0"),Sheet2!$F$2:$F$1453,""))</f>
        <v>26-7-2026</v>
      </c>
      <c r="G667" s="2" t="str" cm="1">
        <f t="array" ref="G667">IFERROR(_xlfn.XLOOKUP(A667,Sheet2!$A$2:$A$1453,Sheet2!$G$2:$G$1453),_xlfn.XLOOKUP(A667,TEXT(Sheet2!$A$2:$A$1453,"0"),Sheet2!$G$2:$G$1453,""))</f>
        <v>5-10-2026</v>
      </c>
    </row>
    <row r="668" spans="1:7" x14ac:dyDescent="0.2">
      <c r="A668" s="1">
        <v>20715010220</v>
      </c>
      <c r="B668" t="str" cm="1">
        <f t="array" ref="B668">IFERROR(_xlfn.XLOOKUP(A668,Sheet2!$A$2:$A$1453,Sheet2!$B$2:$B$1453),_xlfn.XLOOKUP(A668,TEXT(Sheet2!$A$2:$A$1453,"0"),Sheet2!$B$2:$B$1453,""))</f>
        <v>NURALAC NO2 900 G</v>
      </c>
      <c r="C668" s="2">
        <v>101.68</v>
      </c>
      <c r="D668" s="2" cm="1">
        <f t="array" ref="D668">_xlfn.LET(_xlpm.v,IFERROR(_xlfn.XLOOKUP(A668,Sheet2!$A$2:$A$1453,Sheet2!$D$2:$D$1453),_xlfn.XLOOKUP(A668,TEXT(Sheet2!$A$2:$A$1453,"0"),Sheet2!$D$2:$D$1453,"")),IF(_xlpm.v="","",IF(_xlpm.v&lt;1,_xlpm.v*100,_xlpm.v)))</f>
        <v>20</v>
      </c>
      <c r="E668" s="2">
        <f t="shared" si="10"/>
        <v>81.344000000000008</v>
      </c>
      <c r="F668" s="2" t="str" cm="1">
        <f t="array" ref="F668">IFERROR(_xlfn.XLOOKUP(A668,Sheet2!$A$2:$A$1453,Sheet2!$F$2:$F$1453),_xlfn.XLOOKUP(A668,TEXT(Sheet2!$A$2:$A$1453,"0"),Sheet2!$F$2:$F$1453,""))</f>
        <v>26-7-2026</v>
      </c>
      <c r="G668" s="2" t="str" cm="1">
        <f t="array" ref="G668">IFERROR(_xlfn.XLOOKUP(A668,Sheet2!$A$2:$A$1453,Sheet2!$G$2:$G$1453),_xlfn.XLOOKUP(A668,TEXT(Sheet2!$A$2:$A$1453,"0"),Sheet2!$G$2:$G$1453,""))</f>
        <v>5-10-2026</v>
      </c>
    </row>
    <row r="669" spans="1:7" x14ac:dyDescent="0.2">
      <c r="A669" s="1">
        <v>20715010154</v>
      </c>
      <c r="B669" t="str" cm="1">
        <f t="array" ref="B669">IFERROR(_xlfn.XLOOKUP(A669,Sheet2!$A$2:$A$1453,Sheet2!$B$2:$B$1453),_xlfn.XLOOKUP(A669,TEXT(Sheet2!$A$2:$A$1453,"0"),Sheet2!$B$2:$B$1453,""))</f>
        <v>S-26 GOLD NO (3) 1800G</v>
      </c>
      <c r="C669" s="2">
        <v>217.81</v>
      </c>
      <c r="D669" s="2" cm="1">
        <f t="array" ref="D669">_xlfn.LET(_xlpm.v,IFERROR(_xlfn.XLOOKUP(A669,Sheet2!$A$2:$A$1453,Sheet2!$D$2:$D$1453),_xlfn.XLOOKUP(A669,TEXT(Sheet2!$A$2:$A$1453,"0"),Sheet2!$D$2:$D$1453,"")),IF(_xlpm.v="","",IF(_xlpm.v&lt;1,_xlpm.v*100,_xlpm.v)))</f>
        <v>5</v>
      </c>
      <c r="E669" s="2">
        <f t="shared" si="10"/>
        <v>206.9195</v>
      </c>
      <c r="F669" s="2" t="str" cm="1">
        <f t="array" ref="F669">IFERROR(_xlfn.XLOOKUP(A669,Sheet2!$A$2:$A$1453,Sheet2!$F$2:$F$1453),_xlfn.XLOOKUP(A669,TEXT(Sheet2!$A$2:$A$1453,"0"),Sheet2!$F$2:$F$1453,""))</f>
        <v>26-7-2026</v>
      </c>
      <c r="G669" s="2" t="str" cm="1">
        <f t="array" ref="G669">IFERROR(_xlfn.XLOOKUP(A669,Sheet2!$A$2:$A$1453,Sheet2!$G$2:$G$1453),_xlfn.XLOOKUP(A669,TEXT(Sheet2!$A$2:$A$1453,"0"),Sheet2!$G$2:$G$1453,""))</f>
        <v>5-10-2026</v>
      </c>
    </row>
    <row r="670" spans="1:7" x14ac:dyDescent="0.2">
      <c r="A670" s="1">
        <v>20715010157</v>
      </c>
      <c r="B670" t="str" cm="1">
        <f t="array" ref="B670">IFERROR(_xlfn.XLOOKUP(A670,Sheet2!$A$2:$A$1453,Sheet2!$B$2:$B$1453),_xlfn.XLOOKUP(A670,TEXT(Sheet2!$A$2:$A$1453,"0"),Sheet2!$B$2:$B$1453,""))</f>
        <v>S-26 GOLD NO(3) 800 GM</v>
      </c>
      <c r="C670" s="2">
        <v>104.71</v>
      </c>
      <c r="D670" s="2" cm="1">
        <f t="array" ref="D670">_xlfn.LET(_xlpm.v,IFERROR(_xlfn.XLOOKUP(A670,Sheet2!$A$2:$A$1453,Sheet2!$D$2:$D$1453),_xlfn.XLOOKUP(A670,TEXT(Sheet2!$A$2:$A$1453,"0"),Sheet2!$D$2:$D$1453,"")),IF(_xlpm.v="","",IF(_xlpm.v&lt;1,_xlpm.v*100,_xlpm.v)))</f>
        <v>5</v>
      </c>
      <c r="E670" s="2">
        <f t="shared" si="10"/>
        <v>99.474499999999992</v>
      </c>
      <c r="F670" s="2" t="str" cm="1">
        <f t="array" ref="F670">IFERROR(_xlfn.XLOOKUP(A670,Sheet2!$A$2:$A$1453,Sheet2!$F$2:$F$1453),_xlfn.XLOOKUP(A670,TEXT(Sheet2!$A$2:$A$1453,"0"),Sheet2!$F$2:$F$1453,""))</f>
        <v>26-7-2026</v>
      </c>
      <c r="G670" s="2" t="str" cm="1">
        <f t="array" ref="G670">IFERROR(_xlfn.XLOOKUP(A670,Sheet2!$A$2:$A$1453,Sheet2!$G$2:$G$1453),_xlfn.XLOOKUP(A670,TEXT(Sheet2!$A$2:$A$1453,"0"),Sheet2!$G$2:$G$1453,""))</f>
        <v>5-10-2026</v>
      </c>
    </row>
    <row r="671" spans="1:7" x14ac:dyDescent="0.2">
      <c r="A671" s="1">
        <v>20715010160</v>
      </c>
      <c r="B671" t="str" cm="1">
        <f t="array" ref="B671">IFERROR(_xlfn.XLOOKUP(A671,Sheet2!$A$2:$A$1453,Sheet2!$B$2:$B$1453),_xlfn.XLOOKUP(A671,TEXT(Sheet2!$A$2:$A$1453,"0"),Sheet2!$B$2:$B$1453,""))</f>
        <v>S-26 GOLD NO(2) 800 GM</v>
      </c>
      <c r="C671" s="2">
        <v>112.87</v>
      </c>
      <c r="D671" s="2" cm="1">
        <f t="array" ref="D671">_xlfn.LET(_xlpm.v,IFERROR(_xlfn.XLOOKUP(A671,Sheet2!$A$2:$A$1453,Sheet2!$D$2:$D$1453),_xlfn.XLOOKUP(A671,TEXT(Sheet2!$A$2:$A$1453,"0"),Sheet2!$D$2:$D$1453,"")),IF(_xlpm.v="","",IF(_xlpm.v&lt;1,_xlpm.v*100,_xlpm.v)))</f>
        <v>5</v>
      </c>
      <c r="E671" s="2">
        <f t="shared" si="10"/>
        <v>107.2265</v>
      </c>
      <c r="F671" s="2" t="str" cm="1">
        <f t="array" ref="F671">IFERROR(_xlfn.XLOOKUP(A671,Sheet2!$A$2:$A$1453,Sheet2!$F$2:$F$1453),_xlfn.XLOOKUP(A671,TEXT(Sheet2!$A$2:$A$1453,"0"),Sheet2!$F$2:$F$1453,""))</f>
        <v>26-7-2026</v>
      </c>
      <c r="G671" s="2" t="str" cm="1">
        <f t="array" ref="G671">IFERROR(_xlfn.XLOOKUP(A671,Sheet2!$A$2:$A$1453,Sheet2!$G$2:$G$1453),_xlfn.XLOOKUP(A671,TEXT(Sheet2!$A$2:$A$1453,"0"),Sheet2!$G$2:$G$1453,""))</f>
        <v>5-10-2026</v>
      </c>
    </row>
    <row r="672" spans="1:7" x14ac:dyDescent="0.2">
      <c r="A672" s="1">
        <v>20715010164</v>
      </c>
      <c r="B672" t="str" cm="1">
        <f t="array" ref="B672">IFERROR(_xlfn.XLOOKUP(A672,Sheet2!$A$2:$A$1453,Sheet2!$B$2:$B$1453),_xlfn.XLOOKUP(A672,TEXT(Sheet2!$A$2:$A$1453,"0"),Sheet2!$B$2:$B$1453,""))</f>
        <v>RONAGROW 400 GM</v>
      </c>
      <c r="C672" s="2">
        <v>46.81</v>
      </c>
      <c r="D672" s="2" cm="1">
        <f t="array" ref="D672">_xlfn.LET(_xlpm.v,IFERROR(_xlfn.XLOOKUP(A672,Sheet2!$A$2:$A$1453,Sheet2!$D$2:$D$1453),_xlfn.XLOOKUP(A672,TEXT(Sheet2!$A$2:$A$1453,"0"),Sheet2!$D$2:$D$1453,"")),IF(_xlpm.v="","",IF(_xlpm.v&lt;1,_xlpm.v*100,_xlpm.v)))</f>
        <v>7.5</v>
      </c>
      <c r="E672" s="2">
        <f t="shared" si="10"/>
        <v>43.299250000000001</v>
      </c>
      <c r="F672" s="2" t="str" cm="1">
        <f t="array" ref="F672">IFERROR(_xlfn.XLOOKUP(A672,Sheet2!$A$2:$A$1453,Sheet2!$F$2:$F$1453),_xlfn.XLOOKUP(A672,TEXT(Sheet2!$A$2:$A$1453,"0"),Sheet2!$F$2:$F$1453,""))</f>
        <v>26-7-2026</v>
      </c>
      <c r="G672" s="2" t="str" cm="1">
        <f t="array" ref="G672">IFERROR(_xlfn.XLOOKUP(A672,Sheet2!$A$2:$A$1453,Sheet2!$G$2:$G$1453),_xlfn.XLOOKUP(A672,TEXT(Sheet2!$A$2:$A$1453,"0"),Sheet2!$G$2:$G$1453,""))</f>
        <v>5-10-2026</v>
      </c>
    </row>
    <row r="673" spans="1:7" x14ac:dyDescent="0.2">
      <c r="A673" s="1">
        <v>20715010192</v>
      </c>
      <c r="B673" t="str" cm="1">
        <f t="array" ref="B673">IFERROR(_xlfn.XLOOKUP(A673,Sheet2!$A$2:$A$1453,Sheet2!$B$2:$B$1453),_xlfn.XLOOKUP(A673,TEXT(Sheet2!$A$2:$A$1453,"0"),Sheet2!$B$2:$B$1453,""))</f>
        <v>RONAGROW 850 GM</v>
      </c>
      <c r="C673" s="2">
        <v>98.33</v>
      </c>
      <c r="D673" s="2" cm="1">
        <f t="array" ref="D673">_xlfn.LET(_xlpm.v,IFERROR(_xlfn.XLOOKUP(A673,Sheet2!$A$2:$A$1453,Sheet2!$D$2:$D$1453),_xlfn.XLOOKUP(A673,TEXT(Sheet2!$A$2:$A$1453,"0"),Sheet2!$D$2:$D$1453,"")),IF(_xlpm.v="","",IF(_xlpm.v&lt;1,_xlpm.v*100,_xlpm.v)))</f>
        <v>12.5</v>
      </c>
      <c r="E673" s="2">
        <f t="shared" si="10"/>
        <v>86.038749999999993</v>
      </c>
      <c r="F673" s="2" t="str" cm="1">
        <f t="array" ref="F673">IFERROR(_xlfn.XLOOKUP(A673,Sheet2!$A$2:$A$1453,Sheet2!$F$2:$F$1453),_xlfn.XLOOKUP(A673,TEXT(Sheet2!$A$2:$A$1453,"0"),Sheet2!$F$2:$F$1453,""))</f>
        <v>26-7-2026</v>
      </c>
      <c r="G673" s="2" t="str" cm="1">
        <f t="array" ref="G673">IFERROR(_xlfn.XLOOKUP(A673,Sheet2!$A$2:$A$1453,Sheet2!$G$2:$G$1453),_xlfn.XLOOKUP(A673,TEXT(Sheet2!$A$2:$A$1453,"0"),Sheet2!$G$2:$G$1453,""))</f>
        <v>5-10-2026</v>
      </c>
    </row>
    <row r="674" spans="1:7" x14ac:dyDescent="0.2">
      <c r="A674" s="1">
        <v>20715010167</v>
      </c>
      <c r="B674" t="str" cm="1">
        <f t="array" ref="B674">IFERROR(_xlfn.XLOOKUP(A674,Sheet2!$A$2:$A$1453,Sheet2!$B$2:$B$1453),_xlfn.XLOOKUP(A674,TEXT(Sheet2!$A$2:$A$1453,"0"),Sheet2!$B$2:$B$1453,""))</f>
        <v>RONALAC 1 400 GM</v>
      </c>
      <c r="C674" s="2">
        <v>46.81</v>
      </c>
      <c r="D674" s="2" cm="1">
        <f t="array" ref="D674">_xlfn.LET(_xlpm.v,IFERROR(_xlfn.XLOOKUP(A674,Sheet2!$A$2:$A$1453,Sheet2!$D$2:$D$1453),_xlfn.XLOOKUP(A674,TEXT(Sheet2!$A$2:$A$1453,"0"),Sheet2!$D$2:$D$1453,"")),IF(_xlpm.v="","",IF(_xlpm.v&lt;1,_xlpm.v*100,_xlpm.v)))</f>
        <v>7.5</v>
      </c>
      <c r="E674" s="2">
        <f t="shared" si="10"/>
        <v>43.299250000000001</v>
      </c>
      <c r="F674" s="2" t="str" cm="1">
        <f t="array" ref="F674">IFERROR(_xlfn.XLOOKUP(A674,Sheet2!$A$2:$A$1453,Sheet2!$F$2:$F$1453),_xlfn.XLOOKUP(A674,TEXT(Sheet2!$A$2:$A$1453,"0"),Sheet2!$F$2:$F$1453,""))</f>
        <v>26-7-2026</v>
      </c>
      <c r="G674" s="2" t="str" cm="1">
        <f t="array" ref="G674">IFERROR(_xlfn.XLOOKUP(A674,Sheet2!$A$2:$A$1453,Sheet2!$G$2:$G$1453),_xlfn.XLOOKUP(A674,TEXT(Sheet2!$A$2:$A$1453,"0"),Sheet2!$G$2:$G$1453,""))</f>
        <v>5-10-2026</v>
      </c>
    </row>
    <row r="675" spans="1:7" x14ac:dyDescent="0.2">
      <c r="A675" s="1">
        <v>20715010166</v>
      </c>
      <c r="B675" t="str" cm="1">
        <f t="array" ref="B675">IFERROR(_xlfn.XLOOKUP(A675,Sheet2!$A$2:$A$1453,Sheet2!$B$2:$B$1453),_xlfn.XLOOKUP(A675,TEXT(Sheet2!$A$2:$A$1453,"0"),Sheet2!$B$2:$B$1453,""))</f>
        <v>RONALAC 1  850 GM</v>
      </c>
      <c r="C675" s="2">
        <v>98.33</v>
      </c>
      <c r="D675" s="2" cm="1">
        <f t="array" ref="D675">_xlfn.LET(_xlpm.v,IFERROR(_xlfn.XLOOKUP(A675,Sheet2!$A$2:$A$1453,Sheet2!$D$2:$D$1453),_xlfn.XLOOKUP(A675,TEXT(Sheet2!$A$2:$A$1453,"0"),Sheet2!$D$2:$D$1453,"")),IF(_xlpm.v="","",IF(_xlpm.v&lt;1,_xlpm.v*100,_xlpm.v)))</f>
        <v>12.5</v>
      </c>
      <c r="E675" s="2">
        <f t="shared" si="10"/>
        <v>86.038749999999993</v>
      </c>
      <c r="F675" s="2" t="str" cm="1">
        <f t="array" ref="F675">IFERROR(_xlfn.XLOOKUP(A675,Sheet2!$A$2:$A$1453,Sheet2!$F$2:$F$1453),_xlfn.XLOOKUP(A675,TEXT(Sheet2!$A$2:$A$1453,"0"),Sheet2!$F$2:$F$1453,""))</f>
        <v>26-7-2026</v>
      </c>
      <c r="G675" s="2" t="str" cm="1">
        <f t="array" ref="G675">IFERROR(_xlfn.XLOOKUP(A675,Sheet2!$A$2:$A$1453,Sheet2!$G$2:$G$1453),_xlfn.XLOOKUP(A675,TEXT(Sheet2!$A$2:$A$1453,"0"),Sheet2!$G$2:$G$1453,""))</f>
        <v>5-10-2026</v>
      </c>
    </row>
    <row r="676" spans="1:7" x14ac:dyDescent="0.2">
      <c r="A676" s="1">
        <v>20715010169</v>
      </c>
      <c r="B676" t="str" cm="1">
        <f t="array" ref="B676">IFERROR(_xlfn.XLOOKUP(A676,Sheet2!$A$2:$A$1453,Sheet2!$B$2:$B$1453),_xlfn.XLOOKUP(A676,TEXT(Sheet2!$A$2:$A$1453,"0"),Sheet2!$B$2:$B$1453,""))</f>
        <v>RONALAC 2 400 GM</v>
      </c>
      <c r="C676" s="2">
        <v>46.81</v>
      </c>
      <c r="D676" s="2" cm="1">
        <f t="array" ref="D676">_xlfn.LET(_xlpm.v,IFERROR(_xlfn.XLOOKUP(A676,Sheet2!$A$2:$A$1453,Sheet2!$D$2:$D$1453),_xlfn.XLOOKUP(A676,TEXT(Sheet2!$A$2:$A$1453,"0"),Sheet2!$D$2:$D$1453,"")),IF(_xlpm.v="","",IF(_xlpm.v&lt;1,_xlpm.v*100,_xlpm.v)))</f>
        <v>7.5</v>
      </c>
      <c r="E676" s="2">
        <f t="shared" si="10"/>
        <v>43.299250000000001</v>
      </c>
      <c r="F676" s="2" t="str" cm="1">
        <f t="array" ref="F676">IFERROR(_xlfn.XLOOKUP(A676,Sheet2!$A$2:$A$1453,Sheet2!$F$2:$F$1453),_xlfn.XLOOKUP(A676,TEXT(Sheet2!$A$2:$A$1453,"0"),Sheet2!$F$2:$F$1453,""))</f>
        <v>26-7-2026</v>
      </c>
      <c r="G676" s="2" t="str" cm="1">
        <f t="array" ref="G676">IFERROR(_xlfn.XLOOKUP(A676,Sheet2!$A$2:$A$1453,Sheet2!$G$2:$G$1453),_xlfn.XLOOKUP(A676,TEXT(Sheet2!$A$2:$A$1453,"0"),Sheet2!$G$2:$G$1453,""))</f>
        <v>5-10-2026</v>
      </c>
    </row>
    <row r="677" spans="1:7" x14ac:dyDescent="0.2">
      <c r="A677" s="1">
        <v>20715010168</v>
      </c>
      <c r="B677" t="str" cm="1">
        <f t="array" ref="B677">IFERROR(_xlfn.XLOOKUP(A677,Sheet2!$A$2:$A$1453,Sheet2!$B$2:$B$1453),_xlfn.XLOOKUP(A677,TEXT(Sheet2!$A$2:$A$1453,"0"),Sheet2!$B$2:$B$1453,""))</f>
        <v>RONALAC 2  850 GM</v>
      </c>
      <c r="C677" s="2">
        <v>98.33</v>
      </c>
      <c r="D677" s="2" cm="1">
        <f t="array" ref="D677">_xlfn.LET(_xlpm.v,IFERROR(_xlfn.XLOOKUP(A677,Sheet2!$A$2:$A$1453,Sheet2!$D$2:$D$1453),_xlfn.XLOOKUP(A677,TEXT(Sheet2!$A$2:$A$1453,"0"),Sheet2!$D$2:$D$1453,"")),IF(_xlpm.v="","",IF(_xlpm.v&lt;1,_xlpm.v*100,_xlpm.v)))</f>
        <v>12.5</v>
      </c>
      <c r="E677" s="2">
        <f t="shared" si="10"/>
        <v>86.038749999999993</v>
      </c>
      <c r="F677" s="2" t="str" cm="1">
        <f t="array" ref="F677">IFERROR(_xlfn.XLOOKUP(A677,Sheet2!$A$2:$A$1453,Sheet2!$F$2:$F$1453),_xlfn.XLOOKUP(A677,TEXT(Sheet2!$A$2:$A$1453,"0"),Sheet2!$F$2:$F$1453,""))</f>
        <v>26-7-2026</v>
      </c>
      <c r="G677" s="2" t="str" cm="1">
        <f t="array" ref="G677">IFERROR(_xlfn.XLOOKUP(A677,Sheet2!$A$2:$A$1453,Sheet2!$G$2:$G$1453),_xlfn.XLOOKUP(A677,TEXT(Sheet2!$A$2:$A$1453,"0"),Sheet2!$G$2:$G$1453,""))</f>
        <v>5-10-2026</v>
      </c>
    </row>
    <row r="678" spans="1:7" x14ac:dyDescent="0.2">
      <c r="A678" s="1">
        <v>20715010233</v>
      </c>
      <c r="B678" t="str" cm="1">
        <f t="array" ref="B678">IFERROR(_xlfn.XLOOKUP(A678,Sheet2!$A$2:$A$1453,Sheet2!$B$2:$B$1453),_xlfn.XLOOKUP(A678,TEXT(Sheet2!$A$2:$A$1453,"0"),Sheet2!$B$2:$B$1453,""))</f>
        <v>RONALAC NO (1) 1700</v>
      </c>
      <c r="C678" s="2">
        <v>196.54</v>
      </c>
      <c r="D678" s="2" cm="1">
        <f t="array" ref="D678">_xlfn.LET(_xlpm.v,IFERROR(_xlfn.XLOOKUP(A678,Sheet2!$A$2:$A$1453,Sheet2!$D$2:$D$1453),_xlfn.XLOOKUP(A678,TEXT(Sheet2!$A$2:$A$1453,"0"),Sheet2!$D$2:$D$1453,"")),IF(_xlpm.v="","",IF(_xlpm.v&lt;1,_xlpm.v*100,_xlpm.v)))</f>
        <v>12.5</v>
      </c>
      <c r="E678" s="2">
        <f t="shared" si="10"/>
        <v>171.9725</v>
      </c>
      <c r="F678" s="2" t="str" cm="1">
        <f t="array" ref="F678">IFERROR(_xlfn.XLOOKUP(A678,Sheet2!$A$2:$A$1453,Sheet2!$F$2:$F$1453),_xlfn.XLOOKUP(A678,TEXT(Sheet2!$A$2:$A$1453,"0"),Sheet2!$F$2:$F$1453,""))</f>
        <v>26-7-2026</v>
      </c>
      <c r="G678" s="2" t="str" cm="1">
        <f t="array" ref="G678">IFERROR(_xlfn.XLOOKUP(A678,Sheet2!$A$2:$A$1453,Sheet2!$G$2:$G$1453),_xlfn.XLOOKUP(A678,TEXT(Sheet2!$A$2:$A$1453,"0"),Sheet2!$G$2:$G$1453,""))</f>
        <v>5-10-2026</v>
      </c>
    </row>
    <row r="679" spans="1:7" x14ac:dyDescent="0.2">
      <c r="A679" s="1">
        <v>20715010234</v>
      </c>
      <c r="B679" t="str" cm="1">
        <f t="array" ref="B679">IFERROR(_xlfn.XLOOKUP(A679,Sheet2!$A$2:$A$1453,Sheet2!$B$2:$B$1453),_xlfn.XLOOKUP(A679,TEXT(Sheet2!$A$2:$A$1453,"0"),Sheet2!$B$2:$B$1453,""))</f>
        <v>RONALAC NO (2) 1700</v>
      </c>
      <c r="C679" s="2">
        <v>196.54</v>
      </c>
      <c r="D679" s="2" cm="1">
        <f t="array" ref="D679">_xlfn.LET(_xlpm.v,IFERROR(_xlfn.XLOOKUP(A679,Sheet2!$A$2:$A$1453,Sheet2!$D$2:$D$1453),_xlfn.XLOOKUP(A679,TEXT(Sheet2!$A$2:$A$1453,"0"),Sheet2!$D$2:$D$1453,"")),IF(_xlpm.v="","",IF(_xlpm.v&lt;1,_xlpm.v*100,_xlpm.v)))</f>
        <v>12.5</v>
      </c>
      <c r="E679" s="2">
        <f t="shared" si="10"/>
        <v>171.9725</v>
      </c>
      <c r="F679" s="2" t="str" cm="1">
        <f t="array" ref="F679">IFERROR(_xlfn.XLOOKUP(A679,Sheet2!$A$2:$A$1453,Sheet2!$F$2:$F$1453),_xlfn.XLOOKUP(A679,TEXT(Sheet2!$A$2:$A$1453,"0"),Sheet2!$F$2:$F$1453,""))</f>
        <v>26-7-2026</v>
      </c>
      <c r="G679" s="2" t="str" cm="1">
        <f t="array" ref="G679">IFERROR(_xlfn.XLOOKUP(A679,Sheet2!$A$2:$A$1453,Sheet2!$G$2:$G$1453),_xlfn.XLOOKUP(A679,TEXT(Sheet2!$A$2:$A$1453,"0"),Sheet2!$G$2:$G$1453,""))</f>
        <v>5-10-2026</v>
      </c>
    </row>
    <row r="680" spans="1:7" x14ac:dyDescent="0.2">
      <c r="A680" s="1">
        <v>20715010178</v>
      </c>
      <c r="B680" t="str" cm="1">
        <f t="array" ref="B680">IFERROR(_xlfn.XLOOKUP(A680,Sheet2!$A$2:$A$1453,Sheet2!$B$2:$B$1453),_xlfn.XLOOKUP(A680,TEXT(Sheet2!$A$2:$A$1453,"0"),Sheet2!$B$2:$B$1453,""))</f>
        <v>S-26 NO(1) 800 GM</v>
      </c>
      <c r="C680" s="2">
        <v>112.36</v>
      </c>
      <c r="D680" s="2" cm="1">
        <f t="array" ref="D680">_xlfn.LET(_xlpm.v,IFERROR(_xlfn.XLOOKUP(A680,Sheet2!$A$2:$A$1453,Sheet2!$D$2:$D$1453),_xlfn.XLOOKUP(A680,TEXT(Sheet2!$A$2:$A$1453,"0"),Sheet2!$D$2:$D$1453,"")),IF(_xlpm.v="","",IF(_xlpm.v&lt;1,_xlpm.v*100,_xlpm.v)))</f>
        <v>5</v>
      </c>
      <c r="E680" s="2">
        <f t="shared" si="10"/>
        <v>106.74199999999999</v>
      </c>
      <c r="F680" s="2" t="str" cm="1">
        <f t="array" ref="F680">IFERROR(_xlfn.XLOOKUP(A680,Sheet2!$A$2:$A$1453,Sheet2!$F$2:$F$1453),_xlfn.XLOOKUP(A680,TEXT(Sheet2!$A$2:$A$1453,"0"),Sheet2!$F$2:$F$1453,""))</f>
        <v>26-7-2026</v>
      </c>
      <c r="G680" s="2" t="str" cm="1">
        <f t="array" ref="G680">IFERROR(_xlfn.XLOOKUP(A680,Sheet2!$A$2:$A$1453,Sheet2!$G$2:$G$1453),_xlfn.XLOOKUP(A680,TEXT(Sheet2!$A$2:$A$1453,"0"),Sheet2!$G$2:$G$1453,""))</f>
        <v>5-10-2026</v>
      </c>
    </row>
    <row r="681" spans="1:7" x14ac:dyDescent="0.2">
      <c r="A681" s="1">
        <v>20715010371</v>
      </c>
      <c r="B681" t="str" cm="1">
        <f t="array" ref="B681">IFERROR(_xlfn.XLOOKUP(A681,Sheet2!$A$2:$A$1453,Sheet2!$B$2:$B$1453),_xlfn.XLOOKUP(A681,TEXT(Sheet2!$A$2:$A$1453,"0"),Sheet2!$B$2:$B$1453,""))</f>
        <v>S-26 PRO GOLD NO(1) 1800G</v>
      </c>
      <c r="C681" s="2">
        <v>225.75</v>
      </c>
      <c r="D681" s="2" cm="1">
        <f t="array" ref="D681">_xlfn.LET(_xlpm.v,IFERROR(_xlfn.XLOOKUP(A681,Sheet2!$A$2:$A$1453,Sheet2!$D$2:$D$1453),_xlfn.XLOOKUP(A681,TEXT(Sheet2!$A$2:$A$1453,"0"),Sheet2!$D$2:$D$1453,"")),IF(_xlpm.v="","",IF(_xlpm.v&lt;1,_xlpm.v*100,_xlpm.v)))</f>
        <v>5</v>
      </c>
      <c r="E681" s="2">
        <f t="shared" si="10"/>
        <v>214.46249999999998</v>
      </c>
      <c r="F681" s="2" t="str" cm="1">
        <f t="array" ref="F681">IFERROR(_xlfn.XLOOKUP(A681,Sheet2!$A$2:$A$1453,Sheet2!$F$2:$F$1453),_xlfn.XLOOKUP(A681,TEXT(Sheet2!$A$2:$A$1453,"0"),Sheet2!$F$2:$F$1453,""))</f>
        <v>26-7-2026</v>
      </c>
      <c r="G681" s="2" t="str" cm="1">
        <f t="array" ref="G681">IFERROR(_xlfn.XLOOKUP(A681,Sheet2!$A$2:$A$1453,Sheet2!$G$2:$G$1453),_xlfn.XLOOKUP(A681,TEXT(Sheet2!$A$2:$A$1453,"0"),Sheet2!$G$2:$G$1453,""))</f>
        <v>5-10-2026</v>
      </c>
    </row>
    <row r="682" spans="1:7" x14ac:dyDescent="0.2">
      <c r="A682" s="1">
        <v>20715010372</v>
      </c>
      <c r="B682" t="str" cm="1">
        <f t="array" ref="B682">IFERROR(_xlfn.XLOOKUP(A682,Sheet2!$A$2:$A$1453,Sheet2!$B$2:$B$1453),_xlfn.XLOOKUP(A682,TEXT(Sheet2!$A$2:$A$1453,"0"),Sheet2!$B$2:$B$1453,""))</f>
        <v>S-26 GOLD NO(2) 1800 G</v>
      </c>
      <c r="C682" s="2">
        <v>220.46</v>
      </c>
      <c r="D682" s="2" cm="1">
        <f t="array" ref="D682">_xlfn.LET(_xlpm.v,IFERROR(_xlfn.XLOOKUP(A682,Sheet2!$A$2:$A$1453,Sheet2!$D$2:$D$1453),_xlfn.XLOOKUP(A682,TEXT(Sheet2!$A$2:$A$1453,"0"),Sheet2!$D$2:$D$1453,"")),IF(_xlpm.v="","",IF(_xlpm.v&lt;1,_xlpm.v*100,_xlpm.v)))</f>
        <v>5</v>
      </c>
      <c r="E682" s="2">
        <f t="shared" si="10"/>
        <v>209.43700000000001</v>
      </c>
      <c r="F682" s="2" t="str" cm="1">
        <f t="array" ref="F682">IFERROR(_xlfn.XLOOKUP(A682,Sheet2!$A$2:$A$1453,Sheet2!$F$2:$F$1453),_xlfn.XLOOKUP(A682,TEXT(Sheet2!$A$2:$A$1453,"0"),Sheet2!$F$2:$F$1453,""))</f>
        <v>26-7-2026</v>
      </c>
      <c r="G682" s="2" t="str" cm="1">
        <f t="array" ref="G682">IFERROR(_xlfn.XLOOKUP(A682,Sheet2!$A$2:$A$1453,Sheet2!$G$2:$G$1453),_xlfn.XLOOKUP(A682,TEXT(Sheet2!$A$2:$A$1453,"0"),Sheet2!$G$2:$G$1453,""))</f>
        <v>5-10-2026</v>
      </c>
    </row>
    <row r="683" spans="1:7" x14ac:dyDescent="0.2">
      <c r="A683" s="1">
        <v>20715010275</v>
      </c>
      <c r="B683" t="str" cm="1">
        <f t="array" ref="B683">IFERROR(_xlfn.XLOOKUP(A683,Sheet2!$A$2:$A$1453,Sheet2!$B$2:$B$1453),_xlfn.XLOOKUP(A683,TEXT(Sheet2!$A$2:$A$1453,"0"),Sheet2!$B$2:$B$1453,""))</f>
        <v>SIMILAC GOLD 1 800GM</v>
      </c>
      <c r="C683" s="2">
        <v>113</v>
      </c>
      <c r="D683" s="2" cm="1">
        <f t="array" ref="D683">_xlfn.LET(_xlpm.v,IFERROR(_xlfn.XLOOKUP(A683,Sheet2!$A$2:$A$1453,Sheet2!$D$2:$D$1453),_xlfn.XLOOKUP(A683,TEXT(Sheet2!$A$2:$A$1453,"0"),Sheet2!$D$2:$D$1453,"")),IF(_xlpm.v="","",IF(_xlpm.v&lt;1,_xlpm.v*100,_xlpm.v)))</f>
        <v>10</v>
      </c>
      <c r="E683" s="2">
        <f t="shared" si="10"/>
        <v>101.7</v>
      </c>
      <c r="F683" s="2" t="str" cm="1">
        <f t="array" ref="F683">IFERROR(_xlfn.XLOOKUP(A683,Sheet2!$A$2:$A$1453,Sheet2!$F$2:$F$1453),_xlfn.XLOOKUP(A683,TEXT(Sheet2!$A$2:$A$1453,"0"),Sheet2!$F$2:$F$1453,""))</f>
        <v>26-7-2026</v>
      </c>
      <c r="G683" s="2" t="str" cm="1">
        <f t="array" ref="G683">IFERROR(_xlfn.XLOOKUP(A683,Sheet2!$A$2:$A$1453,Sheet2!$G$2:$G$1453),_xlfn.XLOOKUP(A683,TEXT(Sheet2!$A$2:$A$1453,"0"),Sheet2!$G$2:$G$1453,""))</f>
        <v>5-10-2026</v>
      </c>
    </row>
    <row r="684" spans="1:7" x14ac:dyDescent="0.2">
      <c r="A684" s="1">
        <v>20715010376</v>
      </c>
      <c r="B684" t="str" cm="1">
        <f t="array" ref="B684">IFERROR(_xlfn.XLOOKUP(A684,Sheet2!$A$2:$A$1453,Sheet2!$B$2:$B$1453),_xlfn.XLOOKUP(A684,TEXT(Sheet2!$A$2:$A$1453,"0"),Sheet2!$B$2:$B$1453,""))</f>
        <v>SIMILAC GOLD 2 1600G</v>
      </c>
      <c r="C684" s="2">
        <v>210.93</v>
      </c>
      <c r="D684" s="2" cm="1">
        <f t="array" ref="D684">_xlfn.LET(_xlpm.v,IFERROR(_xlfn.XLOOKUP(A684,Sheet2!$A$2:$A$1453,Sheet2!$D$2:$D$1453),_xlfn.XLOOKUP(A684,TEXT(Sheet2!$A$2:$A$1453,"0"),Sheet2!$D$2:$D$1453,"")),IF(_xlpm.v="","",IF(_xlpm.v&lt;1,_xlpm.v*100,_xlpm.v)))</f>
        <v>10</v>
      </c>
      <c r="E684" s="2">
        <f t="shared" si="10"/>
        <v>189.83700000000002</v>
      </c>
      <c r="F684" s="2" t="str" cm="1">
        <f t="array" ref="F684">IFERROR(_xlfn.XLOOKUP(A684,Sheet2!$A$2:$A$1453,Sheet2!$F$2:$F$1453),_xlfn.XLOOKUP(A684,TEXT(Sheet2!$A$2:$A$1453,"0"),Sheet2!$F$2:$F$1453,""))</f>
        <v>26-7-2026</v>
      </c>
      <c r="G684" s="2" t="str" cm="1">
        <f t="array" ref="G684">IFERROR(_xlfn.XLOOKUP(A684,Sheet2!$A$2:$A$1453,Sheet2!$G$2:$G$1453),_xlfn.XLOOKUP(A684,TEXT(Sheet2!$A$2:$A$1453,"0"),Sheet2!$G$2:$G$1453,""))</f>
        <v>5-10-2026</v>
      </c>
    </row>
    <row r="685" spans="1:7" x14ac:dyDescent="0.2">
      <c r="A685" s="1">
        <v>20715010276</v>
      </c>
      <c r="B685" t="str" cm="1">
        <f t="array" ref="B685">IFERROR(_xlfn.XLOOKUP(A685,Sheet2!$A$2:$A$1453,Sheet2!$B$2:$B$1453),_xlfn.XLOOKUP(A685,TEXT(Sheet2!$A$2:$A$1453,"0"),Sheet2!$B$2:$B$1453,""))</f>
        <v>SIMILAC GOLD 2 800GM</v>
      </c>
      <c r="C685" s="2">
        <v>111.95</v>
      </c>
      <c r="D685" s="2" cm="1">
        <f t="array" ref="D685">_xlfn.LET(_xlpm.v,IFERROR(_xlfn.XLOOKUP(A685,Sheet2!$A$2:$A$1453,Sheet2!$D$2:$D$1453),_xlfn.XLOOKUP(A685,TEXT(Sheet2!$A$2:$A$1453,"0"),Sheet2!$D$2:$D$1453,"")),IF(_xlpm.v="","",IF(_xlpm.v&lt;1,_xlpm.v*100,_xlpm.v)))</f>
        <v>10</v>
      </c>
      <c r="E685" s="2">
        <f t="shared" si="10"/>
        <v>100.75500000000001</v>
      </c>
      <c r="F685" s="2" t="str" cm="1">
        <f t="array" ref="F685">IFERROR(_xlfn.XLOOKUP(A685,Sheet2!$A$2:$A$1453,Sheet2!$F$2:$F$1453),_xlfn.XLOOKUP(A685,TEXT(Sheet2!$A$2:$A$1453,"0"),Sheet2!$F$2:$F$1453,""))</f>
        <v>26-7-2026</v>
      </c>
      <c r="G685" s="2" t="str" cm="1">
        <f t="array" ref="G685">IFERROR(_xlfn.XLOOKUP(A685,Sheet2!$A$2:$A$1453,Sheet2!$G$2:$G$1453),_xlfn.XLOOKUP(A685,TEXT(Sheet2!$A$2:$A$1453,"0"),Sheet2!$G$2:$G$1453,""))</f>
        <v>5-10-2026</v>
      </c>
    </row>
    <row r="686" spans="1:7" x14ac:dyDescent="0.2">
      <c r="A686" s="1">
        <v>20715010377</v>
      </c>
      <c r="B686" t="str" cm="1">
        <f t="array" ref="B686">IFERROR(_xlfn.XLOOKUP(A686,Sheet2!$A$2:$A$1453,Sheet2!$B$2:$B$1453),_xlfn.XLOOKUP(A686,TEXT(Sheet2!$A$2:$A$1453,"0"),Sheet2!$B$2:$B$1453,""))</f>
        <v>SIMILAC GOLD 3 1600G</v>
      </c>
      <c r="C686" s="2">
        <v>204.78</v>
      </c>
      <c r="D686" s="2" cm="1">
        <f t="array" ref="D686">_xlfn.LET(_xlpm.v,IFERROR(_xlfn.XLOOKUP(A686,Sheet2!$A$2:$A$1453,Sheet2!$D$2:$D$1453),_xlfn.XLOOKUP(A686,TEXT(Sheet2!$A$2:$A$1453,"0"),Sheet2!$D$2:$D$1453,"")),IF(_xlpm.v="","",IF(_xlpm.v&lt;1,_xlpm.v*100,_xlpm.v)))</f>
        <v>10</v>
      </c>
      <c r="E686" s="2">
        <f t="shared" si="10"/>
        <v>184.30199999999999</v>
      </c>
      <c r="F686" s="2" t="str" cm="1">
        <f t="array" ref="F686">IFERROR(_xlfn.XLOOKUP(A686,Sheet2!$A$2:$A$1453,Sheet2!$F$2:$F$1453),_xlfn.XLOOKUP(A686,TEXT(Sheet2!$A$2:$A$1453,"0"),Sheet2!$F$2:$F$1453,""))</f>
        <v>26-7-2026</v>
      </c>
      <c r="G686" s="2" t="str" cm="1">
        <f t="array" ref="G686">IFERROR(_xlfn.XLOOKUP(A686,Sheet2!$A$2:$A$1453,Sheet2!$G$2:$G$1453),_xlfn.XLOOKUP(A686,TEXT(Sheet2!$A$2:$A$1453,"0"),Sheet2!$G$2:$G$1453,""))</f>
        <v>5-10-2026</v>
      </c>
    </row>
    <row r="687" spans="1:7" x14ac:dyDescent="0.2">
      <c r="A687" s="1">
        <v>20715010373</v>
      </c>
      <c r="B687" t="str" cm="1">
        <f t="array" ref="B687">IFERROR(_xlfn.XLOOKUP(A687,Sheet2!$A$2:$A$1453,Sheet2!$B$2:$B$1453),_xlfn.XLOOKUP(A687,TEXT(Sheet2!$A$2:$A$1453,"0"),Sheet2!$B$2:$B$1453,""))</f>
        <v>SIMILAC GOLD 3 POWDER 800G</v>
      </c>
      <c r="C687" s="2">
        <v>105.95</v>
      </c>
      <c r="D687" s="2" cm="1">
        <f t="array" ref="D687">_xlfn.LET(_xlpm.v,IFERROR(_xlfn.XLOOKUP(A687,Sheet2!$A$2:$A$1453,Sheet2!$D$2:$D$1453),_xlfn.XLOOKUP(A687,TEXT(Sheet2!$A$2:$A$1453,"0"),Sheet2!$D$2:$D$1453,"")),IF(_xlpm.v="","",IF(_xlpm.v&lt;1,_xlpm.v*100,_xlpm.v)))</f>
        <v>10</v>
      </c>
      <c r="E687" s="2">
        <f t="shared" si="10"/>
        <v>95.355000000000004</v>
      </c>
      <c r="F687" s="2" t="str" cm="1">
        <f t="array" ref="F687">IFERROR(_xlfn.XLOOKUP(A687,Sheet2!$A$2:$A$1453,Sheet2!$F$2:$F$1453),_xlfn.XLOOKUP(A687,TEXT(Sheet2!$A$2:$A$1453,"0"),Sheet2!$F$2:$F$1453,""))</f>
        <v>26-7-2026</v>
      </c>
      <c r="G687" s="2" t="str" cm="1">
        <f t="array" ref="G687">IFERROR(_xlfn.XLOOKUP(A687,Sheet2!$A$2:$A$1453,Sheet2!$G$2:$G$1453),_xlfn.XLOOKUP(A687,TEXT(Sheet2!$A$2:$A$1453,"0"),Sheet2!$G$2:$G$1453,""))</f>
        <v>5-10-2026</v>
      </c>
    </row>
    <row r="688" spans="1:7" x14ac:dyDescent="0.2">
      <c r="A688" s="1">
        <v>20715010071</v>
      </c>
      <c r="B688" t="str" cm="1">
        <f t="array" ref="B688">IFERROR(_xlfn.XLOOKUP(A688,Sheet2!$A$2:$A$1453,Sheet2!$B$2:$B$1453),_xlfn.XLOOKUP(A688,TEXT(Sheet2!$A$2:$A$1453,"0"),Sheet2!$B$2:$B$1453,""))</f>
        <v>HUMANA BEBEMIL NO 2 800g</v>
      </c>
      <c r="C688" s="2">
        <v>101.5</v>
      </c>
      <c r="D688" s="2" cm="1">
        <f t="array" ref="D688">_xlfn.LET(_xlpm.v,IFERROR(_xlfn.XLOOKUP(A688,Sheet2!$A$2:$A$1453,Sheet2!$D$2:$D$1453),_xlfn.XLOOKUP(A688,TEXT(Sheet2!$A$2:$A$1453,"0"),Sheet2!$D$2:$D$1453,"")),IF(_xlpm.v="","",IF(_xlpm.v&lt;1,_xlpm.v*100,_xlpm.v)))</f>
        <v>12.5</v>
      </c>
      <c r="E688" s="2">
        <f t="shared" si="10"/>
        <v>88.8125</v>
      </c>
      <c r="F688" s="2" t="str" cm="1">
        <f t="array" ref="F688">IFERROR(_xlfn.XLOOKUP(A688,Sheet2!$A$2:$A$1453,Sheet2!$F$2:$F$1453),_xlfn.XLOOKUP(A688,TEXT(Sheet2!$A$2:$A$1453,"0"),Sheet2!$F$2:$F$1453,""))</f>
        <v>26-7-2026</v>
      </c>
      <c r="G688" s="2" t="str" cm="1">
        <f t="array" ref="G688">IFERROR(_xlfn.XLOOKUP(A688,Sheet2!$A$2:$A$1453,Sheet2!$G$2:$G$1453),_xlfn.XLOOKUP(A688,TEXT(Sheet2!$A$2:$A$1453,"0"),Sheet2!$G$2:$G$1453,""))</f>
        <v>5-10-2026</v>
      </c>
    </row>
    <row r="689" spans="1:7" x14ac:dyDescent="0.2">
      <c r="A689" s="1">
        <v>20715010199</v>
      </c>
      <c r="B689" t="str" cm="1">
        <f t="array" ref="B689">IFERROR(_xlfn.XLOOKUP(A689,Sheet2!$A$2:$A$1453,Sheet2!$B$2:$B$1453),_xlfn.XLOOKUP(A689,TEXT(Sheet2!$A$2:$A$1453,"0"),Sheet2!$B$2:$B$1453,""))</f>
        <v>SUPRAMIL (2) 400G</v>
      </c>
      <c r="C689" s="2">
        <v>46</v>
      </c>
      <c r="D689" s="2" cm="1">
        <f t="array" ref="D689">_xlfn.LET(_xlpm.v,IFERROR(_xlfn.XLOOKUP(A689,Sheet2!$A$2:$A$1453,Sheet2!$D$2:$D$1453),_xlfn.XLOOKUP(A689,TEXT(Sheet2!$A$2:$A$1453,"0"),Sheet2!$D$2:$D$1453,"")),IF(_xlpm.v="","",IF(_xlpm.v&lt;1,_xlpm.v*100,_xlpm.v)))</f>
        <v>25</v>
      </c>
      <c r="E689" s="2">
        <f t="shared" si="10"/>
        <v>34.5</v>
      </c>
      <c r="F689" s="2" t="str" cm="1">
        <f t="array" ref="F689">IFERROR(_xlfn.XLOOKUP(A689,Sheet2!$A$2:$A$1453,Sheet2!$F$2:$F$1453),_xlfn.XLOOKUP(A689,TEXT(Sheet2!$A$2:$A$1453,"0"),Sheet2!$F$2:$F$1453,""))</f>
        <v>26-7-2026</v>
      </c>
      <c r="G689" s="2" t="str" cm="1">
        <f t="array" ref="G689">IFERROR(_xlfn.XLOOKUP(A689,Sheet2!$A$2:$A$1453,Sheet2!$G$2:$G$1453),_xlfn.XLOOKUP(A689,TEXT(Sheet2!$A$2:$A$1453,"0"),Sheet2!$G$2:$G$1453,""))</f>
        <v>5-10-2026</v>
      </c>
    </row>
    <row r="690" spans="1:7" x14ac:dyDescent="0.2">
      <c r="A690" s="1">
        <v>20715010201</v>
      </c>
      <c r="B690" t="str" cm="1">
        <f t="array" ref="B690">IFERROR(_xlfn.XLOOKUP(A690,Sheet2!$A$2:$A$1453,Sheet2!$B$2:$B$1453),_xlfn.XLOOKUP(A690,TEXT(Sheet2!$A$2:$A$1453,"0"),Sheet2!$B$2:$B$1453,""))</f>
        <v>SUPRAMIL(1)  400G</v>
      </c>
      <c r="C690" s="2">
        <v>46</v>
      </c>
      <c r="D690" s="2" cm="1">
        <f t="array" ref="D690">_xlfn.LET(_xlpm.v,IFERROR(_xlfn.XLOOKUP(A690,Sheet2!$A$2:$A$1453,Sheet2!$D$2:$D$1453),_xlfn.XLOOKUP(A690,TEXT(Sheet2!$A$2:$A$1453,"0"),Sheet2!$D$2:$D$1453,"")),IF(_xlpm.v="","",IF(_xlpm.v&lt;1,_xlpm.v*100,_xlpm.v)))</f>
        <v>25</v>
      </c>
      <c r="E690" s="2">
        <f t="shared" si="10"/>
        <v>34.5</v>
      </c>
      <c r="F690" s="2" t="str" cm="1">
        <f t="array" ref="F690">IFERROR(_xlfn.XLOOKUP(A690,Sheet2!$A$2:$A$1453,Sheet2!$F$2:$F$1453),_xlfn.XLOOKUP(A690,TEXT(Sheet2!$A$2:$A$1453,"0"),Sheet2!$F$2:$F$1453,""))</f>
        <v>26-7-2026</v>
      </c>
      <c r="G690" s="2" t="str" cm="1">
        <f t="array" ref="G690">IFERROR(_xlfn.XLOOKUP(A690,Sheet2!$A$2:$A$1453,Sheet2!$G$2:$G$1453),_xlfn.XLOOKUP(A690,TEXT(Sheet2!$A$2:$A$1453,"0"),Sheet2!$G$2:$G$1453,""))</f>
        <v>5-10-2026</v>
      </c>
    </row>
    <row r="691" spans="1:7" x14ac:dyDescent="0.2">
      <c r="A691" s="1">
        <v>20715010219</v>
      </c>
      <c r="B691" t="str" cm="1">
        <f t="array" ref="B691">IFERROR(_xlfn.XLOOKUP(A691,Sheet2!$A$2:$A$1453,Sheet2!$B$2:$B$1453),_xlfn.XLOOKUP(A691,TEXT(Sheet2!$A$2:$A$1453,"0"),Sheet2!$B$2:$B$1453,""))</f>
        <v>NURALAC NO 3 400 G</v>
      </c>
      <c r="C691" s="2">
        <v>46</v>
      </c>
      <c r="D691" s="2" cm="1">
        <f t="array" ref="D691">_xlfn.LET(_xlpm.v,IFERROR(_xlfn.XLOOKUP(A691,Sheet2!$A$2:$A$1453,Sheet2!$D$2:$D$1453),_xlfn.XLOOKUP(A691,TEXT(Sheet2!$A$2:$A$1453,"0"),Sheet2!$D$2:$D$1453,"")),IF(_xlpm.v="","",IF(_xlpm.v&lt;1,_xlpm.v*100,_xlpm.v)))</f>
        <v>17.5</v>
      </c>
      <c r="E691" s="2">
        <f t="shared" si="10"/>
        <v>37.949999999999996</v>
      </c>
      <c r="F691" s="2" t="str" cm="1">
        <f t="array" ref="F691">IFERROR(_xlfn.XLOOKUP(A691,Sheet2!$A$2:$A$1453,Sheet2!$F$2:$F$1453),_xlfn.XLOOKUP(A691,TEXT(Sheet2!$A$2:$A$1453,"0"),Sheet2!$F$2:$F$1453,""))</f>
        <v>26-7-2026</v>
      </c>
      <c r="G691" s="2" t="str" cm="1">
        <f t="array" ref="G691">IFERROR(_xlfn.XLOOKUP(A691,Sheet2!$A$2:$A$1453,Sheet2!$G$2:$G$1453),_xlfn.XLOOKUP(A691,TEXT(Sheet2!$A$2:$A$1453,"0"),Sheet2!$G$2:$G$1453,""))</f>
        <v>5-10-2026</v>
      </c>
    </row>
    <row r="692" spans="1:7" x14ac:dyDescent="0.2">
      <c r="A692" s="1">
        <v>20715010246</v>
      </c>
      <c r="B692" t="str" cm="1">
        <f t="array" ref="B692">IFERROR(_xlfn.XLOOKUP(A692,Sheet2!$A$2:$A$1453,Sheet2!$B$2:$B$1453),_xlfn.XLOOKUP(A692,TEXT(Sheet2!$A$2:$A$1453,"0"),Sheet2!$B$2:$B$1453,""))</f>
        <v>NURALAC NO3 900 G</v>
      </c>
      <c r="C692" s="2">
        <v>98.99</v>
      </c>
      <c r="D692" s="2" cm="1">
        <f t="array" ref="D692">_xlfn.LET(_xlpm.v,IFERROR(_xlfn.XLOOKUP(A692,Sheet2!$A$2:$A$1453,Sheet2!$D$2:$D$1453),_xlfn.XLOOKUP(A692,TEXT(Sheet2!$A$2:$A$1453,"0"),Sheet2!$D$2:$D$1453,"")),IF(_xlpm.v="","",IF(_xlpm.v&lt;1,_xlpm.v*100,_xlpm.v)))</f>
        <v>20</v>
      </c>
      <c r="E692" s="2">
        <f t="shared" si="10"/>
        <v>79.192000000000007</v>
      </c>
      <c r="F692" s="2" t="str" cm="1">
        <f t="array" ref="F692">IFERROR(_xlfn.XLOOKUP(A692,Sheet2!$A$2:$A$1453,Sheet2!$F$2:$F$1453),_xlfn.XLOOKUP(A692,TEXT(Sheet2!$A$2:$A$1453,"0"),Sheet2!$F$2:$F$1453,""))</f>
        <v>26-7-2026</v>
      </c>
      <c r="G692" s="2" t="str" cm="1">
        <f t="array" ref="G692">IFERROR(_xlfn.XLOOKUP(A692,Sheet2!$A$2:$A$1453,Sheet2!$G$2:$G$1453),_xlfn.XLOOKUP(A692,TEXT(Sheet2!$A$2:$A$1453,"0"),Sheet2!$G$2:$G$1453,""))</f>
        <v>5-10-2026</v>
      </c>
    </row>
    <row r="693" spans="1:7" x14ac:dyDescent="0.2">
      <c r="A693" s="1" t="s">
        <v>36</v>
      </c>
      <c r="B693" t="str" cm="1">
        <f t="array" ref="B693">IFERROR(_xlfn.XLOOKUP(A693,Sheet2!$A$2:$A$1453,Sheet2!$B$2:$B$1453),_xlfn.XLOOKUP(A693,TEXT(Sheet2!$A$2:$A$1453,"0"),Sheet2!$B$2:$B$1453,""))</f>
        <v>KIDS CLACIUM+VIT D3 PUREVE</v>
      </c>
      <c r="C693" s="2">
        <v>135.69999999999999</v>
      </c>
      <c r="D693" s="2" cm="1">
        <f t="array" ref="D693">_xlfn.LET(_xlpm.v,IFERROR(_xlfn.XLOOKUP(A693,Sheet2!$A$2:$A$1453,Sheet2!$D$2:$D$1453),_xlfn.XLOOKUP(A693,TEXT(Sheet2!$A$2:$A$1453,"0"),Sheet2!$D$2:$D$1453,"")),IF(_xlpm.v="","",IF(_xlpm.v&lt;1,_xlpm.v*100,_xlpm.v)))</f>
        <v>50</v>
      </c>
      <c r="E693" s="2">
        <f t="shared" si="10"/>
        <v>67.849999999999994</v>
      </c>
      <c r="F693" s="2" t="str" cm="1">
        <f t="array" ref="F693">IFERROR(_xlfn.XLOOKUP(A693,Sheet2!$A$2:$A$1453,Sheet2!$F$2:$F$1453),_xlfn.XLOOKUP(A693,TEXT(Sheet2!$A$2:$A$1453,"0"),Sheet2!$F$2:$F$1453,""))</f>
        <v>26-7-2026</v>
      </c>
      <c r="G693" s="2" t="str" cm="1">
        <f t="array" ref="G693">IFERROR(_xlfn.XLOOKUP(A693,Sheet2!$A$2:$A$1453,Sheet2!$G$2:$G$1453),_xlfn.XLOOKUP(A693,TEXT(Sheet2!$A$2:$A$1453,"0"),Sheet2!$G$2:$G$1453,""))</f>
        <v>31-12-2026</v>
      </c>
    </row>
    <row r="694" spans="1:7" x14ac:dyDescent="0.2">
      <c r="A694" s="1" t="s">
        <v>46</v>
      </c>
      <c r="B694" t="str" cm="1">
        <f t="array" ref="B694">IFERROR(_xlfn.XLOOKUP(A694,Sheet2!$A$2:$A$1453,Sheet2!$B$2:$B$1453),_xlfn.XLOOKUP(A694,TEXT(Sheet2!$A$2:$A$1453,"0"),Sheet2!$B$2:$B$1453,""))</f>
        <v>KIDS OMEGA3 DHA+EPA PUREV</v>
      </c>
      <c r="C694" s="2">
        <v>135.69999999999999</v>
      </c>
      <c r="D694" s="2" cm="1">
        <f t="array" ref="D694">_xlfn.LET(_xlpm.v,IFERROR(_xlfn.XLOOKUP(A694,Sheet2!$A$2:$A$1453,Sheet2!$D$2:$D$1453),_xlfn.XLOOKUP(A694,TEXT(Sheet2!$A$2:$A$1453,"0"),Sheet2!$D$2:$D$1453,"")),IF(_xlpm.v="","",IF(_xlpm.v&lt;1,_xlpm.v*100,_xlpm.v)))</f>
        <v>50</v>
      </c>
      <c r="E694" s="2">
        <f t="shared" si="10"/>
        <v>67.849999999999994</v>
      </c>
      <c r="F694" s="2" t="str" cm="1">
        <f t="array" ref="F694">IFERROR(_xlfn.XLOOKUP(A694,Sheet2!$A$2:$A$1453,Sheet2!$F$2:$F$1453),_xlfn.XLOOKUP(A694,TEXT(Sheet2!$A$2:$A$1453,"0"),Sheet2!$F$2:$F$1453,""))</f>
        <v>26-7-2026</v>
      </c>
      <c r="G694" s="2" t="str" cm="1">
        <f t="array" ref="G694">IFERROR(_xlfn.XLOOKUP(A694,Sheet2!$A$2:$A$1453,Sheet2!$G$2:$G$1453),_xlfn.XLOOKUP(A694,TEXT(Sheet2!$A$2:$A$1453,"0"),Sheet2!$G$2:$G$1453,""))</f>
        <v>31-12-2026</v>
      </c>
    </row>
    <row r="695" spans="1:7" x14ac:dyDescent="0.2">
      <c r="A695" s="1">
        <v>20715010395</v>
      </c>
      <c r="B695" t="str" cm="1">
        <f t="array" ref="B695">IFERROR(_xlfn.XLOOKUP(A695,Sheet2!$A$2:$A$1453,Sheet2!$B$2:$B$1453),_xlfn.XLOOKUP(A695,TEXT(Sheet2!$A$2:$A$1453,"0"),Sheet2!$B$2:$B$1453,""))</f>
        <v>HERO BABY NO (1) 400 GM</v>
      </c>
      <c r="C695" s="2">
        <v>45.89</v>
      </c>
      <c r="D695" s="2" cm="1">
        <f t="array" ref="D695">_xlfn.LET(_xlpm.v,IFERROR(_xlfn.XLOOKUP(A695,Sheet2!$A$2:$A$1453,Sheet2!$D$2:$D$1453),_xlfn.XLOOKUP(A695,TEXT(Sheet2!$A$2:$A$1453,"0"),Sheet2!$D$2:$D$1453,"")),IF(_xlpm.v="","",IF(_xlpm.v&lt;1,_xlpm.v*100,_xlpm.v)))</f>
        <v>40</v>
      </c>
      <c r="E695" s="2">
        <f t="shared" si="10"/>
        <v>27.533999999999999</v>
      </c>
      <c r="F695" s="2" t="str" cm="1">
        <f t="array" ref="F695">IFERROR(_xlfn.XLOOKUP(A695,Sheet2!$A$2:$A$1453,Sheet2!$F$2:$F$1453),_xlfn.XLOOKUP(A695,TEXT(Sheet2!$A$2:$A$1453,"0"),Sheet2!$F$2:$F$1453,""))</f>
        <v>26-7-2026</v>
      </c>
      <c r="G695" s="2" t="str" cm="1">
        <f t="array" ref="G695">IFERROR(_xlfn.XLOOKUP(A695,Sheet2!$A$2:$A$1453,Sheet2!$G$2:$G$1453),_xlfn.XLOOKUP(A695,TEXT(Sheet2!$A$2:$A$1453,"0"),Sheet2!$G$2:$G$1453,""))</f>
        <v>31-12-2026</v>
      </c>
    </row>
    <row r="696" spans="1:7" x14ac:dyDescent="0.2">
      <c r="A696" s="1">
        <v>20715010407</v>
      </c>
      <c r="B696" t="str" cm="1">
        <f t="array" ref="B696">IFERROR(_xlfn.XLOOKUP(A696,Sheet2!$A$2:$A$1453,Sheet2!$B$2:$B$1453),_xlfn.XLOOKUP(A696,TEXT(Sheet2!$A$2:$A$1453,"0"),Sheet2!$B$2:$B$1453,""))</f>
        <v>HERO BABY NO (2) 400 GM</v>
      </c>
      <c r="C696" s="2">
        <v>45.89</v>
      </c>
      <c r="D696" s="2" cm="1">
        <f t="array" ref="D696">_xlfn.LET(_xlpm.v,IFERROR(_xlfn.XLOOKUP(A696,Sheet2!$A$2:$A$1453,Sheet2!$D$2:$D$1453),_xlfn.XLOOKUP(A696,TEXT(Sheet2!$A$2:$A$1453,"0"),Sheet2!$D$2:$D$1453,"")),IF(_xlpm.v="","",IF(_xlpm.v&lt;1,_xlpm.v*100,_xlpm.v)))</f>
        <v>40</v>
      </c>
      <c r="E696" s="2">
        <f t="shared" si="10"/>
        <v>27.533999999999999</v>
      </c>
      <c r="F696" s="2" t="str" cm="1">
        <f t="array" ref="F696">IFERROR(_xlfn.XLOOKUP(A696,Sheet2!$A$2:$A$1453,Sheet2!$F$2:$F$1453),_xlfn.XLOOKUP(A696,TEXT(Sheet2!$A$2:$A$1453,"0"),Sheet2!$F$2:$F$1453,""))</f>
        <v>26-7-2026</v>
      </c>
      <c r="G696" s="2" t="str" cm="1">
        <f t="array" ref="G696">IFERROR(_xlfn.XLOOKUP(A696,Sheet2!$A$2:$A$1453,Sheet2!$G$2:$G$1453),_xlfn.XLOOKUP(A696,TEXT(Sheet2!$A$2:$A$1453,"0"),Sheet2!$G$2:$G$1453,""))</f>
        <v>31-12-2026</v>
      </c>
    </row>
    <row r="697" spans="1:7" x14ac:dyDescent="0.2">
      <c r="A697" s="1">
        <v>20715010408</v>
      </c>
      <c r="B697" t="str" cm="1">
        <f t="array" ref="B697">IFERROR(_xlfn.XLOOKUP(A697,Sheet2!$A$2:$A$1453,Sheet2!$B$2:$B$1453),_xlfn.XLOOKUP(A697,TEXT(Sheet2!$A$2:$A$1453,"0"),Sheet2!$B$2:$B$1453,""))</f>
        <v>HERO BABY NO (3) 400 GM</v>
      </c>
      <c r="C697" s="2">
        <v>42.67</v>
      </c>
      <c r="D697" s="2" cm="1">
        <f t="array" ref="D697">_xlfn.LET(_xlpm.v,IFERROR(_xlfn.XLOOKUP(A697,Sheet2!$A$2:$A$1453,Sheet2!$D$2:$D$1453),_xlfn.XLOOKUP(A697,TEXT(Sheet2!$A$2:$A$1453,"0"),Sheet2!$D$2:$D$1453,"")),IF(_xlpm.v="","",IF(_xlpm.v&lt;1,_xlpm.v*100,_xlpm.v)))</f>
        <v>40</v>
      </c>
      <c r="E697" s="2">
        <f t="shared" si="10"/>
        <v>25.602</v>
      </c>
      <c r="F697" s="2" t="str" cm="1">
        <f t="array" ref="F697">IFERROR(_xlfn.XLOOKUP(A697,Sheet2!$A$2:$A$1453,Sheet2!$F$2:$F$1453),_xlfn.XLOOKUP(A697,TEXT(Sheet2!$A$2:$A$1453,"0"),Sheet2!$F$2:$F$1453,""))</f>
        <v>26-7-2026</v>
      </c>
      <c r="G697" s="2" t="str" cm="1">
        <f t="array" ref="G697">IFERROR(_xlfn.XLOOKUP(A697,Sheet2!$A$2:$A$1453,Sheet2!$G$2:$G$1453),_xlfn.XLOOKUP(A697,TEXT(Sheet2!$A$2:$A$1453,"0"),Sheet2!$G$2:$G$1453,""))</f>
        <v>31-12-2026</v>
      </c>
    </row>
  </sheetData>
  <conditionalFormatting sqref="A2:C697">
    <cfRule type="expression" dxfId="3" priority="1">
      <formula>$G2="مطابق"</formula>
    </cfRule>
    <cfRule type="expression" dxfId="2" priority="2">
      <formula>$G2="قريب"</formula>
    </cfRule>
    <cfRule type="expression" dxfId="1" priority="3">
      <formula>$G2="غير مطابق"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FCF8-1F4C-4130-904B-FCA352DA3448}">
  <dimension ref="A1:H1453"/>
  <sheetViews>
    <sheetView workbookViewId="0">
      <selection activeCell="B103" sqref="B103"/>
    </sheetView>
  </sheetViews>
  <sheetFormatPr defaultRowHeight="15" x14ac:dyDescent="0.2"/>
  <cols>
    <col min="1" max="1" width="11.97265625" bestFit="1" customWidth="1"/>
    <col min="2" max="2" width="77.34765625" bestFit="1" customWidth="1"/>
    <col min="3" max="3" width="12.9140625" bestFit="1" customWidth="1"/>
    <col min="4" max="4" width="13.31640625" bestFit="1" customWidth="1"/>
    <col min="5" max="5" width="12.375" bestFit="1" customWidth="1"/>
    <col min="6" max="6" width="9.28125" bestFit="1" customWidth="1"/>
    <col min="7" max="7" width="10.35546875" bestFit="1" customWidth="1"/>
  </cols>
  <sheetData>
    <row r="1" spans="1:8" x14ac:dyDescent="0.2">
      <c r="A1" t="s">
        <v>71</v>
      </c>
      <c r="B1" t="s">
        <v>72</v>
      </c>
      <c r="C1" t="s">
        <v>1465</v>
      </c>
      <c r="D1" t="s">
        <v>73</v>
      </c>
      <c r="E1" t="s">
        <v>74</v>
      </c>
      <c r="F1" t="s">
        <v>75</v>
      </c>
      <c r="G1" t="s">
        <v>76</v>
      </c>
      <c r="H1" s="4" t="s">
        <v>1470</v>
      </c>
    </row>
    <row r="2" spans="1:8" x14ac:dyDescent="0.2">
      <c r="A2">
        <v>20615010023</v>
      </c>
      <c r="B2" t="s">
        <v>77</v>
      </c>
      <c r="C2">
        <v>76</v>
      </c>
      <c r="D2">
        <v>15</v>
      </c>
      <c r="E2">
        <v>64.599999999999994</v>
      </c>
      <c r="F2" t="s">
        <v>78</v>
      </c>
      <c r="G2" t="s">
        <v>79</v>
      </c>
      <c r="H2" t="str">
        <f>IF(COUNTIF(Sheet1!$A:$A,TEXT(A2,"0"))+COUNTIF(Sheet1!$A:$A,A2)&gt;0,"موجود","غير موجود")</f>
        <v>موجود</v>
      </c>
    </row>
    <row r="3" spans="1:8" x14ac:dyDescent="0.2">
      <c r="A3">
        <v>20615010401</v>
      </c>
      <c r="B3" t="s">
        <v>80</v>
      </c>
      <c r="C3">
        <v>135</v>
      </c>
      <c r="D3">
        <v>12.5</v>
      </c>
      <c r="E3">
        <v>118.125</v>
      </c>
      <c r="F3" t="s">
        <v>78</v>
      </c>
      <c r="G3" t="s">
        <v>79</v>
      </c>
      <c r="H3" t="str">
        <f>IF(COUNTIF(Sheet1!$A:$A,TEXT(A3,"0"))+COUNTIF(Sheet1!$A:$A,A3)&gt;0,"موجود","غير موجود")</f>
        <v>موجود</v>
      </c>
    </row>
    <row r="4" spans="1:8" x14ac:dyDescent="0.2">
      <c r="A4">
        <v>20615010404</v>
      </c>
      <c r="B4" t="s">
        <v>81</v>
      </c>
      <c r="C4">
        <v>80</v>
      </c>
      <c r="D4">
        <v>15</v>
      </c>
      <c r="E4">
        <v>68</v>
      </c>
      <c r="F4" t="s">
        <v>78</v>
      </c>
      <c r="G4" t="s">
        <v>79</v>
      </c>
      <c r="H4" t="str">
        <f>IF(COUNTIF(Sheet1!$A:$A,TEXT(A4,"0"))+COUNTIF(Sheet1!$A:$A,A4)&gt;0,"موجود","غير موجود")</f>
        <v>موجود</v>
      </c>
    </row>
    <row r="5" spans="1:8" x14ac:dyDescent="0.2">
      <c r="A5">
        <v>20615010263</v>
      </c>
      <c r="B5" t="s">
        <v>82</v>
      </c>
      <c r="C5">
        <v>97</v>
      </c>
      <c r="D5">
        <v>12.5</v>
      </c>
      <c r="E5">
        <v>84.875</v>
      </c>
      <c r="F5" t="s">
        <v>78</v>
      </c>
      <c r="G5" t="s">
        <v>83</v>
      </c>
      <c r="H5" t="str">
        <f>IF(COUNTIF(Sheet1!$A:$A,TEXT(A5,"0"))+COUNTIF(Sheet1!$A:$A,A5)&gt;0,"موجود","غير موجود")</f>
        <v>غير موجود</v>
      </c>
    </row>
    <row r="6" spans="1:8" x14ac:dyDescent="0.2">
      <c r="A6">
        <v>20615010265</v>
      </c>
      <c r="B6" t="s">
        <v>84</v>
      </c>
      <c r="C6">
        <v>97</v>
      </c>
      <c r="D6">
        <v>12.5</v>
      </c>
      <c r="E6">
        <v>84.875</v>
      </c>
      <c r="F6" t="s">
        <v>78</v>
      </c>
      <c r="G6" t="s">
        <v>83</v>
      </c>
      <c r="H6" t="str">
        <f>IF(COUNTIF(Sheet1!$A:$A,TEXT(A6,"0"))+COUNTIF(Sheet1!$A:$A,A6)&gt;0,"موجود","غير موجود")</f>
        <v>غير موجود</v>
      </c>
    </row>
    <row r="7" spans="1:8" x14ac:dyDescent="0.2">
      <c r="A7">
        <v>20615010266</v>
      </c>
      <c r="B7" t="s">
        <v>85</v>
      </c>
      <c r="C7">
        <v>97</v>
      </c>
      <c r="D7">
        <v>12.5</v>
      </c>
      <c r="E7">
        <v>84.875</v>
      </c>
      <c r="F7" t="s">
        <v>78</v>
      </c>
      <c r="G7" t="s">
        <v>83</v>
      </c>
      <c r="H7" t="str">
        <f>IF(COUNTIF(Sheet1!$A:$A,TEXT(A7,"0"))+COUNTIF(Sheet1!$A:$A,A7)&gt;0,"موجود","غير موجود")</f>
        <v>غير موجود</v>
      </c>
    </row>
    <row r="8" spans="1:8" x14ac:dyDescent="0.2">
      <c r="A8">
        <v>20615010267</v>
      </c>
      <c r="B8" t="s">
        <v>86</v>
      </c>
      <c r="C8">
        <v>97</v>
      </c>
      <c r="D8">
        <v>12.5</v>
      </c>
      <c r="E8">
        <v>84.875</v>
      </c>
      <c r="F8" t="s">
        <v>78</v>
      </c>
      <c r="G8" t="s">
        <v>83</v>
      </c>
      <c r="H8" t="str">
        <f>IF(COUNTIF(Sheet1!$A:$A,TEXT(A8,"0"))+COUNTIF(Sheet1!$A:$A,A8)&gt;0,"موجود","غير موجود")</f>
        <v>موجود</v>
      </c>
    </row>
    <row r="9" spans="1:8" x14ac:dyDescent="0.2">
      <c r="A9">
        <v>20615010268</v>
      </c>
      <c r="B9" t="s">
        <v>87</v>
      </c>
      <c r="C9">
        <v>97</v>
      </c>
      <c r="D9">
        <v>12.5</v>
      </c>
      <c r="E9">
        <v>84.875</v>
      </c>
      <c r="F9" t="s">
        <v>78</v>
      </c>
      <c r="G9" t="s">
        <v>83</v>
      </c>
      <c r="H9" t="str">
        <f>IF(COUNTIF(Sheet1!$A:$A,TEXT(A9,"0"))+COUNTIF(Sheet1!$A:$A,A9)&gt;0,"موجود","غير موجود")</f>
        <v>غير موجود</v>
      </c>
    </row>
    <row r="10" spans="1:8" x14ac:dyDescent="0.2">
      <c r="A10">
        <v>20615010269</v>
      </c>
      <c r="B10" t="s">
        <v>88</v>
      </c>
      <c r="C10">
        <v>97</v>
      </c>
      <c r="D10">
        <v>12.5</v>
      </c>
      <c r="E10">
        <v>84.875</v>
      </c>
      <c r="F10" t="s">
        <v>78</v>
      </c>
      <c r="G10" t="s">
        <v>83</v>
      </c>
      <c r="H10" t="str">
        <f>IF(COUNTIF(Sheet1!$A:$A,TEXT(A10,"0"))+COUNTIF(Sheet1!$A:$A,A10)&gt;0,"موجود","غير موجود")</f>
        <v>موجود</v>
      </c>
    </row>
    <row r="11" spans="1:8" x14ac:dyDescent="0.2">
      <c r="A11">
        <v>20615010175</v>
      </c>
      <c r="B11" t="s">
        <v>89</v>
      </c>
      <c r="C11">
        <v>76</v>
      </c>
      <c r="D11">
        <v>12.5</v>
      </c>
      <c r="E11">
        <v>66.5</v>
      </c>
      <c r="F11" t="s">
        <v>78</v>
      </c>
      <c r="G11" t="s">
        <v>83</v>
      </c>
      <c r="H11" t="str">
        <f>IF(COUNTIF(Sheet1!$A:$A,TEXT(A11,"0"))+COUNTIF(Sheet1!$A:$A,A11)&gt;0,"موجود","غير موجود")</f>
        <v>موجود</v>
      </c>
    </row>
    <row r="12" spans="1:8" x14ac:dyDescent="0.2">
      <c r="A12">
        <v>20615010110</v>
      </c>
      <c r="B12" t="s">
        <v>90</v>
      </c>
      <c r="C12">
        <v>76</v>
      </c>
      <c r="D12">
        <v>12.5</v>
      </c>
      <c r="E12">
        <v>66.5</v>
      </c>
      <c r="F12" t="s">
        <v>78</v>
      </c>
      <c r="G12" t="s">
        <v>83</v>
      </c>
      <c r="H12" t="str">
        <f>IF(COUNTIF(Sheet1!$A:$A,TEXT(A12,"0"))+COUNTIF(Sheet1!$A:$A,A12)&gt;0,"موجود","غير موجود")</f>
        <v>موجود</v>
      </c>
    </row>
    <row r="13" spans="1:8" x14ac:dyDescent="0.2">
      <c r="A13">
        <v>20615010109</v>
      </c>
      <c r="B13" t="s">
        <v>91</v>
      </c>
      <c r="C13">
        <v>76</v>
      </c>
      <c r="D13">
        <v>12.5</v>
      </c>
      <c r="E13">
        <v>66.5</v>
      </c>
      <c r="F13" t="s">
        <v>78</v>
      </c>
      <c r="G13" t="s">
        <v>83</v>
      </c>
      <c r="H13" t="str">
        <f>IF(COUNTIF(Sheet1!$A:$A,TEXT(A13,"0"))+COUNTIF(Sheet1!$A:$A,A13)&gt;0,"موجود","غير موجود")</f>
        <v>غير موجود</v>
      </c>
    </row>
    <row r="14" spans="1:8" x14ac:dyDescent="0.2">
      <c r="A14">
        <v>20615010259</v>
      </c>
      <c r="B14" t="s">
        <v>92</v>
      </c>
      <c r="C14">
        <v>76</v>
      </c>
      <c r="D14">
        <v>12.5</v>
      </c>
      <c r="E14">
        <v>66.5</v>
      </c>
      <c r="F14" t="s">
        <v>78</v>
      </c>
      <c r="G14" t="s">
        <v>83</v>
      </c>
      <c r="H14" t="str">
        <f>IF(COUNTIF(Sheet1!$A:$A,TEXT(A14,"0"))+COUNTIF(Sheet1!$A:$A,A14)&gt;0,"موجود","غير موجود")</f>
        <v>غير موجود</v>
      </c>
    </row>
    <row r="15" spans="1:8" x14ac:dyDescent="0.2">
      <c r="A15">
        <v>20615010173</v>
      </c>
      <c r="B15" t="s">
        <v>93</v>
      </c>
      <c r="C15">
        <v>76</v>
      </c>
      <c r="D15">
        <v>12.5</v>
      </c>
      <c r="E15">
        <v>66.5</v>
      </c>
      <c r="F15" t="s">
        <v>78</v>
      </c>
      <c r="G15" t="s">
        <v>83</v>
      </c>
      <c r="H15" t="str">
        <f>IF(COUNTIF(Sheet1!$A:$A,TEXT(A15,"0"))+COUNTIF(Sheet1!$A:$A,A15)&gt;0,"موجود","غير موجود")</f>
        <v>موجود</v>
      </c>
    </row>
    <row r="16" spans="1:8" x14ac:dyDescent="0.2">
      <c r="A16">
        <v>20615010290</v>
      </c>
      <c r="B16" t="s">
        <v>94</v>
      </c>
      <c r="C16">
        <v>76</v>
      </c>
      <c r="D16">
        <v>12.5</v>
      </c>
      <c r="E16">
        <v>66.5</v>
      </c>
      <c r="F16" t="s">
        <v>78</v>
      </c>
      <c r="G16" t="s">
        <v>83</v>
      </c>
      <c r="H16" t="str">
        <f>IF(COUNTIF(Sheet1!$A:$A,TEXT(A16,"0"))+COUNTIF(Sheet1!$A:$A,A16)&gt;0,"موجود","غير موجود")</f>
        <v>غير موجود</v>
      </c>
    </row>
    <row r="17" spans="1:8" x14ac:dyDescent="0.2">
      <c r="A17">
        <v>20615010119</v>
      </c>
      <c r="B17" t="s">
        <v>95</v>
      </c>
      <c r="C17">
        <v>76</v>
      </c>
      <c r="D17">
        <v>12.5</v>
      </c>
      <c r="E17">
        <v>66.5</v>
      </c>
      <c r="F17" t="s">
        <v>78</v>
      </c>
      <c r="G17" t="s">
        <v>83</v>
      </c>
      <c r="H17" t="str">
        <f>IF(COUNTIF(Sheet1!$A:$A,TEXT(A17,"0"))+COUNTIF(Sheet1!$A:$A,A17)&gt;0,"موجود","غير موجود")</f>
        <v>موجود</v>
      </c>
    </row>
    <row r="18" spans="1:8" x14ac:dyDescent="0.2">
      <c r="A18">
        <v>20309010004</v>
      </c>
      <c r="B18" t="s">
        <v>96</v>
      </c>
      <c r="C18">
        <v>21.85</v>
      </c>
      <c r="D18">
        <v>15</v>
      </c>
      <c r="E18">
        <v>18.572500000000002</v>
      </c>
      <c r="F18" t="s">
        <v>78</v>
      </c>
      <c r="G18" t="s">
        <v>79</v>
      </c>
      <c r="H18" t="str">
        <f>IF(COUNTIF(Sheet1!$A:$A,TEXT(A18,"0"))+COUNTIF(Sheet1!$A:$A,A18)&gt;0,"موجود","غير موجود")</f>
        <v>موجود</v>
      </c>
    </row>
    <row r="19" spans="1:8" x14ac:dyDescent="0.2">
      <c r="A19">
        <v>20309010006</v>
      </c>
      <c r="B19" t="s">
        <v>97</v>
      </c>
      <c r="C19">
        <v>21.849999999999998</v>
      </c>
      <c r="D19">
        <v>15</v>
      </c>
      <c r="E19">
        <v>18.572499999999998</v>
      </c>
      <c r="F19" t="s">
        <v>78</v>
      </c>
      <c r="G19" t="s">
        <v>79</v>
      </c>
      <c r="H19" t="str">
        <f>IF(COUNTIF(Sheet1!$A:$A,TEXT(A19,"0"))+COUNTIF(Sheet1!$A:$A,A19)&gt;0,"موجود","غير موجود")</f>
        <v>موجود</v>
      </c>
    </row>
    <row r="20" spans="1:8" x14ac:dyDescent="0.2">
      <c r="A20">
        <v>20309010007</v>
      </c>
      <c r="B20" t="s">
        <v>98</v>
      </c>
      <c r="C20">
        <v>21.849999999999998</v>
      </c>
      <c r="D20">
        <v>15</v>
      </c>
      <c r="E20">
        <v>18.572499999999998</v>
      </c>
      <c r="F20" t="s">
        <v>78</v>
      </c>
      <c r="G20" t="s">
        <v>79</v>
      </c>
      <c r="H20" t="str">
        <f>IF(COUNTIF(Sheet1!$A:$A,TEXT(A20,"0"))+COUNTIF(Sheet1!$A:$A,A20)&gt;0,"موجود","غير موجود")</f>
        <v>موجود</v>
      </c>
    </row>
    <row r="21" spans="1:8" x14ac:dyDescent="0.2">
      <c r="A21">
        <v>20309010008</v>
      </c>
      <c r="B21" t="s">
        <v>99</v>
      </c>
      <c r="C21">
        <v>21.849999999999998</v>
      </c>
      <c r="D21">
        <v>15</v>
      </c>
      <c r="E21">
        <v>18.572499999999998</v>
      </c>
      <c r="F21" t="s">
        <v>78</v>
      </c>
      <c r="G21" t="s">
        <v>79</v>
      </c>
      <c r="H21" t="str">
        <f>IF(COUNTIF(Sheet1!$A:$A,TEXT(A21,"0"))+COUNTIF(Sheet1!$A:$A,A21)&gt;0,"موجود","غير موجود")</f>
        <v>موجود</v>
      </c>
    </row>
    <row r="22" spans="1:8" x14ac:dyDescent="0.2">
      <c r="A22">
        <v>20309010012</v>
      </c>
      <c r="B22" t="s">
        <v>100</v>
      </c>
      <c r="C22">
        <v>21.849999999999998</v>
      </c>
      <c r="D22">
        <v>15</v>
      </c>
      <c r="E22">
        <v>18.572499999999998</v>
      </c>
      <c r="F22" t="s">
        <v>78</v>
      </c>
      <c r="G22" t="s">
        <v>79</v>
      </c>
      <c r="H22" t="str">
        <f>IF(COUNTIF(Sheet1!$A:$A,TEXT(A22,"0"))+COUNTIF(Sheet1!$A:$A,A22)&gt;0,"موجود","غير موجود")</f>
        <v>موجود</v>
      </c>
    </row>
    <row r="23" spans="1:8" x14ac:dyDescent="0.2">
      <c r="A23">
        <v>20309010013</v>
      </c>
      <c r="B23" t="s">
        <v>101</v>
      </c>
      <c r="C23">
        <v>21.85</v>
      </c>
      <c r="D23">
        <v>15</v>
      </c>
      <c r="E23">
        <v>18.572500000000002</v>
      </c>
      <c r="F23" t="s">
        <v>78</v>
      </c>
      <c r="G23" t="s">
        <v>79</v>
      </c>
      <c r="H23" t="str">
        <f>IF(COUNTIF(Sheet1!$A:$A,TEXT(A23,"0"))+COUNTIF(Sheet1!$A:$A,A23)&gt;0,"موجود","غير موجود")</f>
        <v>موجود</v>
      </c>
    </row>
    <row r="24" spans="1:8" x14ac:dyDescent="0.2">
      <c r="A24">
        <v>20309010018</v>
      </c>
      <c r="B24" t="s">
        <v>102</v>
      </c>
      <c r="C24">
        <v>21.849999999999998</v>
      </c>
      <c r="D24">
        <v>15</v>
      </c>
      <c r="E24">
        <v>18.572499999999998</v>
      </c>
      <c r="F24" t="s">
        <v>78</v>
      </c>
      <c r="G24" t="s">
        <v>79</v>
      </c>
      <c r="H24" t="str">
        <f>IF(COUNTIF(Sheet1!$A:$A,TEXT(A24,"0"))+COUNTIF(Sheet1!$A:$A,A24)&gt;0,"موجود","غير موجود")</f>
        <v>موجود</v>
      </c>
    </row>
    <row r="25" spans="1:8" x14ac:dyDescent="0.2">
      <c r="A25">
        <v>20309010019</v>
      </c>
      <c r="B25" t="s">
        <v>103</v>
      </c>
      <c r="C25">
        <v>21.849999999999998</v>
      </c>
      <c r="D25">
        <v>15</v>
      </c>
      <c r="E25">
        <v>18.572499999999998</v>
      </c>
      <c r="F25" t="s">
        <v>78</v>
      </c>
      <c r="G25" t="s">
        <v>79</v>
      </c>
      <c r="H25" t="str">
        <f>IF(COUNTIF(Sheet1!$A:$A,TEXT(A25,"0"))+COUNTIF(Sheet1!$A:$A,A25)&gt;0,"موجود","غير موجود")</f>
        <v>موجود</v>
      </c>
    </row>
    <row r="26" spans="1:8" x14ac:dyDescent="0.2">
      <c r="A26">
        <v>20309010026</v>
      </c>
      <c r="B26" t="s">
        <v>104</v>
      </c>
      <c r="C26">
        <v>13.61</v>
      </c>
      <c r="D26">
        <v>15</v>
      </c>
      <c r="E26">
        <v>11.5685</v>
      </c>
      <c r="F26" t="s">
        <v>78</v>
      </c>
      <c r="G26" t="s">
        <v>79</v>
      </c>
      <c r="H26" t="str">
        <f>IF(COUNTIF(Sheet1!$A:$A,TEXT(A26,"0"))+COUNTIF(Sheet1!$A:$A,A26)&gt;0,"موجود","غير موجود")</f>
        <v>موجود</v>
      </c>
    </row>
    <row r="27" spans="1:8" x14ac:dyDescent="0.2">
      <c r="A27">
        <v>20309010027</v>
      </c>
      <c r="B27" t="s">
        <v>105</v>
      </c>
      <c r="C27">
        <v>13.61</v>
      </c>
      <c r="D27">
        <v>15</v>
      </c>
      <c r="E27">
        <v>11.5685</v>
      </c>
      <c r="F27" t="s">
        <v>78</v>
      </c>
      <c r="G27" t="s">
        <v>79</v>
      </c>
      <c r="H27" t="str">
        <f>IF(COUNTIF(Sheet1!$A:$A,TEXT(A27,"0"))+COUNTIF(Sheet1!$A:$A,A27)&gt;0,"موجود","غير موجود")</f>
        <v>موجود</v>
      </c>
    </row>
    <row r="28" spans="1:8" x14ac:dyDescent="0.2">
      <c r="A28">
        <v>20309010047</v>
      </c>
      <c r="B28" t="s">
        <v>106</v>
      </c>
      <c r="C28">
        <v>18.91</v>
      </c>
      <c r="D28">
        <v>15</v>
      </c>
      <c r="E28">
        <v>16.073499999999999</v>
      </c>
      <c r="F28" t="s">
        <v>78</v>
      </c>
      <c r="G28" t="s">
        <v>79</v>
      </c>
      <c r="H28" t="str">
        <f>IF(COUNTIF(Sheet1!$A:$A,TEXT(A28,"0"))+COUNTIF(Sheet1!$A:$A,A28)&gt;0,"موجود","غير موجود")</f>
        <v>موجود</v>
      </c>
    </row>
    <row r="29" spans="1:8" x14ac:dyDescent="0.2">
      <c r="A29">
        <v>20309010064</v>
      </c>
      <c r="B29" t="s">
        <v>107</v>
      </c>
      <c r="C29">
        <v>13.61</v>
      </c>
      <c r="D29">
        <v>15</v>
      </c>
      <c r="E29">
        <v>11.5685</v>
      </c>
      <c r="F29" t="s">
        <v>78</v>
      </c>
      <c r="G29" t="s">
        <v>79</v>
      </c>
      <c r="H29" t="str">
        <f>IF(COUNTIF(Sheet1!$A:$A,TEXT(A29,"0"))+COUNTIF(Sheet1!$A:$A,A29)&gt;0,"موجود","غير موجود")</f>
        <v>موجود</v>
      </c>
    </row>
    <row r="30" spans="1:8" x14ac:dyDescent="0.2">
      <c r="A30">
        <v>20309010065</v>
      </c>
      <c r="B30" t="s">
        <v>108</v>
      </c>
      <c r="C30">
        <v>13.61</v>
      </c>
      <c r="D30">
        <v>15</v>
      </c>
      <c r="E30">
        <v>11.5685</v>
      </c>
      <c r="F30" t="s">
        <v>78</v>
      </c>
      <c r="G30" t="s">
        <v>79</v>
      </c>
      <c r="H30" t="str">
        <f>IF(COUNTIF(Sheet1!$A:$A,TEXT(A30,"0"))+COUNTIF(Sheet1!$A:$A,A30)&gt;0,"موجود","غير موجود")</f>
        <v>موجود</v>
      </c>
    </row>
    <row r="31" spans="1:8" x14ac:dyDescent="0.2">
      <c r="A31">
        <v>20309010073</v>
      </c>
      <c r="B31" t="s">
        <v>109</v>
      </c>
      <c r="C31">
        <v>17.3</v>
      </c>
      <c r="D31">
        <v>15</v>
      </c>
      <c r="E31">
        <v>14.705</v>
      </c>
      <c r="F31" t="s">
        <v>78</v>
      </c>
      <c r="G31" t="s">
        <v>79</v>
      </c>
      <c r="H31" t="str">
        <f>IF(COUNTIF(Sheet1!$A:$A,TEXT(A31,"0"))+COUNTIF(Sheet1!$A:$A,A31)&gt;0,"موجود","غير موجود")</f>
        <v>موجود</v>
      </c>
    </row>
    <row r="32" spans="1:8" x14ac:dyDescent="0.2">
      <c r="A32">
        <v>20309010134</v>
      </c>
      <c r="B32" t="s">
        <v>110</v>
      </c>
      <c r="C32">
        <v>28</v>
      </c>
      <c r="D32">
        <v>15</v>
      </c>
      <c r="E32">
        <v>23.8</v>
      </c>
      <c r="F32" t="s">
        <v>78</v>
      </c>
      <c r="G32" t="s">
        <v>79</v>
      </c>
      <c r="H32" t="str">
        <f>IF(COUNTIF(Sheet1!$A:$A,TEXT(A32,"0"))+COUNTIF(Sheet1!$A:$A,A32)&gt;0,"موجود","غير موجود")</f>
        <v>غير موجود</v>
      </c>
    </row>
    <row r="33" spans="1:8" x14ac:dyDescent="0.2">
      <c r="A33">
        <v>20309010137</v>
      </c>
      <c r="B33" t="s">
        <v>111</v>
      </c>
      <c r="C33">
        <v>26.76</v>
      </c>
      <c r="D33">
        <v>15</v>
      </c>
      <c r="E33">
        <v>22.746000000000002</v>
      </c>
      <c r="F33" t="s">
        <v>78</v>
      </c>
      <c r="G33" t="s">
        <v>79</v>
      </c>
      <c r="H33" t="str">
        <f>IF(COUNTIF(Sheet1!$A:$A,TEXT(A33,"0"))+COUNTIF(Sheet1!$A:$A,A33)&gt;0,"موجود","غير موجود")</f>
        <v>موجود</v>
      </c>
    </row>
    <row r="34" spans="1:8" x14ac:dyDescent="0.2">
      <c r="A34">
        <v>20309010138</v>
      </c>
      <c r="B34" t="s">
        <v>112</v>
      </c>
      <c r="C34">
        <v>16.72</v>
      </c>
      <c r="D34">
        <v>15</v>
      </c>
      <c r="E34">
        <v>14.212</v>
      </c>
      <c r="F34" t="s">
        <v>78</v>
      </c>
      <c r="G34" t="s">
        <v>79</v>
      </c>
      <c r="H34" t="str">
        <f>IF(COUNTIF(Sheet1!$A:$A,TEXT(A34,"0"))+COUNTIF(Sheet1!$A:$A,A34)&gt;0,"موجود","غير موجود")</f>
        <v>موجود</v>
      </c>
    </row>
    <row r="35" spans="1:8" x14ac:dyDescent="0.2">
      <c r="A35">
        <v>20309010141</v>
      </c>
      <c r="B35" t="s">
        <v>113</v>
      </c>
      <c r="C35">
        <v>26.76</v>
      </c>
      <c r="D35">
        <v>15</v>
      </c>
      <c r="E35">
        <v>22.746000000000002</v>
      </c>
      <c r="F35" t="s">
        <v>78</v>
      </c>
      <c r="G35" t="s">
        <v>79</v>
      </c>
      <c r="H35" t="str">
        <f>IF(COUNTIF(Sheet1!$A:$A,TEXT(A35,"0"))+COUNTIF(Sheet1!$A:$A,A35)&gt;0,"موجود","غير موجود")</f>
        <v>غير موجود</v>
      </c>
    </row>
    <row r="36" spans="1:8" x14ac:dyDescent="0.2">
      <c r="A36">
        <v>20309010142</v>
      </c>
      <c r="B36" t="s">
        <v>114</v>
      </c>
      <c r="C36">
        <v>16.72</v>
      </c>
      <c r="D36">
        <v>15</v>
      </c>
      <c r="E36">
        <v>14.212</v>
      </c>
      <c r="F36" t="s">
        <v>78</v>
      </c>
      <c r="G36" t="s">
        <v>79</v>
      </c>
      <c r="H36" t="str">
        <f>IF(COUNTIF(Sheet1!$A:$A,TEXT(A36,"0"))+COUNTIF(Sheet1!$A:$A,A36)&gt;0,"موجود","غير موجود")</f>
        <v>غير موجود</v>
      </c>
    </row>
    <row r="37" spans="1:8" x14ac:dyDescent="0.2">
      <c r="A37">
        <v>20309010144</v>
      </c>
      <c r="B37" t="s">
        <v>115</v>
      </c>
      <c r="C37">
        <v>26.77</v>
      </c>
      <c r="D37">
        <v>15</v>
      </c>
      <c r="E37">
        <v>22.7545</v>
      </c>
      <c r="F37" t="s">
        <v>78</v>
      </c>
      <c r="G37" t="s">
        <v>79</v>
      </c>
      <c r="H37" t="str">
        <f>IF(COUNTIF(Sheet1!$A:$A,TEXT(A37,"0"))+COUNTIF(Sheet1!$A:$A,A37)&gt;0,"موجود","غير موجود")</f>
        <v>غير موجود</v>
      </c>
    </row>
    <row r="38" spans="1:8" x14ac:dyDescent="0.2">
      <c r="A38">
        <v>20309010145</v>
      </c>
      <c r="B38" t="s">
        <v>116</v>
      </c>
      <c r="C38">
        <v>16.72</v>
      </c>
      <c r="D38">
        <v>15</v>
      </c>
      <c r="E38">
        <v>14.212</v>
      </c>
      <c r="F38" t="s">
        <v>78</v>
      </c>
      <c r="G38" t="s">
        <v>79</v>
      </c>
      <c r="H38" t="str">
        <f>IF(COUNTIF(Sheet1!$A:$A,TEXT(A38,"0"))+COUNTIF(Sheet1!$A:$A,A38)&gt;0,"موجود","غير موجود")</f>
        <v>موجود</v>
      </c>
    </row>
    <row r="39" spans="1:8" x14ac:dyDescent="0.2">
      <c r="A39">
        <v>20309010147</v>
      </c>
      <c r="B39" t="s">
        <v>117</v>
      </c>
      <c r="C39">
        <v>26.77</v>
      </c>
      <c r="D39">
        <v>15</v>
      </c>
      <c r="E39">
        <v>22.7545</v>
      </c>
      <c r="F39" t="s">
        <v>78</v>
      </c>
      <c r="G39" t="s">
        <v>79</v>
      </c>
      <c r="H39" t="str">
        <f>IF(COUNTIF(Sheet1!$A:$A,TEXT(A39,"0"))+COUNTIF(Sheet1!$A:$A,A39)&gt;0,"موجود","غير موجود")</f>
        <v>غير موجود</v>
      </c>
    </row>
    <row r="40" spans="1:8" x14ac:dyDescent="0.2">
      <c r="A40">
        <v>20309010150</v>
      </c>
      <c r="B40" t="s">
        <v>118</v>
      </c>
      <c r="C40">
        <v>26.76</v>
      </c>
      <c r="D40">
        <v>15</v>
      </c>
      <c r="E40">
        <v>22.746000000000002</v>
      </c>
      <c r="F40" t="s">
        <v>78</v>
      </c>
      <c r="G40" t="s">
        <v>79</v>
      </c>
      <c r="H40" t="str">
        <f>IF(COUNTIF(Sheet1!$A:$A,TEXT(A40,"0"))+COUNTIF(Sheet1!$A:$A,A40)&gt;0,"موجود","غير موجود")</f>
        <v>غير موجود</v>
      </c>
    </row>
    <row r="41" spans="1:8" x14ac:dyDescent="0.2">
      <c r="A41">
        <v>20309010154</v>
      </c>
      <c r="B41" t="s">
        <v>119</v>
      </c>
      <c r="C41">
        <v>15.13</v>
      </c>
      <c r="D41">
        <v>15</v>
      </c>
      <c r="E41">
        <v>12.8605</v>
      </c>
      <c r="F41" t="s">
        <v>78</v>
      </c>
      <c r="G41" t="s">
        <v>79</v>
      </c>
      <c r="H41" t="str">
        <f>IF(COUNTIF(Sheet1!$A:$A,TEXT(A41,"0"))+COUNTIF(Sheet1!$A:$A,A41)&gt;0,"موجود","غير موجود")</f>
        <v>موجود</v>
      </c>
    </row>
    <row r="42" spans="1:8" x14ac:dyDescent="0.2">
      <c r="A42">
        <v>20309010157</v>
      </c>
      <c r="B42" t="s">
        <v>120</v>
      </c>
      <c r="C42">
        <v>15.13</v>
      </c>
      <c r="D42">
        <v>15</v>
      </c>
      <c r="E42">
        <v>12.8605</v>
      </c>
      <c r="F42" t="s">
        <v>78</v>
      </c>
      <c r="G42" t="s">
        <v>79</v>
      </c>
      <c r="H42" t="str">
        <f>IF(COUNTIF(Sheet1!$A:$A,TEXT(A42,"0"))+COUNTIF(Sheet1!$A:$A,A42)&gt;0,"موجود","غير موجود")</f>
        <v>موجود</v>
      </c>
    </row>
    <row r="43" spans="1:8" x14ac:dyDescent="0.2">
      <c r="A43">
        <v>20309010158</v>
      </c>
      <c r="B43" t="s">
        <v>121</v>
      </c>
      <c r="C43">
        <v>16.72</v>
      </c>
      <c r="D43">
        <v>15</v>
      </c>
      <c r="E43">
        <v>14.212</v>
      </c>
      <c r="F43" t="s">
        <v>78</v>
      </c>
      <c r="G43" t="s">
        <v>79</v>
      </c>
      <c r="H43" t="str">
        <f>IF(COUNTIF(Sheet1!$A:$A,TEXT(A43,"0"))+COUNTIF(Sheet1!$A:$A,A43)&gt;0,"موجود","غير موجود")</f>
        <v>موجود</v>
      </c>
    </row>
    <row r="44" spans="1:8" x14ac:dyDescent="0.2">
      <c r="A44">
        <v>20309010159</v>
      </c>
      <c r="B44" t="s">
        <v>122</v>
      </c>
      <c r="C44">
        <v>25.67</v>
      </c>
      <c r="D44">
        <v>15</v>
      </c>
      <c r="E44">
        <v>21.819500000000001</v>
      </c>
      <c r="F44" t="s">
        <v>78</v>
      </c>
      <c r="G44" t="s">
        <v>79</v>
      </c>
      <c r="H44" t="str">
        <f>IF(COUNTIF(Sheet1!$A:$A,TEXT(A44,"0"))+COUNTIF(Sheet1!$A:$A,A44)&gt;0,"موجود","غير موجود")</f>
        <v>غير موجود</v>
      </c>
    </row>
    <row r="45" spans="1:8" x14ac:dyDescent="0.2">
      <c r="A45">
        <v>20309010160</v>
      </c>
      <c r="B45" t="s">
        <v>123</v>
      </c>
      <c r="C45">
        <v>16.72</v>
      </c>
      <c r="D45">
        <v>15</v>
      </c>
      <c r="E45">
        <v>14.212</v>
      </c>
      <c r="F45" t="s">
        <v>78</v>
      </c>
      <c r="G45" t="s">
        <v>79</v>
      </c>
      <c r="H45" t="str">
        <f>IF(COUNTIF(Sheet1!$A:$A,TEXT(A45,"0"))+COUNTIF(Sheet1!$A:$A,A45)&gt;0,"موجود","غير موجود")</f>
        <v>غير موجود</v>
      </c>
    </row>
    <row r="46" spans="1:8" x14ac:dyDescent="0.2">
      <c r="A46">
        <v>20309010161</v>
      </c>
      <c r="B46" t="s">
        <v>124</v>
      </c>
      <c r="C46">
        <v>15.13</v>
      </c>
      <c r="D46">
        <v>15</v>
      </c>
      <c r="E46">
        <v>12.8605</v>
      </c>
      <c r="F46" t="s">
        <v>78</v>
      </c>
      <c r="G46" t="s">
        <v>79</v>
      </c>
      <c r="H46" t="str">
        <f>IF(COUNTIF(Sheet1!$A:$A,TEXT(A46,"0"))+COUNTIF(Sheet1!$A:$A,A46)&gt;0,"موجود","غير موجود")</f>
        <v>موجود</v>
      </c>
    </row>
    <row r="47" spans="1:8" x14ac:dyDescent="0.2">
      <c r="A47">
        <v>20309010174</v>
      </c>
      <c r="B47" t="s">
        <v>125</v>
      </c>
      <c r="C47">
        <v>15.83</v>
      </c>
      <c r="D47">
        <v>15</v>
      </c>
      <c r="E47">
        <v>13.455500000000001</v>
      </c>
      <c r="F47" t="s">
        <v>78</v>
      </c>
      <c r="G47" t="s">
        <v>79</v>
      </c>
      <c r="H47" t="str">
        <f>IF(COUNTIF(Sheet1!$A:$A,TEXT(A47,"0"))+COUNTIF(Sheet1!$A:$A,A47)&gt;0,"موجود","غير موجود")</f>
        <v>موجود</v>
      </c>
    </row>
    <row r="48" spans="1:8" x14ac:dyDescent="0.2">
      <c r="A48">
        <v>20309010211</v>
      </c>
      <c r="B48" t="s">
        <v>126</v>
      </c>
      <c r="C48">
        <v>21.849999999999998</v>
      </c>
      <c r="D48">
        <v>15</v>
      </c>
      <c r="E48">
        <v>18.572499999999998</v>
      </c>
      <c r="F48" t="s">
        <v>78</v>
      </c>
      <c r="G48" t="s">
        <v>79</v>
      </c>
      <c r="H48" t="str">
        <f>IF(COUNTIF(Sheet1!$A:$A,TEXT(A48,"0"))+COUNTIF(Sheet1!$A:$A,A48)&gt;0,"موجود","غير موجود")</f>
        <v>موجود</v>
      </c>
    </row>
    <row r="49" spans="1:8" x14ac:dyDescent="0.2">
      <c r="A49">
        <v>20309010212</v>
      </c>
      <c r="B49" t="s">
        <v>127</v>
      </c>
      <c r="C49">
        <v>13.61</v>
      </c>
      <c r="D49">
        <v>15</v>
      </c>
      <c r="E49">
        <v>11.5685</v>
      </c>
      <c r="F49" t="s">
        <v>78</v>
      </c>
      <c r="G49" t="s">
        <v>79</v>
      </c>
      <c r="H49" t="str">
        <f>IF(COUNTIF(Sheet1!$A:$A,TEXT(A49,"0"))+COUNTIF(Sheet1!$A:$A,A49)&gt;0,"موجود","غير موجود")</f>
        <v>موجود</v>
      </c>
    </row>
    <row r="50" spans="1:8" x14ac:dyDescent="0.2">
      <c r="A50">
        <v>20309010213</v>
      </c>
      <c r="B50" t="s">
        <v>128</v>
      </c>
      <c r="C50">
        <v>13.58</v>
      </c>
      <c r="D50">
        <v>15</v>
      </c>
      <c r="E50">
        <v>11.542999999999999</v>
      </c>
      <c r="F50" t="s">
        <v>78</v>
      </c>
      <c r="G50" t="s">
        <v>79</v>
      </c>
      <c r="H50" t="str">
        <f>IF(COUNTIF(Sheet1!$A:$A,TEXT(A50,"0"))+COUNTIF(Sheet1!$A:$A,A50)&gt;0,"موجود","غير موجود")</f>
        <v>غير موجود</v>
      </c>
    </row>
    <row r="51" spans="1:8" x14ac:dyDescent="0.2">
      <c r="A51">
        <v>20309010559</v>
      </c>
      <c r="B51" t="s">
        <v>129</v>
      </c>
      <c r="C51">
        <v>16.72</v>
      </c>
      <c r="D51">
        <v>15</v>
      </c>
      <c r="E51">
        <v>14.212</v>
      </c>
      <c r="F51" t="s">
        <v>78</v>
      </c>
      <c r="G51" t="s">
        <v>79</v>
      </c>
      <c r="H51" t="str">
        <f>IF(COUNTIF(Sheet1!$A:$A,TEXT(A51,"0"))+COUNTIF(Sheet1!$A:$A,A51)&gt;0,"موجود","غير موجود")</f>
        <v>غير موجود</v>
      </c>
    </row>
    <row r="52" spans="1:8" x14ac:dyDescent="0.2">
      <c r="A52">
        <v>20309010648</v>
      </c>
      <c r="B52" t="s">
        <v>130</v>
      </c>
      <c r="C52">
        <v>26.77</v>
      </c>
      <c r="D52">
        <v>15</v>
      </c>
      <c r="E52">
        <v>22.7545</v>
      </c>
      <c r="F52" t="s">
        <v>78</v>
      </c>
      <c r="G52" t="s">
        <v>79</v>
      </c>
      <c r="H52" t="str">
        <f>IF(COUNTIF(Sheet1!$A:$A,TEXT(A52,"0"))+COUNTIF(Sheet1!$A:$A,A52)&gt;0,"موجود","غير موجود")</f>
        <v>موجود</v>
      </c>
    </row>
    <row r="53" spans="1:8" x14ac:dyDescent="0.2">
      <c r="A53">
        <v>20309010849</v>
      </c>
      <c r="B53" t="s">
        <v>131</v>
      </c>
      <c r="C53">
        <v>13.61</v>
      </c>
      <c r="D53">
        <v>15</v>
      </c>
      <c r="E53">
        <v>11.5685</v>
      </c>
      <c r="F53" t="s">
        <v>78</v>
      </c>
      <c r="G53" t="s">
        <v>79</v>
      </c>
      <c r="H53" t="str">
        <f>IF(COUNTIF(Sheet1!$A:$A,TEXT(A53,"0"))+COUNTIF(Sheet1!$A:$A,A53)&gt;0,"موجود","غير موجود")</f>
        <v>موجود</v>
      </c>
    </row>
    <row r="54" spans="1:8" x14ac:dyDescent="0.2">
      <c r="A54">
        <v>20309010860</v>
      </c>
      <c r="B54" t="s">
        <v>132</v>
      </c>
      <c r="C54">
        <v>26.77</v>
      </c>
      <c r="D54">
        <v>15</v>
      </c>
      <c r="E54">
        <v>22.7545</v>
      </c>
      <c r="F54" t="s">
        <v>78</v>
      </c>
      <c r="G54" t="s">
        <v>79</v>
      </c>
      <c r="H54" t="str">
        <f>IF(COUNTIF(Sheet1!$A:$A,TEXT(A54,"0"))+COUNTIF(Sheet1!$A:$A,A54)&gt;0,"موجود","غير موجود")</f>
        <v>موجود</v>
      </c>
    </row>
    <row r="55" spans="1:8" x14ac:dyDescent="0.2">
      <c r="A55">
        <v>20309010861</v>
      </c>
      <c r="B55" t="s">
        <v>133</v>
      </c>
      <c r="C55">
        <v>26.77</v>
      </c>
      <c r="D55">
        <v>15</v>
      </c>
      <c r="E55">
        <v>22.7545</v>
      </c>
      <c r="F55" t="s">
        <v>78</v>
      </c>
      <c r="G55" t="s">
        <v>79</v>
      </c>
      <c r="H55" t="str">
        <f>IF(COUNTIF(Sheet1!$A:$A,TEXT(A55,"0"))+COUNTIF(Sheet1!$A:$A,A55)&gt;0,"موجود","غير موجود")</f>
        <v>غير موجود</v>
      </c>
    </row>
    <row r="56" spans="1:8" x14ac:dyDescent="0.2">
      <c r="A56">
        <v>20309010862</v>
      </c>
      <c r="B56" t="s">
        <v>134</v>
      </c>
      <c r="C56">
        <v>26.76</v>
      </c>
      <c r="D56">
        <v>15</v>
      </c>
      <c r="E56">
        <v>22.746000000000002</v>
      </c>
      <c r="F56" t="s">
        <v>78</v>
      </c>
      <c r="G56" t="s">
        <v>79</v>
      </c>
      <c r="H56" t="str">
        <f>IF(COUNTIF(Sheet1!$A:$A,TEXT(A56,"0"))+COUNTIF(Sheet1!$A:$A,A56)&gt;0,"موجود","غير موجود")</f>
        <v>غير موجود</v>
      </c>
    </row>
    <row r="57" spans="1:8" x14ac:dyDescent="0.2">
      <c r="A57">
        <v>20309010863</v>
      </c>
      <c r="B57" t="s">
        <v>135</v>
      </c>
      <c r="C57">
        <v>21.5</v>
      </c>
      <c r="D57">
        <v>15</v>
      </c>
      <c r="E57">
        <v>18.274999999999999</v>
      </c>
      <c r="F57" t="s">
        <v>78</v>
      </c>
      <c r="G57" t="s">
        <v>79</v>
      </c>
      <c r="H57" t="str">
        <f>IF(COUNTIF(Sheet1!$A:$A,TEXT(A57,"0"))+COUNTIF(Sheet1!$A:$A,A57)&gt;0,"موجود","غير موجود")</f>
        <v>غير موجود</v>
      </c>
    </row>
    <row r="58" spans="1:8" x14ac:dyDescent="0.2">
      <c r="A58">
        <v>20309010900</v>
      </c>
      <c r="B58" t="s">
        <v>136</v>
      </c>
      <c r="C58">
        <v>17.3</v>
      </c>
      <c r="D58">
        <v>15</v>
      </c>
      <c r="E58">
        <v>14.705</v>
      </c>
      <c r="F58" t="s">
        <v>78</v>
      </c>
      <c r="G58" t="s">
        <v>79</v>
      </c>
      <c r="H58" t="str">
        <f>IF(COUNTIF(Sheet1!$A:$A,TEXT(A58,"0"))+COUNTIF(Sheet1!$A:$A,A58)&gt;0,"موجود","غير موجود")</f>
        <v>غير موجود</v>
      </c>
    </row>
    <row r="59" spans="1:8" x14ac:dyDescent="0.2">
      <c r="A59">
        <v>20309010949</v>
      </c>
      <c r="B59" t="s">
        <v>137</v>
      </c>
      <c r="C59">
        <v>16.96</v>
      </c>
      <c r="D59">
        <v>15</v>
      </c>
      <c r="E59">
        <v>14.416</v>
      </c>
      <c r="F59" t="s">
        <v>78</v>
      </c>
      <c r="G59" t="s">
        <v>79</v>
      </c>
      <c r="H59" t="str">
        <f>IF(COUNTIF(Sheet1!$A:$A,TEXT(A59,"0"))+COUNTIF(Sheet1!$A:$A,A59)&gt;0,"موجود","غير موجود")</f>
        <v>غير موجود</v>
      </c>
    </row>
    <row r="60" spans="1:8" x14ac:dyDescent="0.2">
      <c r="A60">
        <v>20309011043</v>
      </c>
      <c r="B60" t="s">
        <v>138</v>
      </c>
      <c r="C60">
        <v>18.919999999999998</v>
      </c>
      <c r="D60">
        <v>15</v>
      </c>
      <c r="E60">
        <v>16.081999999999997</v>
      </c>
      <c r="F60" t="s">
        <v>78</v>
      </c>
      <c r="G60" t="s">
        <v>79</v>
      </c>
      <c r="H60" t="str">
        <f>IF(COUNTIF(Sheet1!$A:$A,TEXT(A60,"0"))+COUNTIF(Sheet1!$A:$A,A60)&gt;0,"موجود","غير موجود")</f>
        <v>غير موجود</v>
      </c>
    </row>
    <row r="61" spans="1:8" x14ac:dyDescent="0.2">
      <c r="A61">
        <v>20309011198</v>
      </c>
      <c r="B61" t="s">
        <v>139</v>
      </c>
      <c r="C61">
        <v>18.93</v>
      </c>
      <c r="D61">
        <v>15</v>
      </c>
      <c r="E61">
        <v>16.090499999999999</v>
      </c>
      <c r="F61" t="s">
        <v>78</v>
      </c>
      <c r="G61" t="s">
        <v>79</v>
      </c>
      <c r="H61" t="str">
        <f>IF(COUNTIF(Sheet1!$A:$A,TEXT(A61,"0"))+COUNTIF(Sheet1!$A:$A,A61)&gt;0,"موجود","غير موجود")</f>
        <v>غير موجود</v>
      </c>
    </row>
    <row r="62" spans="1:8" x14ac:dyDescent="0.2">
      <c r="A62">
        <v>20309011205</v>
      </c>
      <c r="B62" t="s">
        <v>140</v>
      </c>
      <c r="C62">
        <v>26.76</v>
      </c>
      <c r="D62">
        <v>15</v>
      </c>
      <c r="E62">
        <v>22.746000000000002</v>
      </c>
      <c r="F62" t="s">
        <v>78</v>
      </c>
      <c r="G62" t="s">
        <v>79</v>
      </c>
      <c r="H62" t="str">
        <f>IF(COUNTIF(Sheet1!$A:$A,TEXT(A62,"0"))+COUNTIF(Sheet1!$A:$A,A62)&gt;0,"موجود","غير موجود")</f>
        <v>غير موجود</v>
      </c>
    </row>
    <row r="63" spans="1:8" x14ac:dyDescent="0.2">
      <c r="A63">
        <v>20309011225</v>
      </c>
      <c r="B63" t="s">
        <v>141</v>
      </c>
      <c r="C63">
        <v>21.849999999999998</v>
      </c>
      <c r="D63">
        <v>15</v>
      </c>
      <c r="E63">
        <v>18.572499999999998</v>
      </c>
      <c r="F63" t="s">
        <v>78</v>
      </c>
      <c r="G63" t="s">
        <v>79</v>
      </c>
      <c r="H63" t="str">
        <f>IF(COUNTIF(Sheet1!$A:$A,TEXT(A63,"0"))+COUNTIF(Sheet1!$A:$A,A63)&gt;0,"موجود","غير موجود")</f>
        <v>غير موجود</v>
      </c>
    </row>
    <row r="64" spans="1:8" x14ac:dyDescent="0.2">
      <c r="A64">
        <v>20309011506</v>
      </c>
      <c r="B64" t="s">
        <v>142</v>
      </c>
      <c r="C64">
        <v>16.72</v>
      </c>
      <c r="D64">
        <v>15</v>
      </c>
      <c r="E64">
        <v>14.212</v>
      </c>
      <c r="F64" t="s">
        <v>78</v>
      </c>
      <c r="G64" t="s">
        <v>79</v>
      </c>
      <c r="H64" t="str">
        <f>IF(COUNTIF(Sheet1!$A:$A,TEXT(A64,"0"))+COUNTIF(Sheet1!$A:$A,A64)&gt;0,"موجود","غير موجود")</f>
        <v>غير موجود</v>
      </c>
    </row>
    <row r="65" spans="1:8" x14ac:dyDescent="0.2">
      <c r="A65">
        <v>20309011701</v>
      </c>
      <c r="B65" t="s">
        <v>143</v>
      </c>
      <c r="C65">
        <v>13.61</v>
      </c>
      <c r="D65">
        <v>15</v>
      </c>
      <c r="E65">
        <v>11.5685</v>
      </c>
      <c r="F65" t="s">
        <v>78</v>
      </c>
      <c r="G65" t="s">
        <v>79</v>
      </c>
      <c r="H65" t="str">
        <f>IF(COUNTIF(Sheet1!$A:$A,TEXT(A65,"0"))+COUNTIF(Sheet1!$A:$A,A65)&gt;0,"موجود","غير موجود")</f>
        <v>موجود</v>
      </c>
    </row>
    <row r="66" spans="1:8" x14ac:dyDescent="0.2">
      <c r="A66">
        <v>20309011732</v>
      </c>
      <c r="B66" t="s">
        <v>144</v>
      </c>
      <c r="C66">
        <v>15.83</v>
      </c>
      <c r="D66">
        <v>15</v>
      </c>
      <c r="E66">
        <v>13.455500000000001</v>
      </c>
      <c r="F66" t="s">
        <v>78</v>
      </c>
      <c r="G66" t="s">
        <v>79</v>
      </c>
      <c r="H66" t="str">
        <f>IF(COUNTIF(Sheet1!$A:$A,TEXT(A66,"0"))+COUNTIF(Sheet1!$A:$A,A66)&gt;0,"موجود","غير موجود")</f>
        <v>غير موجود</v>
      </c>
    </row>
    <row r="67" spans="1:8" x14ac:dyDescent="0.2">
      <c r="A67">
        <v>20309011747</v>
      </c>
      <c r="B67" t="s">
        <v>145</v>
      </c>
      <c r="C67">
        <v>16.72</v>
      </c>
      <c r="D67">
        <v>15</v>
      </c>
      <c r="E67">
        <v>14.212</v>
      </c>
      <c r="F67" t="s">
        <v>78</v>
      </c>
      <c r="G67" t="s">
        <v>79</v>
      </c>
      <c r="H67" t="str">
        <f>IF(COUNTIF(Sheet1!$A:$A,TEXT(A67,"0"))+COUNTIF(Sheet1!$A:$A,A67)&gt;0,"موجود","غير موجود")</f>
        <v>موجود</v>
      </c>
    </row>
    <row r="68" spans="1:8" x14ac:dyDescent="0.2">
      <c r="A68">
        <v>20309011748</v>
      </c>
      <c r="B68" t="s">
        <v>146</v>
      </c>
      <c r="C68">
        <v>26.77</v>
      </c>
      <c r="D68">
        <v>15</v>
      </c>
      <c r="E68">
        <v>22.7545</v>
      </c>
      <c r="F68" t="s">
        <v>78</v>
      </c>
      <c r="G68" t="s">
        <v>79</v>
      </c>
      <c r="H68" t="str">
        <f>IF(COUNTIF(Sheet1!$A:$A,TEXT(A68,"0"))+COUNTIF(Sheet1!$A:$A,A68)&gt;0,"موجود","غير موجود")</f>
        <v>غير موجود</v>
      </c>
    </row>
    <row r="69" spans="1:8" x14ac:dyDescent="0.2">
      <c r="A69">
        <v>20309011749</v>
      </c>
      <c r="B69" t="s">
        <v>147</v>
      </c>
      <c r="C69">
        <v>18.91</v>
      </c>
      <c r="D69">
        <v>15</v>
      </c>
      <c r="E69">
        <v>16.073499999999999</v>
      </c>
      <c r="F69" t="s">
        <v>78</v>
      </c>
      <c r="G69" t="s">
        <v>79</v>
      </c>
      <c r="H69" t="str">
        <f>IF(COUNTIF(Sheet1!$A:$A,TEXT(A69,"0"))+COUNTIF(Sheet1!$A:$A,A69)&gt;0,"موجود","غير موجود")</f>
        <v>غير موجود</v>
      </c>
    </row>
    <row r="70" spans="1:8" x14ac:dyDescent="0.2">
      <c r="A70">
        <v>20309011804</v>
      </c>
      <c r="B70" t="s">
        <v>148</v>
      </c>
      <c r="C70">
        <v>18.91</v>
      </c>
      <c r="D70">
        <v>15</v>
      </c>
      <c r="E70">
        <v>16.073499999999999</v>
      </c>
      <c r="F70" t="s">
        <v>78</v>
      </c>
      <c r="G70" t="s">
        <v>79</v>
      </c>
      <c r="H70" t="str">
        <f>IF(COUNTIF(Sheet1!$A:$A,TEXT(A70,"0"))+COUNTIF(Sheet1!$A:$A,A70)&gt;0,"موجود","غير موجود")</f>
        <v>موجود</v>
      </c>
    </row>
    <row r="71" spans="1:8" x14ac:dyDescent="0.2">
      <c r="A71">
        <v>20309011806</v>
      </c>
      <c r="B71" t="s">
        <v>149</v>
      </c>
      <c r="C71">
        <v>18.91</v>
      </c>
      <c r="D71">
        <v>15</v>
      </c>
      <c r="E71">
        <v>16.073499999999999</v>
      </c>
      <c r="F71" t="s">
        <v>78</v>
      </c>
      <c r="G71" t="s">
        <v>79</v>
      </c>
      <c r="H71" t="str">
        <f>IF(COUNTIF(Sheet1!$A:$A,TEXT(A71,"0"))+COUNTIF(Sheet1!$A:$A,A71)&gt;0,"موجود","غير موجود")</f>
        <v>موجود</v>
      </c>
    </row>
    <row r="72" spans="1:8" x14ac:dyDescent="0.2">
      <c r="A72">
        <v>20309011808</v>
      </c>
      <c r="B72" t="s">
        <v>150</v>
      </c>
      <c r="C72">
        <v>18.91</v>
      </c>
      <c r="D72">
        <v>15</v>
      </c>
      <c r="E72">
        <v>16.073499999999999</v>
      </c>
      <c r="F72" t="s">
        <v>78</v>
      </c>
      <c r="G72" t="s">
        <v>79</v>
      </c>
      <c r="H72" t="str">
        <f>IF(COUNTIF(Sheet1!$A:$A,TEXT(A72,"0"))+COUNTIF(Sheet1!$A:$A,A72)&gt;0,"موجود","غير موجود")</f>
        <v>موجود</v>
      </c>
    </row>
    <row r="73" spans="1:8" x14ac:dyDescent="0.2">
      <c r="A73">
        <v>20309011810</v>
      </c>
      <c r="B73" t="s">
        <v>151</v>
      </c>
      <c r="C73">
        <v>18.91</v>
      </c>
      <c r="D73">
        <v>15</v>
      </c>
      <c r="E73">
        <v>16.073499999999999</v>
      </c>
      <c r="F73" t="s">
        <v>78</v>
      </c>
      <c r="G73" t="s">
        <v>79</v>
      </c>
      <c r="H73" t="str">
        <f>IF(COUNTIF(Sheet1!$A:$A,TEXT(A73,"0"))+COUNTIF(Sheet1!$A:$A,A73)&gt;0,"موجود","غير موجود")</f>
        <v>موجود</v>
      </c>
    </row>
    <row r="74" spans="1:8" x14ac:dyDescent="0.2">
      <c r="A74">
        <v>20309011811</v>
      </c>
      <c r="B74" t="s">
        <v>152</v>
      </c>
      <c r="C74">
        <v>18.91</v>
      </c>
      <c r="D74">
        <v>15</v>
      </c>
      <c r="E74">
        <v>16.073499999999999</v>
      </c>
      <c r="F74" t="s">
        <v>78</v>
      </c>
      <c r="G74" t="s">
        <v>79</v>
      </c>
      <c r="H74" t="str">
        <f>IF(COUNTIF(Sheet1!$A:$A,TEXT(A74,"0"))+COUNTIF(Sheet1!$A:$A,A74)&gt;0,"موجود","غير موجود")</f>
        <v>غير موجود</v>
      </c>
    </row>
    <row r="75" spans="1:8" x14ac:dyDescent="0.2">
      <c r="A75">
        <v>20309011845</v>
      </c>
      <c r="B75" t="s">
        <v>153</v>
      </c>
      <c r="C75">
        <v>28.77</v>
      </c>
      <c r="D75">
        <v>15</v>
      </c>
      <c r="E75">
        <v>24.454499999999999</v>
      </c>
      <c r="F75" t="s">
        <v>78</v>
      </c>
      <c r="G75" t="s">
        <v>79</v>
      </c>
      <c r="H75" t="str">
        <f>IF(COUNTIF(Sheet1!$A:$A,TEXT(A75,"0"))+COUNTIF(Sheet1!$A:$A,A75)&gt;0,"موجود","غير موجود")</f>
        <v>غير موجود</v>
      </c>
    </row>
    <row r="76" spans="1:8" x14ac:dyDescent="0.2">
      <c r="A76">
        <v>20309011846</v>
      </c>
      <c r="B76" t="s">
        <v>154</v>
      </c>
      <c r="C76">
        <v>28</v>
      </c>
      <c r="D76">
        <v>15</v>
      </c>
      <c r="E76">
        <v>23.8</v>
      </c>
      <c r="F76" t="s">
        <v>78</v>
      </c>
      <c r="G76" t="s">
        <v>79</v>
      </c>
      <c r="H76" t="str">
        <f>IF(COUNTIF(Sheet1!$A:$A,TEXT(A76,"0"))+COUNTIF(Sheet1!$A:$A,A76)&gt;0,"موجود","غير موجود")</f>
        <v>غير موجود</v>
      </c>
    </row>
    <row r="77" spans="1:8" x14ac:dyDescent="0.2">
      <c r="A77">
        <v>20309011847</v>
      </c>
      <c r="B77" t="s">
        <v>155</v>
      </c>
      <c r="C77">
        <v>16.97</v>
      </c>
      <c r="D77">
        <v>15</v>
      </c>
      <c r="E77">
        <v>14.424499999999998</v>
      </c>
      <c r="F77" t="s">
        <v>78</v>
      </c>
      <c r="G77" t="s">
        <v>79</v>
      </c>
      <c r="H77" t="str">
        <f>IF(COUNTIF(Sheet1!$A:$A,TEXT(A77,"0"))+COUNTIF(Sheet1!$A:$A,A77)&gt;0,"موجود","غير موجود")</f>
        <v>غير موجود</v>
      </c>
    </row>
    <row r="78" spans="1:8" x14ac:dyDescent="0.2">
      <c r="A78">
        <v>20309011848</v>
      </c>
      <c r="B78" t="s">
        <v>156</v>
      </c>
      <c r="C78">
        <v>21.849999999999998</v>
      </c>
      <c r="D78">
        <v>15</v>
      </c>
      <c r="E78">
        <v>18.572499999999998</v>
      </c>
      <c r="F78" t="s">
        <v>78</v>
      </c>
      <c r="G78" t="s">
        <v>79</v>
      </c>
      <c r="H78" t="str">
        <f>IF(COUNTIF(Sheet1!$A:$A,TEXT(A78,"0"))+COUNTIF(Sheet1!$A:$A,A78)&gt;0,"موجود","غير موجود")</f>
        <v>غير موجود</v>
      </c>
    </row>
    <row r="79" spans="1:8" x14ac:dyDescent="0.2">
      <c r="A79">
        <v>20309011853</v>
      </c>
      <c r="B79" t="s">
        <v>157</v>
      </c>
      <c r="C79">
        <v>20</v>
      </c>
      <c r="D79">
        <v>15</v>
      </c>
      <c r="E79">
        <v>17</v>
      </c>
      <c r="F79" t="s">
        <v>78</v>
      </c>
      <c r="G79" t="s">
        <v>79</v>
      </c>
      <c r="H79" t="str">
        <f>IF(COUNTIF(Sheet1!$A:$A,TEXT(A79,"0"))+COUNTIF(Sheet1!$A:$A,A79)&gt;0,"موجود","غير موجود")</f>
        <v>غير موجود</v>
      </c>
    </row>
    <row r="80" spans="1:8" x14ac:dyDescent="0.2">
      <c r="A80">
        <v>20309011871</v>
      </c>
      <c r="B80" t="s">
        <v>158</v>
      </c>
      <c r="C80">
        <v>26</v>
      </c>
      <c r="D80">
        <v>15</v>
      </c>
      <c r="E80">
        <v>22.1</v>
      </c>
      <c r="F80" t="s">
        <v>78</v>
      </c>
      <c r="G80" t="s">
        <v>79</v>
      </c>
      <c r="H80" t="str">
        <f>IF(COUNTIF(Sheet1!$A:$A,TEXT(A80,"0"))+COUNTIF(Sheet1!$A:$A,A80)&gt;0,"موجود","غير موجود")</f>
        <v>غير موجود</v>
      </c>
    </row>
    <row r="81" spans="1:8" x14ac:dyDescent="0.2">
      <c r="A81">
        <v>20309011917</v>
      </c>
      <c r="B81" t="s">
        <v>159</v>
      </c>
      <c r="C81">
        <v>24</v>
      </c>
      <c r="D81">
        <v>15</v>
      </c>
      <c r="E81">
        <v>20.399999999999999</v>
      </c>
      <c r="F81" t="s">
        <v>78</v>
      </c>
      <c r="G81" t="s">
        <v>79</v>
      </c>
      <c r="H81" t="str">
        <f>IF(COUNTIF(Sheet1!$A:$A,TEXT(A81,"0"))+COUNTIF(Sheet1!$A:$A,A81)&gt;0,"موجود","غير موجود")</f>
        <v>موجود</v>
      </c>
    </row>
    <row r="82" spans="1:8" x14ac:dyDescent="0.2">
      <c r="A82">
        <v>20309011948</v>
      </c>
      <c r="B82" t="s">
        <v>160</v>
      </c>
      <c r="C82">
        <v>36.559999999999995</v>
      </c>
      <c r="D82">
        <v>15</v>
      </c>
      <c r="E82">
        <v>31.075999999999993</v>
      </c>
      <c r="F82" t="s">
        <v>78</v>
      </c>
      <c r="G82" t="s">
        <v>79</v>
      </c>
      <c r="H82" t="str">
        <f>IF(COUNTIF(Sheet1!$A:$A,TEXT(A82,"0"))+COUNTIF(Sheet1!$A:$A,A82)&gt;0,"موجود","غير موجود")</f>
        <v>موجود</v>
      </c>
    </row>
    <row r="83" spans="1:8" x14ac:dyDescent="0.2">
      <c r="A83">
        <v>20309011949</v>
      </c>
      <c r="B83" t="s">
        <v>161</v>
      </c>
      <c r="C83">
        <v>36.619999999999997</v>
      </c>
      <c r="D83">
        <v>15</v>
      </c>
      <c r="E83">
        <v>31.126999999999999</v>
      </c>
      <c r="F83" t="s">
        <v>78</v>
      </c>
      <c r="G83" t="s">
        <v>79</v>
      </c>
      <c r="H83" t="str">
        <f>IF(COUNTIF(Sheet1!$A:$A,TEXT(A83,"0"))+COUNTIF(Sheet1!$A:$A,A83)&gt;0,"موجود","غير موجود")</f>
        <v>موجود</v>
      </c>
    </row>
    <row r="84" spans="1:8" x14ac:dyDescent="0.2">
      <c r="A84">
        <v>20309011950</v>
      </c>
      <c r="B84" t="s">
        <v>162</v>
      </c>
      <c r="C84">
        <v>36.619999999999997</v>
      </c>
      <c r="D84">
        <v>15</v>
      </c>
      <c r="E84">
        <v>31.126999999999999</v>
      </c>
      <c r="F84" t="s">
        <v>78</v>
      </c>
      <c r="G84" t="s">
        <v>79</v>
      </c>
      <c r="H84" t="str">
        <f>IF(COUNTIF(Sheet1!$A:$A,TEXT(A84,"0"))+COUNTIF(Sheet1!$A:$A,A84)&gt;0,"موجود","غير موجود")</f>
        <v>موجود</v>
      </c>
    </row>
    <row r="85" spans="1:8" x14ac:dyDescent="0.2">
      <c r="A85">
        <v>20309012095</v>
      </c>
      <c r="B85" t="s">
        <v>163</v>
      </c>
      <c r="C85">
        <v>41.29</v>
      </c>
      <c r="D85">
        <v>15</v>
      </c>
      <c r="E85">
        <v>35.096499999999999</v>
      </c>
      <c r="F85" t="s">
        <v>78</v>
      </c>
      <c r="G85" t="s">
        <v>79</v>
      </c>
      <c r="H85" t="str">
        <f>IF(COUNTIF(Sheet1!$A:$A,TEXT(A85,"0"))+COUNTIF(Sheet1!$A:$A,A85)&gt;0,"موجود","غير موجود")</f>
        <v>غير موجود</v>
      </c>
    </row>
    <row r="86" spans="1:8" x14ac:dyDescent="0.2">
      <c r="A86">
        <v>20309012096</v>
      </c>
      <c r="B86" t="s">
        <v>164</v>
      </c>
      <c r="C86">
        <v>39.299999999999997</v>
      </c>
      <c r="D86">
        <v>15</v>
      </c>
      <c r="E86">
        <v>33.405000000000001</v>
      </c>
      <c r="F86" t="s">
        <v>78</v>
      </c>
      <c r="G86" t="s">
        <v>79</v>
      </c>
      <c r="H86" t="str">
        <f>IF(COUNTIF(Sheet1!$A:$A,TEXT(A86,"0"))+COUNTIF(Sheet1!$A:$A,A86)&gt;0,"موجود","غير موجود")</f>
        <v>غير موجود</v>
      </c>
    </row>
    <row r="87" spans="1:8" x14ac:dyDescent="0.2">
      <c r="A87">
        <v>20309012212</v>
      </c>
      <c r="B87" t="s">
        <v>165</v>
      </c>
      <c r="C87">
        <v>24</v>
      </c>
      <c r="D87">
        <v>15</v>
      </c>
      <c r="E87">
        <v>20.399999999999999</v>
      </c>
      <c r="F87" t="s">
        <v>78</v>
      </c>
      <c r="G87" t="s">
        <v>79</v>
      </c>
      <c r="H87" t="str">
        <f>IF(COUNTIF(Sheet1!$A:$A,TEXT(A87,"0"))+COUNTIF(Sheet1!$A:$A,A87)&gt;0,"موجود","غير موجود")</f>
        <v>موجود</v>
      </c>
    </row>
    <row r="88" spans="1:8" x14ac:dyDescent="0.2">
      <c r="A88">
        <v>20309012231</v>
      </c>
      <c r="B88" t="s">
        <v>166</v>
      </c>
      <c r="C88">
        <v>24</v>
      </c>
      <c r="D88">
        <v>15</v>
      </c>
      <c r="E88">
        <v>20.399999999999999</v>
      </c>
      <c r="F88" t="s">
        <v>78</v>
      </c>
      <c r="G88" t="s">
        <v>79</v>
      </c>
      <c r="H88" t="str">
        <f>IF(COUNTIF(Sheet1!$A:$A,TEXT(A88,"0"))+COUNTIF(Sheet1!$A:$A,A88)&gt;0,"موجود","غير موجود")</f>
        <v>غير موجود</v>
      </c>
    </row>
    <row r="89" spans="1:8" x14ac:dyDescent="0.2">
      <c r="A89">
        <v>20309012233</v>
      </c>
      <c r="B89" t="s">
        <v>167</v>
      </c>
      <c r="C89">
        <v>21.07</v>
      </c>
      <c r="D89">
        <v>15</v>
      </c>
      <c r="E89">
        <v>17.909500000000001</v>
      </c>
      <c r="F89" t="s">
        <v>78</v>
      </c>
      <c r="G89" t="s">
        <v>79</v>
      </c>
      <c r="H89" t="str">
        <f>IF(COUNTIF(Sheet1!$A:$A,TEXT(A89,"0"))+COUNTIF(Sheet1!$A:$A,A89)&gt;0,"موجود","غير موجود")</f>
        <v>موجود</v>
      </c>
    </row>
    <row r="90" spans="1:8" x14ac:dyDescent="0.2">
      <c r="A90">
        <v>20309012310</v>
      </c>
      <c r="B90" t="s">
        <v>168</v>
      </c>
      <c r="C90">
        <v>12.899999999999999</v>
      </c>
      <c r="D90">
        <v>15</v>
      </c>
      <c r="E90">
        <v>10.965</v>
      </c>
      <c r="F90" t="s">
        <v>78</v>
      </c>
      <c r="G90" t="s">
        <v>79</v>
      </c>
      <c r="H90" t="str">
        <f>IF(COUNTIF(Sheet1!$A:$A,TEXT(A90,"0"))+COUNTIF(Sheet1!$A:$A,A90)&gt;0,"موجود","غير موجود")</f>
        <v>موجود</v>
      </c>
    </row>
    <row r="91" spans="1:8" x14ac:dyDescent="0.2">
      <c r="A91">
        <v>20309012311</v>
      </c>
      <c r="B91" t="s">
        <v>169</v>
      </c>
      <c r="C91">
        <v>12.9</v>
      </c>
      <c r="D91">
        <v>15</v>
      </c>
      <c r="E91">
        <v>10.965</v>
      </c>
      <c r="F91" t="s">
        <v>78</v>
      </c>
      <c r="G91" t="s">
        <v>79</v>
      </c>
      <c r="H91" t="str">
        <f>IF(COUNTIF(Sheet1!$A:$A,TEXT(A91,"0"))+COUNTIF(Sheet1!$A:$A,A91)&gt;0,"موجود","غير موجود")</f>
        <v>موجود</v>
      </c>
    </row>
    <row r="92" spans="1:8" x14ac:dyDescent="0.2">
      <c r="A92">
        <v>20309012312</v>
      </c>
      <c r="B92" t="s">
        <v>170</v>
      </c>
      <c r="C92">
        <v>12.9</v>
      </c>
      <c r="D92">
        <v>15</v>
      </c>
      <c r="E92">
        <v>10.965</v>
      </c>
      <c r="F92" t="s">
        <v>78</v>
      </c>
      <c r="G92" t="s">
        <v>79</v>
      </c>
      <c r="H92" t="str">
        <f>IF(COUNTIF(Sheet1!$A:$A,TEXT(A92,"0"))+COUNTIF(Sheet1!$A:$A,A92)&gt;0,"موجود","غير موجود")</f>
        <v>موجود</v>
      </c>
    </row>
    <row r="93" spans="1:8" x14ac:dyDescent="0.2">
      <c r="A93">
        <v>20309012313</v>
      </c>
      <c r="B93" t="s">
        <v>171</v>
      </c>
      <c r="C93">
        <v>12.9</v>
      </c>
      <c r="D93">
        <v>15</v>
      </c>
      <c r="E93">
        <v>10.965</v>
      </c>
      <c r="F93" t="s">
        <v>78</v>
      </c>
      <c r="G93" t="s">
        <v>79</v>
      </c>
      <c r="H93" t="str">
        <f>IF(COUNTIF(Sheet1!$A:$A,TEXT(A93,"0"))+COUNTIF(Sheet1!$A:$A,A93)&gt;0,"موجود","غير موجود")</f>
        <v>موجود</v>
      </c>
    </row>
    <row r="94" spans="1:8" x14ac:dyDescent="0.2">
      <c r="A94">
        <v>20309012314</v>
      </c>
      <c r="B94" t="s">
        <v>172</v>
      </c>
      <c r="C94">
        <v>12.899999999999999</v>
      </c>
      <c r="D94">
        <v>15</v>
      </c>
      <c r="E94">
        <v>10.965</v>
      </c>
      <c r="F94" t="s">
        <v>78</v>
      </c>
      <c r="G94" t="s">
        <v>79</v>
      </c>
      <c r="H94" t="str">
        <f>IF(COUNTIF(Sheet1!$A:$A,TEXT(A94,"0"))+COUNTIF(Sheet1!$A:$A,A94)&gt;0,"موجود","غير موجود")</f>
        <v>موجود</v>
      </c>
    </row>
    <row r="95" spans="1:8" x14ac:dyDescent="0.2">
      <c r="A95">
        <v>20309012315</v>
      </c>
      <c r="B95" t="s">
        <v>173</v>
      </c>
      <c r="C95">
        <v>12.9</v>
      </c>
      <c r="D95">
        <v>15</v>
      </c>
      <c r="E95">
        <v>10.965</v>
      </c>
      <c r="F95" t="s">
        <v>78</v>
      </c>
      <c r="G95" t="s">
        <v>79</v>
      </c>
      <c r="H95" t="str">
        <f>IF(COUNTIF(Sheet1!$A:$A,TEXT(A95,"0"))+COUNTIF(Sheet1!$A:$A,A95)&gt;0,"موجود","غير موجود")</f>
        <v>موجود</v>
      </c>
    </row>
    <row r="96" spans="1:8" x14ac:dyDescent="0.2">
      <c r="A96">
        <v>20309012316</v>
      </c>
      <c r="B96" t="s">
        <v>174</v>
      </c>
      <c r="C96">
        <v>12.899999999999999</v>
      </c>
      <c r="D96">
        <v>15</v>
      </c>
      <c r="E96">
        <v>10.965</v>
      </c>
      <c r="F96" t="s">
        <v>78</v>
      </c>
      <c r="G96" t="s">
        <v>79</v>
      </c>
      <c r="H96" t="str">
        <f>IF(COUNTIF(Sheet1!$A:$A,TEXT(A96,"0"))+COUNTIF(Sheet1!$A:$A,A96)&gt;0,"موجود","غير موجود")</f>
        <v>موجود</v>
      </c>
    </row>
    <row r="97" spans="1:8" x14ac:dyDescent="0.2">
      <c r="A97">
        <v>20309012317</v>
      </c>
      <c r="B97" t="s">
        <v>175</v>
      </c>
      <c r="C97">
        <v>20</v>
      </c>
      <c r="D97">
        <v>15</v>
      </c>
      <c r="E97">
        <v>17</v>
      </c>
      <c r="F97" t="s">
        <v>78</v>
      </c>
      <c r="G97" t="s">
        <v>79</v>
      </c>
      <c r="H97" t="str">
        <f>IF(COUNTIF(Sheet1!$A:$A,TEXT(A97,"0"))+COUNTIF(Sheet1!$A:$A,A97)&gt;0,"موجود","غير موجود")</f>
        <v>غير موجود</v>
      </c>
    </row>
    <row r="98" spans="1:8" x14ac:dyDescent="0.2">
      <c r="A98">
        <v>20309012318</v>
      </c>
      <c r="B98" t="s">
        <v>176</v>
      </c>
      <c r="C98">
        <v>20</v>
      </c>
      <c r="D98">
        <v>15</v>
      </c>
      <c r="E98">
        <v>17</v>
      </c>
      <c r="F98" t="s">
        <v>78</v>
      </c>
      <c r="G98" t="s">
        <v>79</v>
      </c>
      <c r="H98" t="str">
        <f>IF(COUNTIF(Sheet1!$A:$A,TEXT(A98,"0"))+COUNTIF(Sheet1!$A:$A,A98)&gt;0,"موجود","غير موجود")</f>
        <v>غير موجود</v>
      </c>
    </row>
    <row r="99" spans="1:8" x14ac:dyDescent="0.2">
      <c r="A99">
        <v>20309012329</v>
      </c>
      <c r="B99" t="s">
        <v>177</v>
      </c>
      <c r="C99">
        <v>15.129999999999999</v>
      </c>
      <c r="D99">
        <v>15</v>
      </c>
      <c r="E99">
        <v>12.860499999999998</v>
      </c>
      <c r="F99" t="s">
        <v>78</v>
      </c>
      <c r="G99" t="s">
        <v>79</v>
      </c>
      <c r="H99" t="str">
        <f>IF(COUNTIF(Sheet1!$A:$A,TEXT(A99,"0"))+COUNTIF(Sheet1!$A:$A,A99)&gt;0,"موجود","غير موجود")</f>
        <v>غير موجود</v>
      </c>
    </row>
    <row r="100" spans="1:8" x14ac:dyDescent="0.2">
      <c r="A100" t="s">
        <v>44</v>
      </c>
      <c r="B100" t="s">
        <v>178</v>
      </c>
      <c r="C100">
        <v>85</v>
      </c>
      <c r="D100">
        <v>20</v>
      </c>
      <c r="E100">
        <v>68</v>
      </c>
      <c r="F100" t="s">
        <v>78</v>
      </c>
      <c r="G100" t="s">
        <v>79</v>
      </c>
      <c r="H100" t="str">
        <f>IF(COUNTIF(Sheet1!$A:$A,TEXT(A100,"0"))+COUNTIF(Sheet1!$A:$A,A100)&gt;0,"موجود","غير موجود")</f>
        <v>موجود</v>
      </c>
    </row>
    <row r="101" spans="1:8" x14ac:dyDescent="0.2">
      <c r="A101" t="s">
        <v>58</v>
      </c>
      <c r="B101" t="s">
        <v>179</v>
      </c>
      <c r="C101">
        <v>180</v>
      </c>
      <c r="D101">
        <v>20</v>
      </c>
      <c r="E101">
        <v>144</v>
      </c>
      <c r="F101" t="s">
        <v>78</v>
      </c>
      <c r="G101" t="s">
        <v>79</v>
      </c>
      <c r="H101" t="str">
        <f>IF(COUNTIF(Sheet1!$A:$A,TEXT(A101,"0"))+COUNTIF(Sheet1!$A:$A,A101)&gt;0,"موجود","غير موجود")</f>
        <v>موجود</v>
      </c>
    </row>
    <row r="102" spans="1:8" x14ac:dyDescent="0.2">
      <c r="A102" t="s">
        <v>180</v>
      </c>
      <c r="B102" t="s">
        <v>181</v>
      </c>
      <c r="C102">
        <v>125</v>
      </c>
      <c r="D102">
        <v>20</v>
      </c>
      <c r="E102">
        <v>100</v>
      </c>
      <c r="F102" t="s">
        <v>78</v>
      </c>
      <c r="G102" t="s">
        <v>79</v>
      </c>
      <c r="H102" t="str">
        <f>IF(COUNTIF(Sheet1!$A:$A,TEXT(A102,"0"))+COUNTIF(Sheet1!$A:$A,A102)&gt;0,"موجود","غير موجود")</f>
        <v>غير موجود</v>
      </c>
    </row>
    <row r="103" spans="1:8" x14ac:dyDescent="0.2">
      <c r="A103" t="s">
        <v>43</v>
      </c>
      <c r="B103" t="s">
        <v>182</v>
      </c>
      <c r="C103">
        <v>115</v>
      </c>
      <c r="D103">
        <v>20</v>
      </c>
      <c r="E103">
        <v>92</v>
      </c>
      <c r="F103" t="s">
        <v>78</v>
      </c>
      <c r="G103" t="s">
        <v>79</v>
      </c>
      <c r="H103" t="str">
        <f>IF(COUNTIF(Sheet1!$A:$A,TEXT(A103,"0"))+COUNTIF(Sheet1!$A:$A,A103)&gt;0,"موجود","غير موجود")</f>
        <v>موجود</v>
      </c>
    </row>
    <row r="104" spans="1:8" x14ac:dyDescent="0.2">
      <c r="A104" t="s">
        <v>183</v>
      </c>
      <c r="B104" t="s">
        <v>184</v>
      </c>
      <c r="C104">
        <v>47</v>
      </c>
      <c r="D104">
        <v>20</v>
      </c>
      <c r="E104">
        <v>37.6</v>
      </c>
      <c r="F104" t="s">
        <v>78</v>
      </c>
      <c r="G104" t="s">
        <v>79</v>
      </c>
      <c r="H104" t="str">
        <f>IF(COUNTIF(Sheet1!$A:$A,TEXT(A104,"0"))+COUNTIF(Sheet1!$A:$A,A104)&gt;0,"موجود","غير موجود")</f>
        <v>غير موجود</v>
      </c>
    </row>
    <row r="105" spans="1:8" x14ac:dyDescent="0.2">
      <c r="A105" t="s">
        <v>59</v>
      </c>
      <c r="B105" t="s">
        <v>185</v>
      </c>
      <c r="C105">
        <v>42</v>
      </c>
      <c r="D105">
        <v>20</v>
      </c>
      <c r="E105">
        <v>33.6</v>
      </c>
      <c r="F105" t="s">
        <v>78</v>
      </c>
      <c r="G105" t="s">
        <v>79</v>
      </c>
      <c r="H105" t="str">
        <f>IF(COUNTIF(Sheet1!$A:$A,TEXT(A105,"0"))+COUNTIF(Sheet1!$A:$A,A105)&gt;0,"موجود","غير موجود")</f>
        <v>موجود</v>
      </c>
    </row>
    <row r="106" spans="1:8" x14ac:dyDescent="0.2">
      <c r="A106" t="s">
        <v>57</v>
      </c>
      <c r="B106" t="s">
        <v>186</v>
      </c>
      <c r="C106">
        <v>125</v>
      </c>
      <c r="D106">
        <v>20</v>
      </c>
      <c r="E106">
        <v>100</v>
      </c>
      <c r="F106" t="s">
        <v>78</v>
      </c>
      <c r="G106" t="s">
        <v>79</v>
      </c>
      <c r="H106" t="str">
        <f>IF(COUNTIF(Sheet1!$A:$A,TEXT(A106,"0"))+COUNTIF(Sheet1!$A:$A,A106)&gt;0,"موجود","غير موجود")</f>
        <v>موجود</v>
      </c>
    </row>
    <row r="107" spans="1:8" x14ac:dyDescent="0.2">
      <c r="A107" t="s">
        <v>187</v>
      </c>
      <c r="B107" t="s">
        <v>188</v>
      </c>
      <c r="C107">
        <v>125</v>
      </c>
      <c r="D107">
        <v>20</v>
      </c>
      <c r="E107">
        <v>100</v>
      </c>
      <c r="F107" t="s">
        <v>78</v>
      </c>
      <c r="G107" t="s">
        <v>79</v>
      </c>
      <c r="H107" t="str">
        <f>IF(COUNTIF(Sheet1!$A:$A,TEXT(A107,"0"))+COUNTIF(Sheet1!$A:$A,A107)&gt;0,"موجود","غير موجود")</f>
        <v>غير موجود</v>
      </c>
    </row>
    <row r="108" spans="1:8" x14ac:dyDescent="0.2">
      <c r="A108" t="s">
        <v>189</v>
      </c>
      <c r="B108" t="s">
        <v>190</v>
      </c>
      <c r="C108">
        <v>145</v>
      </c>
      <c r="D108">
        <v>20</v>
      </c>
      <c r="E108">
        <v>116</v>
      </c>
      <c r="F108" t="s">
        <v>78</v>
      </c>
      <c r="G108" t="s">
        <v>79</v>
      </c>
      <c r="H108" t="str">
        <f>IF(COUNTIF(Sheet1!$A:$A,TEXT(A108,"0"))+COUNTIF(Sheet1!$A:$A,A108)&gt;0,"موجود","غير موجود")</f>
        <v>غير موجود</v>
      </c>
    </row>
    <row r="109" spans="1:8" x14ac:dyDescent="0.2">
      <c r="A109" t="s">
        <v>191</v>
      </c>
      <c r="B109" t="s">
        <v>192</v>
      </c>
      <c r="C109">
        <v>170.00001</v>
      </c>
      <c r="D109">
        <v>20</v>
      </c>
      <c r="E109">
        <v>136.00000800000001</v>
      </c>
      <c r="F109" t="s">
        <v>78</v>
      </c>
      <c r="G109" t="s">
        <v>79</v>
      </c>
      <c r="H109" t="str">
        <f>IF(COUNTIF(Sheet1!$A:$A,TEXT(A109,"0"))+COUNTIF(Sheet1!$A:$A,A109)&gt;0,"موجود","غير موجود")</f>
        <v>غير موجود</v>
      </c>
    </row>
    <row r="110" spans="1:8" x14ac:dyDescent="0.2">
      <c r="A110" t="s">
        <v>193</v>
      </c>
      <c r="B110" t="s">
        <v>194</v>
      </c>
      <c r="C110">
        <v>95</v>
      </c>
      <c r="D110">
        <v>20</v>
      </c>
      <c r="E110">
        <v>76</v>
      </c>
      <c r="F110" t="s">
        <v>78</v>
      </c>
      <c r="G110" t="s">
        <v>79</v>
      </c>
      <c r="H110" t="str">
        <f>IF(COUNTIF(Sheet1!$A:$A,TEXT(A110,"0"))+COUNTIF(Sheet1!$A:$A,A110)&gt;0,"موجود","غير موجود")</f>
        <v>غير موجود</v>
      </c>
    </row>
    <row r="111" spans="1:8" x14ac:dyDescent="0.2">
      <c r="A111" t="s">
        <v>60</v>
      </c>
      <c r="B111" t="s">
        <v>195</v>
      </c>
      <c r="C111">
        <v>95</v>
      </c>
      <c r="D111">
        <v>20</v>
      </c>
      <c r="E111">
        <v>76</v>
      </c>
      <c r="F111" t="s">
        <v>78</v>
      </c>
      <c r="G111" t="s">
        <v>79</v>
      </c>
      <c r="H111" t="str">
        <f>IF(COUNTIF(Sheet1!$A:$A,TEXT(A111,"0"))+COUNTIF(Sheet1!$A:$A,A111)&gt;0,"موجود","غير موجود")</f>
        <v>موجود</v>
      </c>
    </row>
    <row r="112" spans="1:8" x14ac:dyDescent="0.2">
      <c r="A112" t="s">
        <v>56</v>
      </c>
      <c r="B112" t="s">
        <v>196</v>
      </c>
      <c r="C112">
        <v>125</v>
      </c>
      <c r="D112">
        <v>20</v>
      </c>
      <c r="E112">
        <v>100</v>
      </c>
      <c r="F112" t="s">
        <v>78</v>
      </c>
      <c r="G112" t="s">
        <v>79</v>
      </c>
      <c r="H112" t="str">
        <f>IF(COUNTIF(Sheet1!$A:$A,TEXT(A112,"0"))+COUNTIF(Sheet1!$A:$A,A112)&gt;0,"موجود","غير موجود")</f>
        <v>موجود</v>
      </c>
    </row>
    <row r="113" spans="1:8" x14ac:dyDescent="0.2">
      <c r="A113" t="s">
        <v>16</v>
      </c>
      <c r="B113" t="s">
        <v>197</v>
      </c>
      <c r="C113">
        <v>109.99995</v>
      </c>
      <c r="D113">
        <v>20</v>
      </c>
      <c r="E113">
        <v>87.999960000000002</v>
      </c>
      <c r="F113" t="s">
        <v>78</v>
      </c>
      <c r="G113" t="s">
        <v>79</v>
      </c>
      <c r="H113" t="str">
        <f>IF(COUNTIF(Sheet1!$A:$A,TEXT(A113,"0"))+COUNTIF(Sheet1!$A:$A,A113)&gt;0,"موجود","غير موجود")</f>
        <v>موجود</v>
      </c>
    </row>
    <row r="114" spans="1:8" x14ac:dyDescent="0.2">
      <c r="A114" t="s">
        <v>61</v>
      </c>
      <c r="B114" t="s">
        <v>198</v>
      </c>
      <c r="C114">
        <v>80.000010000000003</v>
      </c>
      <c r="D114">
        <v>20</v>
      </c>
      <c r="E114">
        <v>64.000008000000008</v>
      </c>
      <c r="F114" t="s">
        <v>78</v>
      </c>
      <c r="G114" t="s">
        <v>79</v>
      </c>
      <c r="H114" t="str">
        <f>IF(COUNTIF(Sheet1!$A:$A,TEXT(A114,"0"))+COUNTIF(Sheet1!$A:$A,A114)&gt;0,"موجود","غير موجود")</f>
        <v>موجود</v>
      </c>
    </row>
    <row r="115" spans="1:8" x14ac:dyDescent="0.2">
      <c r="A115" t="s">
        <v>199</v>
      </c>
      <c r="B115" t="s">
        <v>200</v>
      </c>
      <c r="C115">
        <v>150</v>
      </c>
      <c r="D115">
        <v>20</v>
      </c>
      <c r="E115">
        <v>120</v>
      </c>
      <c r="F115" t="s">
        <v>78</v>
      </c>
      <c r="G115" t="s">
        <v>79</v>
      </c>
      <c r="H115" t="str">
        <f>IF(COUNTIF(Sheet1!$A:$A,TEXT(A115,"0"))+COUNTIF(Sheet1!$A:$A,A115)&gt;0,"موجود","غير موجود")</f>
        <v>غير موجود</v>
      </c>
    </row>
    <row r="116" spans="1:8" x14ac:dyDescent="0.2">
      <c r="A116" t="s">
        <v>201</v>
      </c>
      <c r="B116" t="s">
        <v>202</v>
      </c>
      <c r="C116">
        <v>160</v>
      </c>
      <c r="D116">
        <v>20</v>
      </c>
      <c r="E116">
        <v>128</v>
      </c>
      <c r="F116" t="s">
        <v>78</v>
      </c>
      <c r="G116" t="s">
        <v>79</v>
      </c>
      <c r="H116" t="str">
        <f>IF(COUNTIF(Sheet1!$A:$A,TEXT(A116,"0"))+COUNTIF(Sheet1!$A:$A,A116)&gt;0,"موجود","غير موجود")</f>
        <v>غير موجود</v>
      </c>
    </row>
    <row r="117" spans="1:8" x14ac:dyDescent="0.2">
      <c r="A117" t="s">
        <v>14</v>
      </c>
      <c r="B117" t="s">
        <v>203</v>
      </c>
      <c r="C117">
        <v>35</v>
      </c>
      <c r="D117">
        <v>40</v>
      </c>
      <c r="E117">
        <v>24.5</v>
      </c>
      <c r="F117" t="s">
        <v>78</v>
      </c>
      <c r="G117" t="s">
        <v>79</v>
      </c>
      <c r="H117" t="str">
        <f>IF(COUNTIF(Sheet1!$A:$A,TEXT(A117,"0"))+COUNTIF(Sheet1!$A:$A,A117)&gt;0,"موجود","غير موجود")</f>
        <v>موجود</v>
      </c>
    </row>
    <row r="118" spans="1:8" x14ac:dyDescent="0.2">
      <c r="A118" t="s">
        <v>49</v>
      </c>
      <c r="B118" t="s">
        <v>204</v>
      </c>
      <c r="C118">
        <v>35</v>
      </c>
      <c r="D118">
        <v>40</v>
      </c>
      <c r="E118">
        <v>24.5</v>
      </c>
      <c r="F118" t="s">
        <v>78</v>
      </c>
      <c r="G118" t="s">
        <v>79</v>
      </c>
      <c r="H118" t="str">
        <f>IF(COUNTIF(Sheet1!$A:$A,TEXT(A118,"0"))+COUNTIF(Sheet1!$A:$A,A118)&gt;0,"موجود","غير موجود")</f>
        <v>موجود</v>
      </c>
    </row>
    <row r="119" spans="1:8" x14ac:dyDescent="0.2">
      <c r="A119" t="s">
        <v>13</v>
      </c>
      <c r="B119" t="s">
        <v>205</v>
      </c>
      <c r="C119">
        <v>35</v>
      </c>
      <c r="D119">
        <v>40</v>
      </c>
      <c r="E119">
        <v>24.5</v>
      </c>
      <c r="F119" t="s">
        <v>78</v>
      </c>
      <c r="G119" t="s">
        <v>79</v>
      </c>
      <c r="H119" t="str">
        <f>IF(COUNTIF(Sheet1!$A:$A,TEXT(A119,"0"))+COUNTIF(Sheet1!$A:$A,A119)&gt;0,"موجود","غير موجود")</f>
        <v>موجود</v>
      </c>
    </row>
    <row r="120" spans="1:8" x14ac:dyDescent="0.2">
      <c r="A120" t="s">
        <v>12</v>
      </c>
      <c r="B120" t="s">
        <v>206</v>
      </c>
      <c r="C120">
        <v>31</v>
      </c>
      <c r="D120">
        <v>40</v>
      </c>
      <c r="E120">
        <v>21.7</v>
      </c>
      <c r="F120" t="s">
        <v>78</v>
      </c>
      <c r="G120" t="s">
        <v>79</v>
      </c>
      <c r="H120" t="str">
        <f>IF(COUNTIF(Sheet1!$A:$A,TEXT(A120,"0"))+COUNTIF(Sheet1!$A:$A,A120)&gt;0,"موجود","غير موجود")</f>
        <v>موجود</v>
      </c>
    </row>
    <row r="121" spans="1:8" x14ac:dyDescent="0.2">
      <c r="A121" t="s">
        <v>11</v>
      </c>
      <c r="B121" t="s">
        <v>207</v>
      </c>
      <c r="C121">
        <v>35</v>
      </c>
      <c r="D121">
        <v>40</v>
      </c>
      <c r="E121">
        <v>24.5</v>
      </c>
      <c r="F121" t="s">
        <v>78</v>
      </c>
      <c r="G121" t="s">
        <v>79</v>
      </c>
      <c r="H121" t="str">
        <f>IF(COUNTIF(Sheet1!$A:$A,TEXT(A121,"0"))+COUNTIF(Sheet1!$A:$A,A121)&gt;0,"موجود","غير موجود")</f>
        <v>موجود</v>
      </c>
    </row>
    <row r="122" spans="1:8" x14ac:dyDescent="0.2">
      <c r="A122" t="s">
        <v>51</v>
      </c>
      <c r="B122" t="s">
        <v>208</v>
      </c>
      <c r="C122">
        <v>35</v>
      </c>
      <c r="D122">
        <v>40</v>
      </c>
      <c r="E122">
        <v>24.5</v>
      </c>
      <c r="F122" t="s">
        <v>78</v>
      </c>
      <c r="G122" t="s">
        <v>79</v>
      </c>
      <c r="H122" t="str">
        <f>IF(COUNTIF(Sheet1!$A:$A,TEXT(A122,"0"))+COUNTIF(Sheet1!$A:$A,A122)&gt;0,"موجود","غير موجود")</f>
        <v>موجود</v>
      </c>
    </row>
    <row r="123" spans="1:8" x14ac:dyDescent="0.2">
      <c r="A123" t="s">
        <v>50</v>
      </c>
      <c r="B123" t="s">
        <v>209</v>
      </c>
      <c r="C123">
        <v>85</v>
      </c>
      <c r="D123">
        <v>40</v>
      </c>
      <c r="E123">
        <v>51</v>
      </c>
      <c r="F123" t="s">
        <v>78</v>
      </c>
      <c r="G123" t="s">
        <v>79</v>
      </c>
      <c r="H123" t="str">
        <f>IF(COUNTIF(Sheet1!$A:$A,TEXT(A123,"0"))+COUNTIF(Sheet1!$A:$A,A123)&gt;0,"موجود","غير موجود")</f>
        <v>موجود</v>
      </c>
    </row>
    <row r="124" spans="1:8" x14ac:dyDescent="0.2">
      <c r="A124" t="s">
        <v>53</v>
      </c>
      <c r="B124" t="s">
        <v>210</v>
      </c>
      <c r="C124">
        <v>45</v>
      </c>
      <c r="D124">
        <v>40</v>
      </c>
      <c r="E124">
        <v>27</v>
      </c>
      <c r="F124" t="s">
        <v>78</v>
      </c>
      <c r="G124" t="s">
        <v>79</v>
      </c>
      <c r="H124" t="str">
        <f>IF(COUNTIF(Sheet1!$A:$A,TEXT(A124,"0"))+COUNTIF(Sheet1!$A:$A,A124)&gt;0,"موجود","غير موجود")</f>
        <v>موجود</v>
      </c>
    </row>
    <row r="125" spans="1:8" x14ac:dyDescent="0.2">
      <c r="A125" t="s">
        <v>52</v>
      </c>
      <c r="B125" t="s">
        <v>211</v>
      </c>
      <c r="C125">
        <v>40</v>
      </c>
      <c r="D125">
        <v>40</v>
      </c>
      <c r="E125">
        <v>28</v>
      </c>
      <c r="F125" t="s">
        <v>78</v>
      </c>
      <c r="G125" t="s">
        <v>79</v>
      </c>
      <c r="H125" t="str">
        <f>IF(COUNTIF(Sheet1!$A:$A,TEXT(A125,"0"))+COUNTIF(Sheet1!$A:$A,A125)&gt;0,"موجود","غير موجود")</f>
        <v>موجود</v>
      </c>
    </row>
    <row r="126" spans="1:8" x14ac:dyDescent="0.2">
      <c r="A126" t="s">
        <v>10</v>
      </c>
      <c r="B126" t="s">
        <v>212</v>
      </c>
      <c r="C126">
        <v>150</v>
      </c>
      <c r="D126">
        <v>33</v>
      </c>
      <c r="E126">
        <v>100.5</v>
      </c>
      <c r="F126" t="s">
        <v>78</v>
      </c>
      <c r="G126" t="s">
        <v>79</v>
      </c>
      <c r="H126" t="str">
        <f>IF(COUNTIF(Sheet1!$A:$A,TEXT(A126,"0"))+COUNTIF(Sheet1!$A:$A,A126)&gt;0,"موجود","غير موجود")</f>
        <v>موجود</v>
      </c>
    </row>
    <row r="127" spans="1:8" x14ac:dyDescent="0.2">
      <c r="A127">
        <v>20715010050</v>
      </c>
      <c r="B127" t="s">
        <v>213</v>
      </c>
      <c r="C127">
        <v>88.5</v>
      </c>
      <c r="D127">
        <v>10</v>
      </c>
      <c r="E127">
        <v>79.650000000000006</v>
      </c>
      <c r="F127" t="s">
        <v>78</v>
      </c>
      <c r="G127" t="s">
        <v>83</v>
      </c>
      <c r="H127" t="str">
        <f>IF(COUNTIF(Sheet1!$A:$A,TEXT(A127,"0"))+COUNTIF(Sheet1!$A:$A,A127)&gt;0,"موجود","غير موجود")</f>
        <v>موجود</v>
      </c>
    </row>
    <row r="128" spans="1:8" x14ac:dyDescent="0.2">
      <c r="A128">
        <v>20715010042</v>
      </c>
      <c r="B128" t="s">
        <v>214</v>
      </c>
      <c r="C128">
        <v>88.5</v>
      </c>
      <c r="D128">
        <v>10</v>
      </c>
      <c r="E128">
        <v>79.650000000000006</v>
      </c>
      <c r="F128" t="s">
        <v>78</v>
      </c>
      <c r="G128" t="s">
        <v>83</v>
      </c>
      <c r="H128" t="str">
        <f>IF(COUNTIF(Sheet1!$A:$A,TEXT(A128,"0"))+COUNTIF(Sheet1!$A:$A,A128)&gt;0,"موجود","غير موجود")</f>
        <v>موجود</v>
      </c>
    </row>
    <row r="129" spans="1:8" x14ac:dyDescent="0.2">
      <c r="A129">
        <v>20715010051</v>
      </c>
      <c r="B129" t="s">
        <v>215</v>
      </c>
      <c r="C129">
        <v>86</v>
      </c>
      <c r="D129">
        <v>10</v>
      </c>
      <c r="E129">
        <v>77.400000000000006</v>
      </c>
      <c r="F129" t="s">
        <v>78</v>
      </c>
      <c r="G129" t="s">
        <v>83</v>
      </c>
      <c r="H129" t="str">
        <f>IF(COUNTIF(Sheet1!$A:$A,TEXT(A129,"0"))+COUNTIF(Sheet1!$A:$A,A129)&gt;0,"موجود","غير موجود")</f>
        <v>موجود</v>
      </c>
    </row>
    <row r="130" spans="1:8" x14ac:dyDescent="0.2">
      <c r="A130">
        <v>20715010265</v>
      </c>
      <c r="B130" t="s">
        <v>216</v>
      </c>
      <c r="C130">
        <v>126</v>
      </c>
      <c r="D130">
        <v>10</v>
      </c>
      <c r="E130">
        <v>113.4</v>
      </c>
      <c r="F130" t="s">
        <v>78</v>
      </c>
      <c r="G130" t="s">
        <v>83</v>
      </c>
      <c r="H130" t="str">
        <f>IF(COUNTIF(Sheet1!$A:$A,TEXT(A130,"0"))+COUNTIF(Sheet1!$A:$A,A130)&gt;0,"موجود","غير موجود")</f>
        <v>موجود</v>
      </c>
    </row>
    <row r="131" spans="1:8" x14ac:dyDescent="0.2">
      <c r="A131">
        <v>20715010481</v>
      </c>
      <c r="B131" t="s">
        <v>217</v>
      </c>
      <c r="C131">
        <v>28.66</v>
      </c>
      <c r="D131">
        <v>25</v>
      </c>
      <c r="E131">
        <v>21.495000000000001</v>
      </c>
      <c r="F131" t="s">
        <v>78</v>
      </c>
      <c r="G131" t="s">
        <v>83</v>
      </c>
      <c r="H131" t="str">
        <f>IF(COUNTIF(Sheet1!$A:$A,TEXT(A131,"0"))+COUNTIF(Sheet1!$A:$A,A131)&gt;0,"موجود","غير موجود")</f>
        <v>غير موجود</v>
      </c>
    </row>
    <row r="132" spans="1:8" x14ac:dyDescent="0.2">
      <c r="A132">
        <v>20815010011</v>
      </c>
      <c r="B132" t="s">
        <v>218</v>
      </c>
      <c r="C132">
        <v>28.66</v>
      </c>
      <c r="D132">
        <v>25</v>
      </c>
      <c r="E132">
        <v>21.495000000000001</v>
      </c>
      <c r="F132" t="s">
        <v>78</v>
      </c>
      <c r="G132" t="s">
        <v>83</v>
      </c>
      <c r="H132" t="str">
        <f>IF(COUNTIF(Sheet1!$A:$A,TEXT(A132,"0"))+COUNTIF(Sheet1!$A:$A,A132)&gt;0,"موجود","غير موجود")</f>
        <v>غير موجود</v>
      </c>
    </row>
    <row r="133" spans="1:8" x14ac:dyDescent="0.2">
      <c r="A133">
        <v>20715010480</v>
      </c>
      <c r="B133" t="s">
        <v>219</v>
      </c>
      <c r="C133">
        <v>28.66</v>
      </c>
      <c r="D133">
        <v>25</v>
      </c>
      <c r="E133">
        <v>21.495000000000001</v>
      </c>
      <c r="F133" t="s">
        <v>78</v>
      </c>
      <c r="G133" t="s">
        <v>83</v>
      </c>
      <c r="H133" t="str">
        <f>IF(COUNTIF(Sheet1!$A:$A,TEXT(A133,"0"))+COUNTIF(Sheet1!$A:$A,A133)&gt;0,"موجود","غير موجود")</f>
        <v>غير موجود</v>
      </c>
    </row>
    <row r="134" spans="1:8" x14ac:dyDescent="0.2">
      <c r="A134">
        <v>20815010012</v>
      </c>
      <c r="B134" t="s">
        <v>220</v>
      </c>
      <c r="C134">
        <v>28.660000000000004</v>
      </c>
      <c r="D134">
        <v>25</v>
      </c>
      <c r="E134">
        <v>21.495000000000005</v>
      </c>
      <c r="F134" t="s">
        <v>78</v>
      </c>
      <c r="G134" t="s">
        <v>83</v>
      </c>
      <c r="H134" t="str">
        <f>IF(COUNTIF(Sheet1!$A:$A,TEXT(A134,"0"))+COUNTIF(Sheet1!$A:$A,A134)&gt;0,"موجود","غير موجود")</f>
        <v>غير موجود</v>
      </c>
    </row>
    <row r="135" spans="1:8" x14ac:dyDescent="0.2">
      <c r="A135">
        <v>20815010041</v>
      </c>
      <c r="B135" t="s">
        <v>221</v>
      </c>
      <c r="C135">
        <v>28.660000000000004</v>
      </c>
      <c r="D135">
        <v>25</v>
      </c>
      <c r="E135">
        <v>21.495000000000005</v>
      </c>
      <c r="F135" t="s">
        <v>78</v>
      </c>
      <c r="G135" t="s">
        <v>83</v>
      </c>
      <c r="H135" t="str">
        <f>IF(COUNTIF(Sheet1!$A:$A,TEXT(A135,"0"))+COUNTIF(Sheet1!$A:$A,A135)&gt;0,"موجود","غير موجود")</f>
        <v>موجود</v>
      </c>
    </row>
    <row r="136" spans="1:8" x14ac:dyDescent="0.2">
      <c r="A136">
        <v>20815010007</v>
      </c>
      <c r="B136" t="s">
        <v>222</v>
      </c>
      <c r="C136">
        <v>26</v>
      </c>
      <c r="D136">
        <v>25</v>
      </c>
      <c r="E136">
        <v>19.5</v>
      </c>
      <c r="F136" t="s">
        <v>78</v>
      </c>
      <c r="G136" t="s">
        <v>83</v>
      </c>
      <c r="H136" t="str">
        <f>IF(COUNTIF(Sheet1!$A:$A,TEXT(A136,"0"))+COUNTIF(Sheet1!$A:$A,A136)&gt;0,"موجود","غير موجود")</f>
        <v>غير موجود</v>
      </c>
    </row>
    <row r="137" spans="1:8" x14ac:dyDescent="0.2">
      <c r="A137">
        <v>20715010482</v>
      </c>
      <c r="B137" t="s">
        <v>223</v>
      </c>
      <c r="C137">
        <v>47</v>
      </c>
      <c r="D137">
        <v>30</v>
      </c>
      <c r="E137">
        <v>32.9</v>
      </c>
      <c r="F137" t="s">
        <v>78</v>
      </c>
      <c r="G137" t="s">
        <v>83</v>
      </c>
      <c r="H137" t="str">
        <f>IF(COUNTIF(Sheet1!$A:$A,TEXT(A137,"0"))+COUNTIF(Sheet1!$A:$A,A137)&gt;0,"موجود","غير موجود")</f>
        <v>غير موجود</v>
      </c>
    </row>
    <row r="138" spans="1:8" x14ac:dyDescent="0.2">
      <c r="A138">
        <v>20715010232</v>
      </c>
      <c r="B138" t="s">
        <v>224</v>
      </c>
      <c r="C138">
        <v>47</v>
      </c>
      <c r="D138">
        <v>30</v>
      </c>
      <c r="E138">
        <v>32.9</v>
      </c>
      <c r="F138" t="s">
        <v>78</v>
      </c>
      <c r="G138" t="s">
        <v>83</v>
      </c>
      <c r="H138" t="str">
        <f>IF(COUNTIF(Sheet1!$A:$A,TEXT(A138,"0"))+COUNTIF(Sheet1!$A:$A,A138)&gt;0,"موجود","غير موجود")</f>
        <v>غير موجود</v>
      </c>
    </row>
    <row r="139" spans="1:8" x14ac:dyDescent="0.2">
      <c r="A139">
        <v>20715010038</v>
      </c>
      <c r="B139" t="s">
        <v>225</v>
      </c>
      <c r="C139">
        <v>46</v>
      </c>
      <c r="D139">
        <v>7.5</v>
      </c>
      <c r="E139">
        <v>42.55</v>
      </c>
      <c r="F139" t="s">
        <v>78</v>
      </c>
      <c r="G139" t="s">
        <v>83</v>
      </c>
      <c r="H139" t="str">
        <f>IF(COUNTIF(Sheet1!$A:$A,TEXT(A139,"0"))+COUNTIF(Sheet1!$A:$A,A139)&gt;0,"موجود","غير موجود")</f>
        <v>موجود</v>
      </c>
    </row>
    <row r="140" spans="1:8" x14ac:dyDescent="0.2">
      <c r="A140">
        <v>20715010039</v>
      </c>
      <c r="B140" t="s">
        <v>226</v>
      </c>
      <c r="C140">
        <v>46</v>
      </c>
      <c r="D140">
        <v>7.5</v>
      </c>
      <c r="E140">
        <v>42.55</v>
      </c>
      <c r="F140" t="s">
        <v>78</v>
      </c>
      <c r="G140" t="s">
        <v>83</v>
      </c>
      <c r="H140" t="str">
        <f>IF(COUNTIF(Sheet1!$A:$A,TEXT(A140,"0"))+COUNTIF(Sheet1!$A:$A,A140)&gt;0,"موجود","غير موجود")</f>
        <v>موجود</v>
      </c>
    </row>
    <row r="141" spans="1:8" x14ac:dyDescent="0.2">
      <c r="A141">
        <v>20715010044</v>
      </c>
      <c r="B141" t="s">
        <v>227</v>
      </c>
      <c r="C141">
        <v>44</v>
      </c>
      <c r="D141">
        <v>7.5</v>
      </c>
      <c r="E141">
        <v>40.700000000000003</v>
      </c>
      <c r="F141" t="s">
        <v>78</v>
      </c>
      <c r="G141" t="s">
        <v>83</v>
      </c>
      <c r="H141" t="str">
        <f>IF(COUNTIF(Sheet1!$A:$A,TEXT(A141,"0"))+COUNTIF(Sheet1!$A:$A,A141)&gt;0,"موجود","غير موجود")</f>
        <v>موجود</v>
      </c>
    </row>
    <row r="142" spans="1:8" x14ac:dyDescent="0.2">
      <c r="A142">
        <v>20309504151</v>
      </c>
      <c r="B142" t="s">
        <v>228</v>
      </c>
      <c r="C142">
        <v>18.7</v>
      </c>
      <c r="D142">
        <v>10</v>
      </c>
      <c r="E142">
        <v>16.829999999999998</v>
      </c>
      <c r="F142" t="s">
        <v>78</v>
      </c>
      <c r="G142" t="s">
        <v>79</v>
      </c>
      <c r="H142" t="str">
        <f>IF(COUNTIF(Sheet1!$A:$A,TEXT(A142,"0"))+COUNTIF(Sheet1!$A:$A,A142)&gt;0,"موجود","غير موجود")</f>
        <v>موجود</v>
      </c>
    </row>
    <row r="143" spans="1:8" x14ac:dyDescent="0.2">
      <c r="A143">
        <v>20309504152</v>
      </c>
      <c r="B143" t="s">
        <v>229</v>
      </c>
      <c r="C143">
        <v>16.7</v>
      </c>
      <c r="D143">
        <v>10</v>
      </c>
      <c r="E143">
        <v>15.03</v>
      </c>
      <c r="F143" t="s">
        <v>78</v>
      </c>
      <c r="G143" t="s">
        <v>79</v>
      </c>
      <c r="H143" t="str">
        <f>IF(COUNTIF(Sheet1!$A:$A,TEXT(A143,"0"))+COUNTIF(Sheet1!$A:$A,A143)&gt;0,"موجود","غير موجود")</f>
        <v>موجود</v>
      </c>
    </row>
    <row r="144" spans="1:8" x14ac:dyDescent="0.2">
      <c r="A144">
        <v>20309504153</v>
      </c>
      <c r="B144" t="s">
        <v>230</v>
      </c>
      <c r="C144">
        <v>21.38</v>
      </c>
      <c r="D144">
        <v>10</v>
      </c>
      <c r="E144">
        <v>19.241999999999997</v>
      </c>
      <c r="F144" t="s">
        <v>78</v>
      </c>
      <c r="G144" t="s">
        <v>79</v>
      </c>
      <c r="H144" t="str">
        <f>IF(COUNTIF(Sheet1!$A:$A,TEXT(A144,"0"))+COUNTIF(Sheet1!$A:$A,A144)&gt;0,"موجود","غير موجود")</f>
        <v>موجود</v>
      </c>
    </row>
    <row r="145" spans="1:8" x14ac:dyDescent="0.2">
      <c r="A145">
        <v>20309504154</v>
      </c>
      <c r="B145" t="s">
        <v>231</v>
      </c>
      <c r="C145">
        <v>21.38</v>
      </c>
      <c r="D145">
        <v>10</v>
      </c>
      <c r="E145">
        <v>19.241999999999997</v>
      </c>
      <c r="F145" t="s">
        <v>78</v>
      </c>
      <c r="G145" t="s">
        <v>79</v>
      </c>
      <c r="H145" t="str">
        <f>IF(COUNTIF(Sheet1!$A:$A,TEXT(A145,"0"))+COUNTIF(Sheet1!$A:$A,A145)&gt;0,"موجود","غير موجود")</f>
        <v>موجود</v>
      </c>
    </row>
    <row r="146" spans="1:8" x14ac:dyDescent="0.2">
      <c r="A146">
        <v>20309504155</v>
      </c>
      <c r="B146" t="s">
        <v>232</v>
      </c>
      <c r="C146">
        <v>21.38</v>
      </c>
      <c r="D146">
        <v>10</v>
      </c>
      <c r="E146">
        <v>19.241999999999997</v>
      </c>
      <c r="F146" t="s">
        <v>78</v>
      </c>
      <c r="G146" t="s">
        <v>79</v>
      </c>
      <c r="H146" t="str">
        <f>IF(COUNTIF(Sheet1!$A:$A,TEXT(A146,"0"))+COUNTIF(Sheet1!$A:$A,A146)&gt;0,"موجود","غير موجود")</f>
        <v>موجود</v>
      </c>
    </row>
    <row r="147" spans="1:8" x14ac:dyDescent="0.2">
      <c r="A147">
        <v>20309504156</v>
      </c>
      <c r="B147" t="s">
        <v>233</v>
      </c>
      <c r="C147">
        <v>18.04</v>
      </c>
      <c r="D147">
        <v>10</v>
      </c>
      <c r="E147">
        <v>16.236000000000001</v>
      </c>
      <c r="F147" t="s">
        <v>78</v>
      </c>
      <c r="G147" t="s">
        <v>79</v>
      </c>
      <c r="H147" t="str">
        <f>IF(COUNTIF(Sheet1!$A:$A,TEXT(A147,"0"))+COUNTIF(Sheet1!$A:$A,A147)&gt;0,"موجود","غير موجود")</f>
        <v>موجود</v>
      </c>
    </row>
    <row r="148" spans="1:8" x14ac:dyDescent="0.2">
      <c r="A148">
        <v>20309012305</v>
      </c>
      <c r="B148" t="s">
        <v>234</v>
      </c>
      <c r="C148">
        <v>16.940000000000001</v>
      </c>
      <c r="D148">
        <v>20</v>
      </c>
      <c r="E148">
        <v>13.552000000000001</v>
      </c>
      <c r="F148" t="s">
        <v>78</v>
      </c>
      <c r="G148" t="s">
        <v>79</v>
      </c>
      <c r="H148" t="str">
        <f>IF(COUNTIF(Sheet1!$A:$A,TEXT(A148,"0"))+COUNTIF(Sheet1!$A:$A,A148)&gt;0,"موجود","غير موجود")</f>
        <v>غير موجود</v>
      </c>
    </row>
    <row r="149" spans="1:8" x14ac:dyDescent="0.2">
      <c r="A149">
        <v>20309012306</v>
      </c>
      <c r="B149" t="s">
        <v>235</v>
      </c>
      <c r="C149">
        <v>16.940000000000001</v>
      </c>
      <c r="D149">
        <v>20</v>
      </c>
      <c r="E149">
        <v>13.552000000000001</v>
      </c>
      <c r="F149" t="s">
        <v>78</v>
      </c>
      <c r="G149" t="s">
        <v>79</v>
      </c>
      <c r="H149" t="str">
        <f>IF(COUNTIF(Sheet1!$A:$A,TEXT(A149,"0"))+COUNTIF(Sheet1!$A:$A,A149)&gt;0,"موجود","غير موجود")</f>
        <v>غير موجود</v>
      </c>
    </row>
    <row r="150" spans="1:8" x14ac:dyDescent="0.2">
      <c r="A150">
        <v>20309012307</v>
      </c>
      <c r="B150" t="s">
        <v>236</v>
      </c>
      <c r="C150">
        <v>16.940000000000001</v>
      </c>
      <c r="D150">
        <v>20</v>
      </c>
      <c r="E150">
        <v>13.552000000000001</v>
      </c>
      <c r="F150" t="s">
        <v>78</v>
      </c>
      <c r="G150" t="s">
        <v>79</v>
      </c>
      <c r="H150" t="str">
        <f>IF(COUNTIF(Sheet1!$A:$A,TEXT(A150,"0"))+COUNTIF(Sheet1!$A:$A,A150)&gt;0,"موجود","غير موجود")</f>
        <v>غير موجود</v>
      </c>
    </row>
    <row r="151" spans="1:8" x14ac:dyDescent="0.2">
      <c r="A151">
        <v>20309012308</v>
      </c>
      <c r="B151" t="s">
        <v>237</v>
      </c>
      <c r="C151">
        <v>16.940000000000001</v>
      </c>
      <c r="D151">
        <v>20</v>
      </c>
      <c r="E151">
        <v>13.552000000000001</v>
      </c>
      <c r="F151" t="s">
        <v>78</v>
      </c>
      <c r="G151" t="s">
        <v>79</v>
      </c>
      <c r="H151" t="str">
        <f>IF(COUNTIF(Sheet1!$A:$A,TEXT(A151,"0"))+COUNTIF(Sheet1!$A:$A,A151)&gt;0,"موجود","غير موجود")</f>
        <v>غير موجود</v>
      </c>
    </row>
    <row r="152" spans="1:8" x14ac:dyDescent="0.2">
      <c r="A152">
        <v>20309012309</v>
      </c>
      <c r="B152" t="s">
        <v>238</v>
      </c>
      <c r="C152">
        <v>16.940000000000001</v>
      </c>
      <c r="D152">
        <v>20</v>
      </c>
      <c r="E152">
        <v>13.552000000000001</v>
      </c>
      <c r="F152" t="s">
        <v>78</v>
      </c>
      <c r="G152" t="s">
        <v>79</v>
      </c>
      <c r="H152" t="str">
        <f>IF(COUNTIF(Sheet1!$A:$A,TEXT(A152,"0"))+COUNTIF(Sheet1!$A:$A,A152)&gt;0,"موجود","غير موجود")</f>
        <v>غير موجود</v>
      </c>
    </row>
    <row r="153" spans="1:8" x14ac:dyDescent="0.2">
      <c r="A153">
        <v>20309021875</v>
      </c>
      <c r="B153" t="s">
        <v>239</v>
      </c>
      <c r="C153">
        <v>18.63</v>
      </c>
      <c r="D153">
        <v>20</v>
      </c>
      <c r="E153">
        <v>14.904</v>
      </c>
      <c r="F153" t="s">
        <v>78</v>
      </c>
      <c r="G153" t="s">
        <v>79</v>
      </c>
      <c r="H153" t="str">
        <f>IF(COUNTIF(Sheet1!$A:$A,TEXT(A153,"0"))+COUNTIF(Sheet1!$A:$A,A153)&gt;0,"موجود","غير موجود")</f>
        <v>غير موجود</v>
      </c>
    </row>
    <row r="154" spans="1:8" x14ac:dyDescent="0.2">
      <c r="A154">
        <v>20309021876</v>
      </c>
      <c r="B154" t="s">
        <v>240</v>
      </c>
      <c r="C154">
        <v>18.63</v>
      </c>
      <c r="D154">
        <v>20</v>
      </c>
      <c r="E154">
        <v>14.904</v>
      </c>
      <c r="F154" t="s">
        <v>78</v>
      </c>
      <c r="G154" t="s">
        <v>79</v>
      </c>
      <c r="H154" t="str">
        <f>IF(COUNTIF(Sheet1!$A:$A,TEXT(A154,"0"))+COUNTIF(Sheet1!$A:$A,A154)&gt;0,"موجود","غير موجود")</f>
        <v>غير موجود</v>
      </c>
    </row>
    <row r="155" spans="1:8" x14ac:dyDescent="0.2">
      <c r="A155">
        <v>20309021879</v>
      </c>
      <c r="B155" t="s">
        <v>241</v>
      </c>
      <c r="C155">
        <v>18.63</v>
      </c>
      <c r="D155">
        <v>20</v>
      </c>
      <c r="E155">
        <v>14.904</v>
      </c>
      <c r="F155" t="s">
        <v>78</v>
      </c>
      <c r="G155" t="s">
        <v>79</v>
      </c>
      <c r="H155" t="str">
        <f>IF(COUNTIF(Sheet1!$A:$A,TEXT(A155,"0"))+COUNTIF(Sheet1!$A:$A,A155)&gt;0,"موجود","غير موجود")</f>
        <v>غير موجود</v>
      </c>
    </row>
    <row r="156" spans="1:8" x14ac:dyDescent="0.2">
      <c r="A156">
        <v>20309021880</v>
      </c>
      <c r="B156" t="s">
        <v>242</v>
      </c>
      <c r="C156">
        <v>18.63</v>
      </c>
      <c r="D156">
        <v>20</v>
      </c>
      <c r="E156">
        <v>14.904</v>
      </c>
      <c r="F156" t="s">
        <v>78</v>
      </c>
      <c r="G156" t="s">
        <v>79</v>
      </c>
      <c r="H156" t="str">
        <f>IF(COUNTIF(Sheet1!$A:$A,TEXT(A156,"0"))+COUNTIF(Sheet1!$A:$A,A156)&gt;0,"موجود","غير موجود")</f>
        <v>غير موجود</v>
      </c>
    </row>
    <row r="157" spans="1:8" x14ac:dyDescent="0.2">
      <c r="A157">
        <v>20309021881</v>
      </c>
      <c r="B157" t="s">
        <v>243</v>
      </c>
      <c r="C157">
        <v>18.63</v>
      </c>
      <c r="D157">
        <v>20</v>
      </c>
      <c r="E157">
        <v>14.904</v>
      </c>
      <c r="F157" t="s">
        <v>78</v>
      </c>
      <c r="G157" t="s">
        <v>79</v>
      </c>
      <c r="H157" t="str">
        <f>IF(COUNTIF(Sheet1!$A:$A,TEXT(A157,"0"))+COUNTIF(Sheet1!$A:$A,A157)&gt;0,"موجود","غير موجود")</f>
        <v>غير موجود</v>
      </c>
    </row>
    <row r="158" spans="1:8" x14ac:dyDescent="0.2">
      <c r="A158">
        <v>20309021882</v>
      </c>
      <c r="B158" t="s">
        <v>244</v>
      </c>
      <c r="C158">
        <v>18.63</v>
      </c>
      <c r="D158">
        <v>20</v>
      </c>
      <c r="E158">
        <v>14.904</v>
      </c>
      <c r="F158" t="s">
        <v>78</v>
      </c>
      <c r="G158" t="s">
        <v>79</v>
      </c>
      <c r="H158" t="str">
        <f>IF(COUNTIF(Sheet1!$A:$A,TEXT(A158,"0"))+COUNTIF(Sheet1!$A:$A,A158)&gt;0,"موجود","غير موجود")</f>
        <v>غير موجود</v>
      </c>
    </row>
    <row r="159" spans="1:8" x14ac:dyDescent="0.2">
      <c r="A159">
        <v>20309021883</v>
      </c>
      <c r="B159" t="s">
        <v>245</v>
      </c>
      <c r="C159">
        <v>18.63</v>
      </c>
      <c r="D159">
        <v>20</v>
      </c>
      <c r="E159">
        <v>14.904</v>
      </c>
      <c r="F159" t="s">
        <v>78</v>
      </c>
      <c r="G159" t="s">
        <v>79</v>
      </c>
      <c r="H159" t="str">
        <f>IF(COUNTIF(Sheet1!$A:$A,TEXT(A159,"0"))+COUNTIF(Sheet1!$A:$A,A159)&gt;0,"موجود","غير موجود")</f>
        <v>غير موجود</v>
      </c>
    </row>
    <row r="160" spans="1:8" x14ac:dyDescent="0.2">
      <c r="A160">
        <v>20309021884</v>
      </c>
      <c r="B160" t="s">
        <v>246</v>
      </c>
      <c r="C160">
        <v>18.63</v>
      </c>
      <c r="D160">
        <v>20</v>
      </c>
      <c r="E160">
        <v>14.904</v>
      </c>
      <c r="F160" t="s">
        <v>78</v>
      </c>
      <c r="G160" t="s">
        <v>79</v>
      </c>
      <c r="H160" t="str">
        <f>IF(COUNTIF(Sheet1!$A:$A,TEXT(A160,"0"))+COUNTIF(Sheet1!$A:$A,A160)&gt;0,"موجود","غير موجود")</f>
        <v>غير موجود</v>
      </c>
    </row>
    <row r="161" spans="1:8" x14ac:dyDescent="0.2">
      <c r="A161">
        <v>20309503932</v>
      </c>
      <c r="B161" t="s">
        <v>247</v>
      </c>
      <c r="C161">
        <v>18.63</v>
      </c>
      <c r="D161">
        <v>20</v>
      </c>
      <c r="E161">
        <v>14.904</v>
      </c>
      <c r="F161" t="s">
        <v>78</v>
      </c>
      <c r="G161" t="s">
        <v>79</v>
      </c>
      <c r="H161" t="str">
        <f>IF(COUNTIF(Sheet1!$A:$A,TEXT(A161,"0"))+COUNTIF(Sheet1!$A:$A,A161)&gt;0,"موجود","غير موجود")</f>
        <v>موجود</v>
      </c>
    </row>
    <row r="162" spans="1:8" x14ac:dyDescent="0.2">
      <c r="A162">
        <v>30415010034</v>
      </c>
      <c r="B162" t="s">
        <v>248</v>
      </c>
      <c r="C162">
        <v>65</v>
      </c>
      <c r="D162">
        <v>25</v>
      </c>
      <c r="E162">
        <v>48.75</v>
      </c>
      <c r="F162" t="s">
        <v>78</v>
      </c>
      <c r="G162" t="s">
        <v>79</v>
      </c>
      <c r="H162" t="str">
        <f>IF(COUNTIF(Sheet1!$A:$A,TEXT(A162,"0"))+COUNTIF(Sheet1!$A:$A,A162)&gt;0,"موجود","غير موجود")</f>
        <v>موجود</v>
      </c>
    </row>
    <row r="163" spans="1:8" x14ac:dyDescent="0.2">
      <c r="A163">
        <v>30420013623</v>
      </c>
      <c r="B163" t="s">
        <v>249</v>
      </c>
      <c r="C163">
        <v>16.940000000000001</v>
      </c>
      <c r="D163">
        <v>10</v>
      </c>
      <c r="E163">
        <v>15.246000000000002</v>
      </c>
      <c r="F163" t="s">
        <v>78</v>
      </c>
      <c r="G163" t="s">
        <v>79</v>
      </c>
      <c r="H163" t="str">
        <f>IF(COUNTIF(Sheet1!$A:$A,TEXT(A163,"0"))+COUNTIF(Sheet1!$A:$A,A163)&gt;0,"موجود","غير موجود")</f>
        <v>غير موجود</v>
      </c>
    </row>
    <row r="164" spans="1:8" x14ac:dyDescent="0.2">
      <c r="A164">
        <v>30420013624</v>
      </c>
      <c r="B164" t="s">
        <v>250</v>
      </c>
      <c r="C164">
        <v>16.940000000000001</v>
      </c>
      <c r="D164">
        <v>10</v>
      </c>
      <c r="E164">
        <v>15.246000000000002</v>
      </c>
      <c r="F164" t="s">
        <v>78</v>
      </c>
      <c r="G164" t="s">
        <v>79</v>
      </c>
      <c r="H164" t="str">
        <f>IF(COUNTIF(Sheet1!$A:$A,TEXT(A164,"0"))+COUNTIF(Sheet1!$A:$A,A164)&gt;0,"موجود","غير موجود")</f>
        <v>غير موجود</v>
      </c>
    </row>
    <row r="165" spans="1:8" x14ac:dyDescent="0.2">
      <c r="A165">
        <v>30420013625</v>
      </c>
      <c r="B165" t="s">
        <v>251</v>
      </c>
      <c r="C165">
        <v>16.940000000000001</v>
      </c>
      <c r="D165">
        <v>10</v>
      </c>
      <c r="E165">
        <v>15.246000000000002</v>
      </c>
      <c r="F165" t="s">
        <v>78</v>
      </c>
      <c r="G165" t="s">
        <v>79</v>
      </c>
      <c r="H165" t="str">
        <f>IF(COUNTIF(Sheet1!$A:$A,TEXT(A165,"0"))+COUNTIF(Sheet1!$A:$A,A165)&gt;0,"موجود","غير موجود")</f>
        <v>غير موجود</v>
      </c>
    </row>
    <row r="166" spans="1:8" x14ac:dyDescent="0.2">
      <c r="A166">
        <v>30420013626</v>
      </c>
      <c r="B166" t="s">
        <v>252</v>
      </c>
      <c r="C166">
        <v>29.65</v>
      </c>
      <c r="D166">
        <v>15</v>
      </c>
      <c r="E166">
        <v>25.202500000000001</v>
      </c>
      <c r="F166" t="s">
        <v>78</v>
      </c>
      <c r="G166" t="s">
        <v>79</v>
      </c>
      <c r="H166" t="str">
        <f>IF(COUNTIF(Sheet1!$A:$A,TEXT(A166,"0"))+COUNTIF(Sheet1!$A:$A,A166)&gt;0,"موجود","غير موجود")</f>
        <v>غير موجود</v>
      </c>
    </row>
    <row r="167" spans="1:8" x14ac:dyDescent="0.2">
      <c r="A167">
        <v>30420013627</v>
      </c>
      <c r="B167" t="s">
        <v>253</v>
      </c>
      <c r="C167">
        <v>29.65</v>
      </c>
      <c r="D167">
        <v>15</v>
      </c>
      <c r="E167">
        <v>25.202500000000001</v>
      </c>
      <c r="F167" t="s">
        <v>78</v>
      </c>
      <c r="G167" t="s">
        <v>79</v>
      </c>
      <c r="H167" t="str">
        <f>IF(COUNTIF(Sheet1!$A:$A,TEXT(A167,"0"))+COUNTIF(Sheet1!$A:$A,A167)&gt;0,"موجود","غير موجود")</f>
        <v>غير موجود</v>
      </c>
    </row>
    <row r="168" spans="1:8" x14ac:dyDescent="0.2">
      <c r="A168">
        <v>30420013628</v>
      </c>
      <c r="B168" t="s">
        <v>254</v>
      </c>
      <c r="C168">
        <v>16.940000000000001</v>
      </c>
      <c r="D168">
        <v>10</v>
      </c>
      <c r="E168">
        <v>15.246000000000002</v>
      </c>
      <c r="F168" t="s">
        <v>78</v>
      </c>
      <c r="G168" t="s">
        <v>79</v>
      </c>
      <c r="H168" t="str">
        <f>IF(COUNTIF(Sheet1!$A:$A,TEXT(A168,"0"))+COUNTIF(Sheet1!$A:$A,A168)&gt;0,"موجود","غير موجود")</f>
        <v>غير موجود</v>
      </c>
    </row>
    <row r="169" spans="1:8" x14ac:dyDescent="0.2">
      <c r="A169">
        <v>30420013629</v>
      </c>
      <c r="B169" t="s">
        <v>255</v>
      </c>
      <c r="C169">
        <v>29.65</v>
      </c>
      <c r="D169">
        <v>15</v>
      </c>
      <c r="E169">
        <v>25.202500000000001</v>
      </c>
      <c r="F169" t="s">
        <v>78</v>
      </c>
      <c r="G169" t="s">
        <v>79</v>
      </c>
      <c r="H169" t="str">
        <f>IF(COUNTIF(Sheet1!$A:$A,TEXT(A169,"0"))+COUNTIF(Sheet1!$A:$A,A169)&gt;0,"موجود","غير موجود")</f>
        <v>غير موجود</v>
      </c>
    </row>
    <row r="170" spans="1:8" x14ac:dyDescent="0.2">
      <c r="A170">
        <v>30420013630</v>
      </c>
      <c r="B170" t="s">
        <v>256</v>
      </c>
      <c r="C170">
        <v>29.65</v>
      </c>
      <c r="D170">
        <v>15</v>
      </c>
      <c r="E170">
        <v>25.202500000000001</v>
      </c>
      <c r="F170" t="s">
        <v>78</v>
      </c>
      <c r="G170" t="s">
        <v>79</v>
      </c>
      <c r="H170" t="str">
        <f>IF(COUNTIF(Sheet1!$A:$A,TEXT(A170,"0"))+COUNTIF(Sheet1!$A:$A,A170)&gt;0,"موجود","غير موجود")</f>
        <v>غير موجود</v>
      </c>
    </row>
    <row r="171" spans="1:8" x14ac:dyDescent="0.2">
      <c r="A171">
        <v>30420013631</v>
      </c>
      <c r="B171" t="s">
        <v>257</v>
      </c>
      <c r="C171">
        <v>16.940000000000001</v>
      </c>
      <c r="D171">
        <v>10</v>
      </c>
      <c r="E171">
        <v>15.246000000000002</v>
      </c>
      <c r="F171" t="s">
        <v>78</v>
      </c>
      <c r="G171" t="s">
        <v>79</v>
      </c>
      <c r="H171" t="str">
        <f>IF(COUNTIF(Sheet1!$A:$A,TEXT(A171,"0"))+COUNTIF(Sheet1!$A:$A,A171)&gt;0,"موجود","غير موجود")</f>
        <v>غير موجود</v>
      </c>
    </row>
    <row r="172" spans="1:8" x14ac:dyDescent="0.2">
      <c r="A172">
        <v>30420013632</v>
      </c>
      <c r="B172" t="s">
        <v>258</v>
      </c>
      <c r="C172">
        <v>29.65</v>
      </c>
      <c r="D172">
        <v>15</v>
      </c>
      <c r="E172">
        <v>25.202500000000001</v>
      </c>
      <c r="F172" t="s">
        <v>78</v>
      </c>
      <c r="G172" t="s">
        <v>79</v>
      </c>
      <c r="H172" t="str">
        <f>IF(COUNTIF(Sheet1!$A:$A,TEXT(A172,"0"))+COUNTIF(Sheet1!$A:$A,A172)&gt;0,"موجود","غير موجود")</f>
        <v>غير موجود</v>
      </c>
    </row>
    <row r="173" spans="1:8" x14ac:dyDescent="0.2">
      <c r="A173">
        <v>20715010499</v>
      </c>
      <c r="B173" t="s">
        <v>259</v>
      </c>
      <c r="C173">
        <v>43.4</v>
      </c>
      <c r="D173">
        <v>10</v>
      </c>
      <c r="E173">
        <v>39.06</v>
      </c>
      <c r="F173" t="s">
        <v>78</v>
      </c>
      <c r="G173" t="s">
        <v>83</v>
      </c>
      <c r="H173" t="str">
        <f>IF(COUNTIF(Sheet1!$A:$A,TEXT(A173,"0"))+COUNTIF(Sheet1!$A:$A,A173)&gt;0,"موجود","غير موجود")</f>
        <v>موجود</v>
      </c>
    </row>
    <row r="174" spans="1:8" x14ac:dyDescent="0.2">
      <c r="A174">
        <v>20715010500</v>
      </c>
      <c r="B174" t="s">
        <v>260</v>
      </c>
      <c r="C174">
        <v>43.4</v>
      </c>
      <c r="D174">
        <v>10</v>
      </c>
      <c r="E174">
        <v>39.06</v>
      </c>
      <c r="F174" t="s">
        <v>78</v>
      </c>
      <c r="G174" t="s">
        <v>83</v>
      </c>
      <c r="H174" t="str">
        <f>IF(COUNTIF(Sheet1!$A:$A,TEXT(A174,"0"))+COUNTIF(Sheet1!$A:$A,A174)&gt;0,"موجود","غير موجود")</f>
        <v>موجود</v>
      </c>
    </row>
    <row r="175" spans="1:8" x14ac:dyDescent="0.2">
      <c r="A175">
        <v>20715010501</v>
      </c>
      <c r="B175" t="s">
        <v>261</v>
      </c>
      <c r="C175">
        <v>43</v>
      </c>
      <c r="D175">
        <v>10</v>
      </c>
      <c r="E175">
        <v>38.700000000000003</v>
      </c>
      <c r="F175" t="s">
        <v>78</v>
      </c>
      <c r="G175" t="s">
        <v>83</v>
      </c>
      <c r="H175" t="str">
        <f>IF(COUNTIF(Sheet1!$A:$A,TEXT(A175,"0"))+COUNTIF(Sheet1!$A:$A,A175)&gt;0,"موجود","غير موجود")</f>
        <v>موجود</v>
      </c>
    </row>
    <row r="176" spans="1:8" x14ac:dyDescent="0.2">
      <c r="A176">
        <v>20309503830</v>
      </c>
      <c r="B176" t="s">
        <v>262</v>
      </c>
      <c r="C176">
        <v>32</v>
      </c>
      <c r="D176">
        <v>25</v>
      </c>
      <c r="E176">
        <v>24</v>
      </c>
      <c r="F176" t="s">
        <v>78</v>
      </c>
      <c r="G176" t="s">
        <v>79</v>
      </c>
      <c r="H176" t="str">
        <f>IF(COUNTIF(Sheet1!$A:$A,TEXT(A176,"0"))+COUNTIF(Sheet1!$A:$A,A176)&gt;0,"موجود","غير موجود")</f>
        <v>موجود</v>
      </c>
    </row>
    <row r="177" spans="1:8" x14ac:dyDescent="0.2">
      <c r="A177" t="s">
        <v>263</v>
      </c>
      <c r="B177" t="s">
        <v>264</v>
      </c>
      <c r="C177">
        <v>40</v>
      </c>
      <c r="D177">
        <v>40</v>
      </c>
      <c r="E177">
        <v>24</v>
      </c>
      <c r="F177" t="s">
        <v>78</v>
      </c>
      <c r="G177" t="s">
        <v>79</v>
      </c>
      <c r="H177" t="str">
        <f>IF(COUNTIF(Sheet1!$A:$A,TEXT(A177,"0"))+COUNTIF(Sheet1!$A:$A,A177)&gt;0,"موجود","غير موجود")</f>
        <v>غير موجود</v>
      </c>
    </row>
    <row r="178" spans="1:8" x14ac:dyDescent="0.2">
      <c r="A178" t="s">
        <v>33</v>
      </c>
      <c r="B178" t="s">
        <v>265</v>
      </c>
      <c r="C178">
        <v>40</v>
      </c>
      <c r="D178">
        <v>40</v>
      </c>
      <c r="E178">
        <v>24</v>
      </c>
      <c r="F178" t="s">
        <v>78</v>
      </c>
      <c r="G178" t="s">
        <v>79</v>
      </c>
      <c r="H178" t="str">
        <f>IF(COUNTIF(Sheet1!$A:$A,TEXT(A178,"0"))+COUNTIF(Sheet1!$A:$A,A178)&gt;0,"موجود","غير موجود")</f>
        <v>موجود</v>
      </c>
    </row>
    <row r="179" spans="1:8" x14ac:dyDescent="0.2">
      <c r="A179" t="s">
        <v>266</v>
      </c>
      <c r="B179" t="s">
        <v>267</v>
      </c>
      <c r="C179">
        <v>65</v>
      </c>
      <c r="D179">
        <v>40</v>
      </c>
      <c r="E179">
        <v>39</v>
      </c>
      <c r="F179" t="s">
        <v>78</v>
      </c>
      <c r="G179" t="s">
        <v>79</v>
      </c>
      <c r="H179" t="str">
        <f>IF(COUNTIF(Sheet1!$A:$A,TEXT(A179,"0"))+COUNTIF(Sheet1!$A:$A,A179)&gt;0,"موجود","غير موجود")</f>
        <v>غير موجود</v>
      </c>
    </row>
    <row r="180" spans="1:8" x14ac:dyDescent="0.2">
      <c r="A180" t="s">
        <v>70</v>
      </c>
      <c r="B180" t="s">
        <v>268</v>
      </c>
      <c r="C180">
        <v>35</v>
      </c>
      <c r="D180">
        <v>35</v>
      </c>
      <c r="E180">
        <v>22.75</v>
      </c>
      <c r="F180" t="s">
        <v>78</v>
      </c>
      <c r="G180" t="s">
        <v>79</v>
      </c>
      <c r="H180" t="str">
        <f>IF(COUNTIF(Sheet1!$A:$A,TEXT(A180,"0"))+COUNTIF(Sheet1!$A:$A,A180)&gt;0,"موجود","غير موجود")</f>
        <v>موجود</v>
      </c>
    </row>
    <row r="181" spans="1:8" x14ac:dyDescent="0.2">
      <c r="A181" t="s">
        <v>69</v>
      </c>
      <c r="B181" t="s">
        <v>269</v>
      </c>
      <c r="C181">
        <v>75</v>
      </c>
      <c r="D181">
        <v>35</v>
      </c>
      <c r="E181">
        <v>48.75</v>
      </c>
      <c r="F181" t="s">
        <v>78</v>
      </c>
      <c r="G181" t="s">
        <v>79</v>
      </c>
      <c r="H181" t="str">
        <f>IF(COUNTIF(Sheet1!$A:$A,TEXT(A181,"0"))+COUNTIF(Sheet1!$A:$A,A181)&gt;0,"موجود","غير موجود")</f>
        <v>موجود</v>
      </c>
    </row>
    <row r="182" spans="1:8" x14ac:dyDescent="0.2">
      <c r="A182" t="s">
        <v>35</v>
      </c>
      <c r="B182" t="s">
        <v>270</v>
      </c>
      <c r="C182">
        <v>60</v>
      </c>
      <c r="D182">
        <v>35</v>
      </c>
      <c r="E182">
        <v>39</v>
      </c>
      <c r="F182" t="s">
        <v>78</v>
      </c>
      <c r="G182" t="s">
        <v>79</v>
      </c>
      <c r="H182" t="str">
        <f>IF(COUNTIF(Sheet1!$A:$A,TEXT(A182,"0"))+COUNTIF(Sheet1!$A:$A,A182)&gt;0,"موجود","غير موجود")</f>
        <v>موجود</v>
      </c>
    </row>
    <row r="183" spans="1:8" x14ac:dyDescent="0.2">
      <c r="A183" t="s">
        <v>34</v>
      </c>
      <c r="B183" t="s">
        <v>271</v>
      </c>
      <c r="C183">
        <v>65</v>
      </c>
      <c r="D183">
        <v>35</v>
      </c>
      <c r="E183">
        <v>42.25</v>
      </c>
      <c r="F183" t="s">
        <v>78</v>
      </c>
      <c r="G183" t="s">
        <v>79</v>
      </c>
      <c r="H183" t="str">
        <f>IF(COUNTIF(Sheet1!$A:$A,TEXT(A183,"0"))+COUNTIF(Sheet1!$A:$A,A183)&gt;0,"موجود","غير موجود")</f>
        <v>موجود</v>
      </c>
    </row>
    <row r="184" spans="1:8" x14ac:dyDescent="0.2">
      <c r="A184">
        <v>20309030082</v>
      </c>
      <c r="B184" t="s">
        <v>272</v>
      </c>
      <c r="C184">
        <v>34.22</v>
      </c>
      <c r="D184">
        <v>25</v>
      </c>
      <c r="E184">
        <v>27.375999999999998</v>
      </c>
      <c r="F184" t="s">
        <v>78</v>
      </c>
      <c r="G184" t="s">
        <v>79</v>
      </c>
      <c r="H184" t="str">
        <f>IF(COUNTIF(Sheet1!$A:$A,TEXT(A184,"0"))+COUNTIF(Sheet1!$A:$A,A184)&gt;0,"موجود","غير موجود")</f>
        <v>موجود</v>
      </c>
    </row>
    <row r="185" spans="1:8" x14ac:dyDescent="0.2">
      <c r="A185">
        <v>20309501596</v>
      </c>
      <c r="B185" t="s">
        <v>273</v>
      </c>
      <c r="C185">
        <v>32.549999999999997</v>
      </c>
      <c r="D185">
        <v>25</v>
      </c>
      <c r="E185">
        <v>26.04</v>
      </c>
      <c r="F185" t="s">
        <v>78</v>
      </c>
      <c r="G185" t="s">
        <v>79</v>
      </c>
      <c r="H185" t="str">
        <f>IF(COUNTIF(Sheet1!$A:$A,TEXT(A185,"0"))+COUNTIF(Sheet1!$A:$A,A185)&gt;0,"موجود","غير موجود")</f>
        <v>موجود</v>
      </c>
    </row>
    <row r="186" spans="1:8" x14ac:dyDescent="0.2">
      <c r="A186">
        <v>20309020766</v>
      </c>
      <c r="B186" t="s">
        <v>274</v>
      </c>
      <c r="C186">
        <v>34.22</v>
      </c>
      <c r="D186">
        <v>25</v>
      </c>
      <c r="E186">
        <v>27.375999999999998</v>
      </c>
      <c r="F186" t="s">
        <v>78</v>
      </c>
      <c r="G186" t="s">
        <v>79</v>
      </c>
      <c r="H186" t="str">
        <f>IF(COUNTIF(Sheet1!$A:$A,TEXT(A186,"0"))+COUNTIF(Sheet1!$A:$A,A186)&gt;0,"موجود","غير موجود")</f>
        <v>موجود</v>
      </c>
    </row>
    <row r="187" spans="1:8" x14ac:dyDescent="0.2">
      <c r="A187">
        <v>20309020765</v>
      </c>
      <c r="B187" t="s">
        <v>275</v>
      </c>
      <c r="C187">
        <v>23.8</v>
      </c>
      <c r="D187">
        <v>25</v>
      </c>
      <c r="E187">
        <v>19.04</v>
      </c>
      <c r="F187" t="s">
        <v>78</v>
      </c>
      <c r="G187" t="s">
        <v>79</v>
      </c>
      <c r="H187" t="str">
        <f>IF(COUNTIF(Sheet1!$A:$A,TEXT(A187,"0"))+COUNTIF(Sheet1!$A:$A,A187)&gt;0,"موجود","غير موجود")</f>
        <v>موجود</v>
      </c>
    </row>
    <row r="188" spans="1:8" x14ac:dyDescent="0.2">
      <c r="A188">
        <v>20309503231</v>
      </c>
      <c r="B188" t="s">
        <v>276</v>
      </c>
      <c r="C188">
        <v>32.369999999999997</v>
      </c>
      <c r="D188">
        <v>25</v>
      </c>
      <c r="E188">
        <v>25.895999999999997</v>
      </c>
      <c r="F188" t="s">
        <v>78</v>
      </c>
      <c r="G188" t="s">
        <v>79</v>
      </c>
      <c r="H188" t="str">
        <f>IF(COUNTIF(Sheet1!$A:$A,TEXT(A188,"0"))+COUNTIF(Sheet1!$A:$A,A188)&gt;0,"موجود","غير موجود")</f>
        <v>موجود</v>
      </c>
    </row>
    <row r="189" spans="1:8" x14ac:dyDescent="0.2">
      <c r="A189">
        <v>20309020614</v>
      </c>
      <c r="B189" t="s">
        <v>273</v>
      </c>
      <c r="C189">
        <v>32.369999999999997</v>
      </c>
      <c r="D189">
        <v>25</v>
      </c>
      <c r="E189">
        <v>25.895999999999997</v>
      </c>
      <c r="F189" t="s">
        <v>78</v>
      </c>
      <c r="G189" t="s">
        <v>79</v>
      </c>
      <c r="H189" t="str">
        <f>IF(COUNTIF(Sheet1!$A:$A,TEXT(A189,"0"))+COUNTIF(Sheet1!$A:$A,A189)&gt;0,"موجود","غير موجود")</f>
        <v>موجود</v>
      </c>
    </row>
    <row r="190" spans="1:8" x14ac:dyDescent="0.2">
      <c r="A190">
        <v>20309010628</v>
      </c>
      <c r="B190" t="s">
        <v>277</v>
      </c>
      <c r="C190">
        <v>19.11</v>
      </c>
      <c r="D190">
        <v>25</v>
      </c>
      <c r="E190">
        <v>15.288</v>
      </c>
      <c r="F190" t="s">
        <v>78</v>
      </c>
      <c r="G190" t="s">
        <v>79</v>
      </c>
      <c r="H190" t="str">
        <f>IF(COUNTIF(Sheet1!$A:$A,TEXT(A190,"0"))+COUNTIF(Sheet1!$A:$A,A190)&gt;0,"موجود","غير موجود")</f>
        <v>موجود</v>
      </c>
    </row>
    <row r="191" spans="1:8" x14ac:dyDescent="0.2">
      <c r="A191">
        <v>20309021813</v>
      </c>
      <c r="B191" t="s">
        <v>277</v>
      </c>
      <c r="C191">
        <v>11.71</v>
      </c>
      <c r="D191">
        <v>25</v>
      </c>
      <c r="E191">
        <v>9.3680000000000003</v>
      </c>
      <c r="F191" t="s">
        <v>78</v>
      </c>
      <c r="G191" t="s">
        <v>79</v>
      </c>
      <c r="H191" t="str">
        <f>IF(COUNTIF(Sheet1!$A:$A,TEXT(A191,"0"))+COUNTIF(Sheet1!$A:$A,A191)&gt;0,"موجود","غير موجود")</f>
        <v>موجود</v>
      </c>
    </row>
    <row r="192" spans="1:8" x14ac:dyDescent="0.2">
      <c r="A192">
        <v>20309503249</v>
      </c>
      <c r="B192" t="s">
        <v>278</v>
      </c>
      <c r="C192">
        <v>27.13</v>
      </c>
      <c r="D192">
        <v>25</v>
      </c>
      <c r="E192">
        <v>21.704000000000001</v>
      </c>
      <c r="F192" t="s">
        <v>78</v>
      </c>
      <c r="G192" t="s">
        <v>79</v>
      </c>
      <c r="H192" t="str">
        <f>IF(COUNTIF(Sheet1!$A:$A,TEXT(A192,"0"))+COUNTIF(Sheet1!$A:$A,A192)&gt;0,"موجود","غير موجود")</f>
        <v>موجود</v>
      </c>
    </row>
    <row r="193" spans="1:8" x14ac:dyDescent="0.2">
      <c r="A193">
        <v>20309503205</v>
      </c>
      <c r="B193" t="s">
        <v>279</v>
      </c>
      <c r="C193">
        <v>9.06</v>
      </c>
      <c r="D193">
        <v>25</v>
      </c>
      <c r="E193">
        <v>7.2480000000000002</v>
      </c>
      <c r="F193" t="s">
        <v>78</v>
      </c>
      <c r="G193" t="s">
        <v>79</v>
      </c>
      <c r="H193" t="str">
        <f>IF(COUNTIF(Sheet1!$A:$A,TEXT(A193,"0"))+COUNTIF(Sheet1!$A:$A,A193)&gt;0,"موجود","غير موجود")</f>
        <v>موجود</v>
      </c>
    </row>
    <row r="194" spans="1:8" x14ac:dyDescent="0.2">
      <c r="A194">
        <v>20309503203</v>
      </c>
      <c r="B194" t="s">
        <v>280</v>
      </c>
      <c r="C194">
        <v>9.06</v>
      </c>
      <c r="D194">
        <v>25</v>
      </c>
      <c r="E194">
        <v>7.2480000000000002</v>
      </c>
      <c r="F194" t="s">
        <v>78</v>
      </c>
      <c r="G194" t="s">
        <v>79</v>
      </c>
      <c r="H194" t="str">
        <f>IF(COUNTIF(Sheet1!$A:$A,TEXT(A194,"0"))+COUNTIF(Sheet1!$A:$A,A194)&gt;0,"موجود","غير موجود")</f>
        <v>موجود</v>
      </c>
    </row>
    <row r="195" spans="1:8" x14ac:dyDescent="0.2">
      <c r="A195" t="s">
        <v>281</v>
      </c>
      <c r="B195" t="s">
        <v>282</v>
      </c>
      <c r="C195">
        <v>43</v>
      </c>
      <c r="D195">
        <v>50</v>
      </c>
      <c r="E195">
        <v>21.5</v>
      </c>
      <c r="F195" t="s">
        <v>78</v>
      </c>
      <c r="G195" t="s">
        <v>283</v>
      </c>
      <c r="H195" t="str">
        <f>IF(COUNTIF(Sheet1!$A:$A,TEXT(A195,"0"))+COUNTIF(Sheet1!$A:$A,A195)&gt;0,"موجود","غير موجود")</f>
        <v>غير موجود</v>
      </c>
    </row>
    <row r="196" spans="1:8" x14ac:dyDescent="0.2">
      <c r="A196" t="s">
        <v>284</v>
      </c>
      <c r="B196" t="s">
        <v>285</v>
      </c>
      <c r="C196">
        <v>85</v>
      </c>
      <c r="D196">
        <v>50</v>
      </c>
      <c r="E196">
        <v>42.5</v>
      </c>
      <c r="F196" t="s">
        <v>78</v>
      </c>
      <c r="G196" t="s">
        <v>283</v>
      </c>
      <c r="H196" t="str">
        <f>IF(COUNTIF(Sheet1!$A:$A,TEXT(A196,"0"))+COUNTIF(Sheet1!$A:$A,A196)&gt;0,"موجود","غير موجود")</f>
        <v>غير موجود</v>
      </c>
    </row>
    <row r="197" spans="1:8" x14ac:dyDescent="0.2">
      <c r="A197" t="s">
        <v>45</v>
      </c>
      <c r="B197" t="s">
        <v>286</v>
      </c>
      <c r="C197">
        <v>105</v>
      </c>
      <c r="D197">
        <v>50</v>
      </c>
      <c r="E197">
        <v>52.5</v>
      </c>
      <c r="F197" t="s">
        <v>78</v>
      </c>
      <c r="G197" t="s">
        <v>283</v>
      </c>
      <c r="H197" t="str">
        <f>IF(COUNTIF(Sheet1!$A:$A,TEXT(A197,"0"))+COUNTIF(Sheet1!$A:$A,A197)&gt;0,"موجود","غير موجود")</f>
        <v>موجود</v>
      </c>
    </row>
    <row r="198" spans="1:8" x14ac:dyDescent="0.2">
      <c r="A198" t="s">
        <v>287</v>
      </c>
      <c r="B198" t="s">
        <v>288</v>
      </c>
      <c r="C198">
        <v>46</v>
      </c>
      <c r="D198">
        <v>50</v>
      </c>
      <c r="E198">
        <v>23</v>
      </c>
      <c r="F198" t="s">
        <v>78</v>
      </c>
      <c r="G198" t="s">
        <v>283</v>
      </c>
      <c r="H198" t="str">
        <f>IF(COUNTIF(Sheet1!$A:$A,TEXT(A198,"0"))+COUNTIF(Sheet1!$A:$A,A198)&gt;0,"موجود","غير موجود")</f>
        <v>غير موجود</v>
      </c>
    </row>
    <row r="199" spans="1:8" x14ac:dyDescent="0.2">
      <c r="A199" t="s">
        <v>289</v>
      </c>
      <c r="B199" t="s">
        <v>290</v>
      </c>
      <c r="C199">
        <v>78</v>
      </c>
      <c r="D199">
        <v>50</v>
      </c>
      <c r="E199">
        <v>39</v>
      </c>
      <c r="F199" t="s">
        <v>78</v>
      </c>
      <c r="G199" t="s">
        <v>283</v>
      </c>
      <c r="H199" t="str">
        <f>IF(COUNTIF(Sheet1!$A:$A,TEXT(A199,"0"))+COUNTIF(Sheet1!$A:$A,A199)&gt;0,"موجود","غير موجود")</f>
        <v>غير موجود</v>
      </c>
    </row>
    <row r="200" spans="1:8" x14ac:dyDescent="0.2">
      <c r="A200" t="s">
        <v>291</v>
      </c>
      <c r="B200" t="s">
        <v>292</v>
      </c>
      <c r="C200">
        <v>80</v>
      </c>
      <c r="D200">
        <v>50</v>
      </c>
      <c r="E200">
        <v>40</v>
      </c>
      <c r="F200" t="s">
        <v>78</v>
      </c>
      <c r="G200" t="s">
        <v>283</v>
      </c>
      <c r="H200" t="str">
        <f>IF(COUNTIF(Sheet1!$A:$A,TEXT(A200,"0"))+COUNTIF(Sheet1!$A:$A,A200)&gt;0,"موجود","غير موجود")</f>
        <v>غير موجود</v>
      </c>
    </row>
    <row r="201" spans="1:8" x14ac:dyDescent="0.2">
      <c r="A201" t="s">
        <v>41</v>
      </c>
      <c r="B201" t="s">
        <v>293</v>
      </c>
      <c r="C201">
        <v>112</v>
      </c>
      <c r="D201">
        <v>50</v>
      </c>
      <c r="E201">
        <v>56</v>
      </c>
      <c r="F201" t="s">
        <v>78</v>
      </c>
      <c r="G201" t="s">
        <v>283</v>
      </c>
      <c r="H201" t="str">
        <f>IF(COUNTIF(Sheet1!$A:$A,TEXT(A201,"0"))+COUNTIF(Sheet1!$A:$A,A201)&gt;0,"موجود","غير موجود")</f>
        <v>موجود</v>
      </c>
    </row>
    <row r="202" spans="1:8" x14ac:dyDescent="0.2">
      <c r="A202" t="s">
        <v>294</v>
      </c>
      <c r="B202" t="s">
        <v>295</v>
      </c>
      <c r="C202">
        <v>52</v>
      </c>
      <c r="D202">
        <v>50</v>
      </c>
      <c r="E202">
        <v>26</v>
      </c>
      <c r="F202" t="s">
        <v>78</v>
      </c>
      <c r="G202" t="s">
        <v>283</v>
      </c>
      <c r="H202" t="str">
        <f>IF(COUNTIF(Sheet1!$A:$A,TEXT(A202,"0"))+COUNTIF(Sheet1!$A:$A,A202)&gt;0,"موجود","غير موجود")</f>
        <v>غير موجود</v>
      </c>
    </row>
    <row r="203" spans="1:8" x14ac:dyDescent="0.2">
      <c r="A203" t="s">
        <v>2</v>
      </c>
      <c r="B203" t="s">
        <v>296</v>
      </c>
      <c r="C203">
        <v>95</v>
      </c>
      <c r="D203">
        <v>50</v>
      </c>
      <c r="E203">
        <v>47.5</v>
      </c>
      <c r="F203" t="s">
        <v>78</v>
      </c>
      <c r="G203" t="s">
        <v>283</v>
      </c>
      <c r="H203" t="str">
        <f>IF(COUNTIF(Sheet1!$A:$A,TEXT(A203,"0"))+COUNTIF(Sheet1!$A:$A,A203)&gt;0,"موجود","غير موجود")</f>
        <v>موجود</v>
      </c>
    </row>
    <row r="204" spans="1:8" x14ac:dyDescent="0.2">
      <c r="A204" t="s">
        <v>297</v>
      </c>
      <c r="B204" t="s">
        <v>298</v>
      </c>
      <c r="C204">
        <v>150</v>
      </c>
      <c r="D204">
        <v>50</v>
      </c>
      <c r="E204">
        <v>75</v>
      </c>
      <c r="F204" t="s">
        <v>78</v>
      </c>
      <c r="G204" t="s">
        <v>283</v>
      </c>
      <c r="H204" t="str">
        <f>IF(COUNTIF(Sheet1!$A:$A,TEXT(A204,"0"))+COUNTIF(Sheet1!$A:$A,A204)&gt;0,"موجود","غير موجود")</f>
        <v>غير موجود</v>
      </c>
    </row>
    <row r="205" spans="1:8" x14ac:dyDescent="0.2">
      <c r="A205" t="s">
        <v>17</v>
      </c>
      <c r="B205" t="s">
        <v>299</v>
      </c>
      <c r="C205">
        <v>173.10006000000001</v>
      </c>
      <c r="D205">
        <v>50</v>
      </c>
      <c r="E205">
        <v>86.550030000000007</v>
      </c>
      <c r="F205" t="s">
        <v>78</v>
      </c>
      <c r="G205" t="s">
        <v>283</v>
      </c>
      <c r="H205" t="str">
        <f>IF(COUNTIF(Sheet1!$A:$A,TEXT(A205,"0"))+COUNTIF(Sheet1!$A:$A,A205)&gt;0,"موجود","غير موجود")</f>
        <v>موجود</v>
      </c>
    </row>
    <row r="206" spans="1:8" x14ac:dyDescent="0.2">
      <c r="A206" t="s">
        <v>300</v>
      </c>
      <c r="B206" t="s">
        <v>301</v>
      </c>
      <c r="C206">
        <v>159</v>
      </c>
      <c r="D206">
        <v>50</v>
      </c>
      <c r="E206">
        <v>79.5</v>
      </c>
      <c r="F206" t="s">
        <v>78</v>
      </c>
      <c r="G206" t="s">
        <v>283</v>
      </c>
      <c r="H206" t="str">
        <f>IF(COUNTIF(Sheet1!$A:$A,TEXT(A206,"0"))+COUNTIF(Sheet1!$A:$A,A206)&gt;0,"موجود","غير موجود")</f>
        <v>غير موجود</v>
      </c>
    </row>
    <row r="207" spans="1:8" x14ac:dyDescent="0.2">
      <c r="A207" t="s">
        <v>302</v>
      </c>
      <c r="B207" t="s">
        <v>303</v>
      </c>
      <c r="C207">
        <v>99</v>
      </c>
      <c r="D207">
        <v>33</v>
      </c>
      <c r="E207">
        <v>66.33</v>
      </c>
      <c r="F207" t="s">
        <v>78</v>
      </c>
      <c r="G207" t="s">
        <v>283</v>
      </c>
      <c r="H207" t="str">
        <f>IF(COUNTIF(Sheet1!$A:$A,TEXT(A207,"0"))+COUNTIF(Sheet1!$A:$A,A207)&gt;0,"موجود","غير موجود")</f>
        <v>غير موجود</v>
      </c>
    </row>
    <row r="208" spans="1:8" x14ac:dyDescent="0.2">
      <c r="A208" t="s">
        <v>304</v>
      </c>
      <c r="B208" t="s">
        <v>305</v>
      </c>
      <c r="C208">
        <v>99</v>
      </c>
      <c r="D208">
        <v>50</v>
      </c>
      <c r="E208">
        <v>49.5</v>
      </c>
      <c r="F208" t="s">
        <v>78</v>
      </c>
      <c r="G208" t="s">
        <v>283</v>
      </c>
      <c r="H208" t="str">
        <f>IF(COUNTIF(Sheet1!$A:$A,TEXT(A208,"0"))+COUNTIF(Sheet1!$A:$A,A208)&gt;0,"موجود","غير موجود")</f>
        <v>غير موجود</v>
      </c>
    </row>
    <row r="209" spans="1:8" x14ac:dyDescent="0.2">
      <c r="A209">
        <v>20309060742</v>
      </c>
      <c r="B209" t="s">
        <v>306</v>
      </c>
      <c r="C209">
        <v>97.5</v>
      </c>
      <c r="D209">
        <v>20</v>
      </c>
      <c r="E209">
        <v>78</v>
      </c>
      <c r="F209" t="s">
        <v>78</v>
      </c>
      <c r="G209" t="s">
        <v>79</v>
      </c>
      <c r="H209" t="str">
        <f>IF(COUNTIF(Sheet1!$A:$A,TEXT(A209,"0"))+COUNTIF(Sheet1!$A:$A,A209)&gt;0,"موجود","غير موجود")</f>
        <v>موجود</v>
      </c>
    </row>
    <row r="210" spans="1:8" x14ac:dyDescent="0.2">
      <c r="A210">
        <v>20309060767</v>
      </c>
      <c r="B210" t="s">
        <v>307</v>
      </c>
      <c r="C210">
        <v>82.5</v>
      </c>
      <c r="D210">
        <v>20</v>
      </c>
      <c r="E210">
        <v>66</v>
      </c>
      <c r="F210" t="s">
        <v>78</v>
      </c>
      <c r="G210" t="s">
        <v>79</v>
      </c>
      <c r="H210" t="str">
        <f>IF(COUNTIF(Sheet1!$A:$A,TEXT(A210,"0"))+COUNTIF(Sheet1!$A:$A,A210)&gt;0,"موجود","غير موجود")</f>
        <v>موجود</v>
      </c>
    </row>
    <row r="211" spans="1:8" x14ac:dyDescent="0.2">
      <c r="A211">
        <v>20309060769</v>
      </c>
      <c r="B211" t="s">
        <v>308</v>
      </c>
      <c r="C211">
        <v>82.5</v>
      </c>
      <c r="D211">
        <v>20</v>
      </c>
      <c r="E211">
        <v>66</v>
      </c>
      <c r="F211" t="s">
        <v>78</v>
      </c>
      <c r="G211" t="s">
        <v>79</v>
      </c>
      <c r="H211" t="str">
        <f>IF(COUNTIF(Sheet1!$A:$A,TEXT(A211,"0"))+COUNTIF(Sheet1!$A:$A,A211)&gt;0,"موجود","غير موجود")</f>
        <v>موجود</v>
      </c>
    </row>
    <row r="212" spans="1:8" x14ac:dyDescent="0.2">
      <c r="A212">
        <v>20309060770</v>
      </c>
      <c r="B212" t="s">
        <v>309</v>
      </c>
      <c r="C212">
        <v>82.5</v>
      </c>
      <c r="D212">
        <v>20</v>
      </c>
      <c r="E212">
        <v>66</v>
      </c>
      <c r="F212" t="s">
        <v>78</v>
      </c>
      <c r="G212" t="s">
        <v>79</v>
      </c>
      <c r="H212" t="str">
        <f>IF(COUNTIF(Sheet1!$A:$A,TEXT(A212,"0"))+COUNTIF(Sheet1!$A:$A,A212)&gt;0,"موجود","غير موجود")</f>
        <v>موجود</v>
      </c>
    </row>
    <row r="213" spans="1:8" x14ac:dyDescent="0.2">
      <c r="A213">
        <v>20309010952</v>
      </c>
      <c r="B213" t="s">
        <v>310</v>
      </c>
      <c r="C213">
        <v>10.75</v>
      </c>
      <c r="D213">
        <v>20</v>
      </c>
      <c r="E213">
        <v>8.6</v>
      </c>
      <c r="F213" t="s">
        <v>78</v>
      </c>
      <c r="G213" t="s">
        <v>79</v>
      </c>
      <c r="H213" t="str">
        <f>IF(COUNTIF(Sheet1!$A:$A,TEXT(A213,"0"))+COUNTIF(Sheet1!$A:$A,A213)&gt;0,"موجود","غير موجود")</f>
        <v>غير موجود</v>
      </c>
    </row>
    <row r="214" spans="1:8" x14ac:dyDescent="0.2">
      <c r="A214">
        <v>20309011095</v>
      </c>
      <c r="B214" t="s">
        <v>311</v>
      </c>
      <c r="C214">
        <v>15</v>
      </c>
      <c r="D214">
        <v>20</v>
      </c>
      <c r="E214">
        <v>12</v>
      </c>
      <c r="F214" t="s">
        <v>78</v>
      </c>
      <c r="G214" t="s">
        <v>79</v>
      </c>
      <c r="H214" t="str">
        <f>IF(COUNTIF(Sheet1!$A:$A,TEXT(A214,"0"))+COUNTIF(Sheet1!$A:$A,A214)&gt;0,"موجود","غير موجود")</f>
        <v>غير موجود</v>
      </c>
    </row>
    <row r="215" spans="1:8" x14ac:dyDescent="0.2">
      <c r="A215">
        <v>20309012353</v>
      </c>
      <c r="B215" t="s">
        <v>312</v>
      </c>
      <c r="C215">
        <v>43</v>
      </c>
      <c r="D215">
        <v>20</v>
      </c>
      <c r="E215">
        <v>34.4</v>
      </c>
      <c r="F215" t="s">
        <v>78</v>
      </c>
      <c r="G215" t="s">
        <v>79</v>
      </c>
      <c r="H215" t="str">
        <f>IF(COUNTIF(Sheet1!$A:$A,TEXT(A215,"0"))+COUNTIF(Sheet1!$A:$A,A215)&gt;0,"موجود","غير موجود")</f>
        <v>موجود</v>
      </c>
    </row>
    <row r="216" spans="1:8" x14ac:dyDescent="0.2">
      <c r="A216">
        <v>20309020116</v>
      </c>
      <c r="B216" t="s">
        <v>313</v>
      </c>
      <c r="C216">
        <v>10.75</v>
      </c>
      <c r="D216">
        <v>20</v>
      </c>
      <c r="E216">
        <v>8.6</v>
      </c>
      <c r="F216" t="s">
        <v>78</v>
      </c>
      <c r="G216" t="s">
        <v>79</v>
      </c>
      <c r="H216" t="str">
        <f>IF(COUNTIF(Sheet1!$A:$A,TEXT(A216,"0"))+COUNTIF(Sheet1!$A:$A,A216)&gt;0,"موجود","غير موجود")</f>
        <v>غير موجود</v>
      </c>
    </row>
    <row r="217" spans="1:8" x14ac:dyDescent="0.2">
      <c r="A217">
        <v>20309020117</v>
      </c>
      <c r="B217" t="s">
        <v>314</v>
      </c>
      <c r="C217">
        <v>95</v>
      </c>
      <c r="D217">
        <v>20</v>
      </c>
      <c r="E217">
        <v>76</v>
      </c>
      <c r="F217" t="s">
        <v>78</v>
      </c>
      <c r="G217" t="s">
        <v>79</v>
      </c>
      <c r="H217" t="str">
        <f>IF(COUNTIF(Sheet1!$A:$A,TEXT(A217,"0"))+COUNTIF(Sheet1!$A:$A,A217)&gt;0,"موجود","غير موجود")</f>
        <v>غير موجود</v>
      </c>
    </row>
    <row r="218" spans="1:8" x14ac:dyDescent="0.2">
      <c r="A218">
        <v>20309020192</v>
      </c>
      <c r="B218" t="s">
        <v>315</v>
      </c>
      <c r="C218">
        <v>72</v>
      </c>
      <c r="D218">
        <v>20</v>
      </c>
      <c r="E218">
        <v>57.6</v>
      </c>
      <c r="F218" t="s">
        <v>78</v>
      </c>
      <c r="G218" t="s">
        <v>79</v>
      </c>
      <c r="H218" t="str">
        <f>IF(COUNTIF(Sheet1!$A:$A,TEXT(A218,"0"))+COUNTIF(Sheet1!$A:$A,A218)&gt;0,"موجود","غير موجود")</f>
        <v>موجود</v>
      </c>
    </row>
    <row r="219" spans="1:8" x14ac:dyDescent="0.2">
      <c r="A219">
        <v>20309020221</v>
      </c>
      <c r="B219" t="s">
        <v>316</v>
      </c>
      <c r="C219">
        <v>57</v>
      </c>
      <c r="D219">
        <v>20</v>
      </c>
      <c r="E219">
        <v>45.6</v>
      </c>
      <c r="F219" t="s">
        <v>78</v>
      </c>
      <c r="G219" t="s">
        <v>79</v>
      </c>
      <c r="H219" t="str">
        <f>IF(COUNTIF(Sheet1!$A:$A,TEXT(A219,"0"))+COUNTIF(Sheet1!$A:$A,A219)&gt;0,"موجود","غير موجود")</f>
        <v>موجود</v>
      </c>
    </row>
    <row r="220" spans="1:8" x14ac:dyDescent="0.2">
      <c r="A220">
        <v>20309020224</v>
      </c>
      <c r="B220" t="s">
        <v>317</v>
      </c>
      <c r="C220">
        <v>16</v>
      </c>
      <c r="D220">
        <v>20</v>
      </c>
      <c r="E220">
        <v>12.8</v>
      </c>
      <c r="F220" t="s">
        <v>78</v>
      </c>
      <c r="G220" t="s">
        <v>79</v>
      </c>
      <c r="H220" t="str">
        <f>IF(COUNTIF(Sheet1!$A:$A,TEXT(A220,"0"))+COUNTIF(Sheet1!$A:$A,A220)&gt;0,"موجود","غير موجود")</f>
        <v>موجود</v>
      </c>
    </row>
    <row r="221" spans="1:8" x14ac:dyDescent="0.2">
      <c r="A221">
        <v>20309020224</v>
      </c>
      <c r="B221" t="s">
        <v>318</v>
      </c>
      <c r="C221">
        <v>19</v>
      </c>
      <c r="D221">
        <v>20</v>
      </c>
      <c r="E221">
        <v>15.2</v>
      </c>
      <c r="F221" t="s">
        <v>78</v>
      </c>
      <c r="G221" t="s">
        <v>79</v>
      </c>
      <c r="H221" t="str">
        <f>IF(COUNTIF(Sheet1!$A:$A,TEXT(A221,"0"))+COUNTIF(Sheet1!$A:$A,A221)&gt;0,"موجود","غير موجود")</f>
        <v>موجود</v>
      </c>
    </row>
    <row r="222" spans="1:8" x14ac:dyDescent="0.2">
      <c r="A222">
        <v>20309020323</v>
      </c>
      <c r="B222" t="s">
        <v>319</v>
      </c>
      <c r="C222">
        <v>65</v>
      </c>
      <c r="D222">
        <v>20</v>
      </c>
      <c r="E222">
        <v>52</v>
      </c>
      <c r="F222" t="s">
        <v>78</v>
      </c>
      <c r="G222" t="s">
        <v>79</v>
      </c>
      <c r="H222" t="str">
        <f>IF(COUNTIF(Sheet1!$A:$A,TEXT(A222,"0"))+COUNTIF(Sheet1!$A:$A,A222)&gt;0,"موجود","غير موجود")</f>
        <v>موجود</v>
      </c>
    </row>
    <row r="223" spans="1:8" x14ac:dyDescent="0.2">
      <c r="A223">
        <v>20309020330</v>
      </c>
      <c r="B223" t="s">
        <v>320</v>
      </c>
      <c r="C223">
        <v>10</v>
      </c>
      <c r="D223">
        <v>20</v>
      </c>
      <c r="E223">
        <v>8</v>
      </c>
      <c r="F223" t="s">
        <v>78</v>
      </c>
      <c r="G223" t="s">
        <v>79</v>
      </c>
      <c r="H223" t="str">
        <f>IF(COUNTIF(Sheet1!$A:$A,TEXT(A223,"0"))+COUNTIF(Sheet1!$A:$A,A223)&gt;0,"موجود","غير موجود")</f>
        <v>غير موجود</v>
      </c>
    </row>
    <row r="224" spans="1:8" x14ac:dyDescent="0.2">
      <c r="A224">
        <v>20309020331</v>
      </c>
      <c r="B224" t="s">
        <v>321</v>
      </c>
      <c r="C224">
        <v>10.75</v>
      </c>
      <c r="D224">
        <v>20</v>
      </c>
      <c r="E224">
        <v>8.6</v>
      </c>
      <c r="F224" t="s">
        <v>78</v>
      </c>
      <c r="G224" t="s">
        <v>79</v>
      </c>
      <c r="H224" t="str">
        <f>IF(COUNTIF(Sheet1!$A:$A,TEXT(A224,"0"))+COUNTIF(Sheet1!$A:$A,A224)&gt;0,"موجود","غير موجود")</f>
        <v>غير موجود</v>
      </c>
    </row>
    <row r="225" spans="1:8" x14ac:dyDescent="0.2">
      <c r="A225">
        <v>20309020344</v>
      </c>
      <c r="B225" t="s">
        <v>322</v>
      </c>
      <c r="C225">
        <v>16</v>
      </c>
      <c r="D225">
        <v>20</v>
      </c>
      <c r="E225">
        <v>12.8</v>
      </c>
      <c r="F225" t="s">
        <v>78</v>
      </c>
      <c r="G225" t="s">
        <v>79</v>
      </c>
      <c r="H225" t="str">
        <f>IF(COUNTIF(Sheet1!$A:$A,TEXT(A225,"0"))+COUNTIF(Sheet1!$A:$A,A225)&gt;0,"موجود","غير موجود")</f>
        <v>موجود</v>
      </c>
    </row>
    <row r="226" spans="1:8" x14ac:dyDescent="0.2">
      <c r="A226">
        <v>20309020344</v>
      </c>
      <c r="B226" t="s">
        <v>323</v>
      </c>
      <c r="C226">
        <v>19</v>
      </c>
      <c r="D226">
        <v>20</v>
      </c>
      <c r="E226">
        <v>15.2</v>
      </c>
      <c r="F226" t="s">
        <v>78</v>
      </c>
      <c r="G226" t="s">
        <v>79</v>
      </c>
      <c r="H226" t="str">
        <f>IF(COUNTIF(Sheet1!$A:$A,TEXT(A226,"0"))+COUNTIF(Sheet1!$A:$A,A226)&gt;0,"موجود","غير موجود")</f>
        <v>موجود</v>
      </c>
    </row>
    <row r="227" spans="1:8" x14ac:dyDescent="0.2">
      <c r="A227">
        <v>20309020348</v>
      </c>
      <c r="B227" t="s">
        <v>324</v>
      </c>
      <c r="C227">
        <v>10.75</v>
      </c>
      <c r="D227">
        <v>20</v>
      </c>
      <c r="E227">
        <v>8.6</v>
      </c>
      <c r="F227" t="s">
        <v>78</v>
      </c>
      <c r="G227" t="s">
        <v>79</v>
      </c>
      <c r="H227" t="str">
        <f>IF(COUNTIF(Sheet1!$A:$A,TEXT(A227,"0"))+COUNTIF(Sheet1!$A:$A,A227)&gt;0,"موجود","غير موجود")</f>
        <v>غير موجود</v>
      </c>
    </row>
    <row r="228" spans="1:8" x14ac:dyDescent="0.2">
      <c r="A228">
        <v>20309020349</v>
      </c>
      <c r="B228" t="s">
        <v>325</v>
      </c>
      <c r="C228">
        <v>10.75</v>
      </c>
      <c r="D228">
        <v>20</v>
      </c>
      <c r="E228">
        <v>8.6</v>
      </c>
      <c r="F228" t="s">
        <v>78</v>
      </c>
      <c r="G228" t="s">
        <v>79</v>
      </c>
      <c r="H228" t="str">
        <f>IF(COUNTIF(Sheet1!$A:$A,TEXT(A228,"0"))+COUNTIF(Sheet1!$A:$A,A228)&gt;0,"موجود","غير موجود")</f>
        <v>غير موجود</v>
      </c>
    </row>
    <row r="229" spans="1:8" x14ac:dyDescent="0.2">
      <c r="A229">
        <v>20309020370</v>
      </c>
      <c r="B229" t="s">
        <v>326</v>
      </c>
      <c r="C229">
        <v>16</v>
      </c>
      <c r="D229">
        <v>20</v>
      </c>
      <c r="E229">
        <v>12.8</v>
      </c>
      <c r="F229" t="s">
        <v>78</v>
      </c>
      <c r="G229" t="s">
        <v>79</v>
      </c>
      <c r="H229" t="str">
        <f>IF(COUNTIF(Sheet1!$A:$A,TEXT(A229,"0"))+COUNTIF(Sheet1!$A:$A,A229)&gt;0,"موجود","غير موجود")</f>
        <v>موجود</v>
      </c>
    </row>
    <row r="230" spans="1:8" x14ac:dyDescent="0.2">
      <c r="A230">
        <v>20309020370</v>
      </c>
      <c r="B230" t="s">
        <v>327</v>
      </c>
      <c r="C230">
        <v>19</v>
      </c>
      <c r="D230">
        <v>20</v>
      </c>
      <c r="E230">
        <v>15.2</v>
      </c>
      <c r="F230" t="s">
        <v>78</v>
      </c>
      <c r="G230" t="s">
        <v>79</v>
      </c>
      <c r="H230" t="str">
        <f>IF(COUNTIF(Sheet1!$A:$A,TEXT(A230,"0"))+COUNTIF(Sheet1!$A:$A,A230)&gt;0,"موجود","غير موجود")</f>
        <v>موجود</v>
      </c>
    </row>
    <row r="231" spans="1:8" x14ac:dyDescent="0.2">
      <c r="A231">
        <v>20309020374</v>
      </c>
      <c r="B231" t="s">
        <v>328</v>
      </c>
      <c r="C231">
        <v>49</v>
      </c>
      <c r="D231">
        <v>20</v>
      </c>
      <c r="E231">
        <v>39.200000000000003</v>
      </c>
      <c r="F231" t="s">
        <v>78</v>
      </c>
      <c r="G231" t="s">
        <v>79</v>
      </c>
      <c r="H231" t="str">
        <f>IF(COUNTIF(Sheet1!$A:$A,TEXT(A231,"0"))+COUNTIF(Sheet1!$A:$A,A231)&gt;0,"موجود","غير موجود")</f>
        <v>غير موجود</v>
      </c>
    </row>
    <row r="232" spans="1:8" x14ac:dyDescent="0.2">
      <c r="A232">
        <v>20309020375</v>
      </c>
      <c r="B232" t="s">
        <v>329</v>
      </c>
      <c r="C232">
        <v>25</v>
      </c>
      <c r="D232">
        <v>20</v>
      </c>
      <c r="E232">
        <v>20</v>
      </c>
      <c r="F232" t="s">
        <v>78</v>
      </c>
      <c r="G232" t="s">
        <v>79</v>
      </c>
      <c r="H232" t="str">
        <f>IF(COUNTIF(Sheet1!$A:$A,TEXT(A232,"0"))+COUNTIF(Sheet1!$A:$A,A232)&gt;0,"موجود","غير موجود")</f>
        <v>موجود</v>
      </c>
    </row>
    <row r="233" spans="1:8" x14ac:dyDescent="0.2">
      <c r="A233">
        <v>20309020376</v>
      </c>
      <c r="B233" t="s">
        <v>330</v>
      </c>
      <c r="C233">
        <v>18</v>
      </c>
      <c r="D233">
        <v>20</v>
      </c>
      <c r="E233">
        <v>14.4</v>
      </c>
      <c r="F233" t="s">
        <v>78</v>
      </c>
      <c r="G233" t="s">
        <v>79</v>
      </c>
      <c r="H233" t="str">
        <f>IF(COUNTIF(Sheet1!$A:$A,TEXT(A233,"0"))+COUNTIF(Sheet1!$A:$A,A233)&gt;0,"موجود","غير موجود")</f>
        <v>موجود</v>
      </c>
    </row>
    <row r="234" spans="1:8" x14ac:dyDescent="0.2">
      <c r="A234">
        <v>20309020377</v>
      </c>
      <c r="B234" t="s">
        <v>331</v>
      </c>
      <c r="C234">
        <v>26.9</v>
      </c>
      <c r="D234">
        <v>20</v>
      </c>
      <c r="E234">
        <v>21.52</v>
      </c>
      <c r="F234" t="s">
        <v>78</v>
      </c>
      <c r="G234" t="s">
        <v>79</v>
      </c>
      <c r="H234" t="str">
        <f>IF(COUNTIF(Sheet1!$A:$A,TEXT(A234,"0"))+COUNTIF(Sheet1!$A:$A,A234)&gt;0,"موجود","غير موجود")</f>
        <v>موجود</v>
      </c>
    </row>
    <row r="235" spans="1:8" x14ac:dyDescent="0.2">
      <c r="A235">
        <v>20309020378</v>
      </c>
      <c r="B235" t="s">
        <v>332</v>
      </c>
      <c r="C235">
        <v>37.700000000000003</v>
      </c>
      <c r="D235">
        <v>20</v>
      </c>
      <c r="E235">
        <v>30.160000000000004</v>
      </c>
      <c r="F235" t="s">
        <v>78</v>
      </c>
      <c r="G235" t="s">
        <v>79</v>
      </c>
      <c r="H235" t="str">
        <f>IF(COUNTIF(Sheet1!$A:$A,TEXT(A235,"0"))+COUNTIF(Sheet1!$A:$A,A235)&gt;0,"موجود","غير موجود")</f>
        <v>موجود</v>
      </c>
    </row>
    <row r="236" spans="1:8" x14ac:dyDescent="0.2">
      <c r="A236">
        <v>20309020817</v>
      </c>
      <c r="B236" t="s">
        <v>333</v>
      </c>
      <c r="C236">
        <v>10.75</v>
      </c>
      <c r="D236">
        <v>20</v>
      </c>
      <c r="E236">
        <v>8.6</v>
      </c>
      <c r="F236" t="s">
        <v>78</v>
      </c>
      <c r="G236" t="s">
        <v>79</v>
      </c>
      <c r="H236" t="str">
        <f>IF(COUNTIF(Sheet1!$A:$A,TEXT(A236,"0"))+COUNTIF(Sheet1!$A:$A,A236)&gt;0,"موجود","غير موجود")</f>
        <v>غير موجود</v>
      </c>
    </row>
    <row r="237" spans="1:8" x14ac:dyDescent="0.2">
      <c r="A237">
        <v>20309020893</v>
      </c>
      <c r="B237" t="s">
        <v>334</v>
      </c>
      <c r="C237">
        <v>145</v>
      </c>
      <c r="D237">
        <v>20</v>
      </c>
      <c r="E237">
        <v>116</v>
      </c>
      <c r="F237" t="s">
        <v>78</v>
      </c>
      <c r="G237" t="s">
        <v>79</v>
      </c>
      <c r="H237" t="str">
        <f>IF(COUNTIF(Sheet1!$A:$A,TEXT(A237,"0"))+COUNTIF(Sheet1!$A:$A,A237)&gt;0,"موجود","غير موجود")</f>
        <v>غير موجود</v>
      </c>
    </row>
    <row r="238" spans="1:8" x14ac:dyDescent="0.2">
      <c r="A238">
        <v>20309021014</v>
      </c>
      <c r="B238" t="s">
        <v>335</v>
      </c>
      <c r="C238">
        <v>160</v>
      </c>
      <c r="D238">
        <v>20</v>
      </c>
      <c r="E238">
        <v>128</v>
      </c>
      <c r="F238" t="s">
        <v>78</v>
      </c>
      <c r="G238" t="s">
        <v>79</v>
      </c>
      <c r="H238" t="str">
        <f>IF(COUNTIF(Sheet1!$A:$A,TEXT(A238,"0"))+COUNTIF(Sheet1!$A:$A,A238)&gt;0,"موجود","غير موجود")</f>
        <v>غير موجود</v>
      </c>
    </row>
    <row r="239" spans="1:8" x14ac:dyDescent="0.2">
      <c r="A239">
        <v>20309021244</v>
      </c>
      <c r="B239" t="s">
        <v>336</v>
      </c>
      <c r="C239">
        <v>64.5</v>
      </c>
      <c r="D239">
        <v>20</v>
      </c>
      <c r="E239">
        <v>51.6</v>
      </c>
      <c r="F239" t="s">
        <v>78</v>
      </c>
      <c r="G239" t="s">
        <v>79</v>
      </c>
      <c r="H239" t="str">
        <f>IF(COUNTIF(Sheet1!$A:$A,TEXT(A239,"0"))+COUNTIF(Sheet1!$A:$A,A239)&gt;0,"موجود","غير موجود")</f>
        <v>غير موجود</v>
      </c>
    </row>
    <row r="240" spans="1:8" x14ac:dyDescent="0.2">
      <c r="A240">
        <v>20309021246</v>
      </c>
      <c r="B240" t="s">
        <v>337</v>
      </c>
      <c r="C240">
        <v>107</v>
      </c>
      <c r="D240">
        <v>20</v>
      </c>
      <c r="E240">
        <v>85.6</v>
      </c>
      <c r="F240" t="s">
        <v>78</v>
      </c>
      <c r="G240" t="s">
        <v>79</v>
      </c>
      <c r="H240" t="str">
        <f>IF(COUNTIF(Sheet1!$A:$A,TEXT(A240,"0"))+COUNTIF(Sheet1!$A:$A,A240)&gt;0,"موجود","غير موجود")</f>
        <v>موجود</v>
      </c>
    </row>
    <row r="241" spans="1:8" x14ac:dyDescent="0.2">
      <c r="A241">
        <v>20309021271</v>
      </c>
      <c r="B241" t="s">
        <v>338</v>
      </c>
      <c r="C241">
        <v>13</v>
      </c>
      <c r="D241">
        <v>20</v>
      </c>
      <c r="E241">
        <v>10.4</v>
      </c>
      <c r="F241" t="s">
        <v>78</v>
      </c>
      <c r="G241" t="s">
        <v>79</v>
      </c>
      <c r="H241" t="str">
        <f>IF(COUNTIF(Sheet1!$A:$A,TEXT(A241,"0"))+COUNTIF(Sheet1!$A:$A,A241)&gt;0,"موجود","غير موجود")</f>
        <v>موجود</v>
      </c>
    </row>
    <row r="242" spans="1:8" x14ac:dyDescent="0.2">
      <c r="A242">
        <v>20309021366</v>
      </c>
      <c r="B242" t="s">
        <v>339</v>
      </c>
      <c r="C242">
        <v>10.75</v>
      </c>
      <c r="D242">
        <v>20</v>
      </c>
      <c r="E242">
        <v>8.6</v>
      </c>
      <c r="F242" t="s">
        <v>78</v>
      </c>
      <c r="G242" t="s">
        <v>79</v>
      </c>
      <c r="H242" t="str">
        <f>IF(COUNTIF(Sheet1!$A:$A,TEXT(A242,"0"))+COUNTIF(Sheet1!$A:$A,A242)&gt;0,"موجود","غير موجود")</f>
        <v>غير موجود</v>
      </c>
    </row>
    <row r="243" spans="1:8" x14ac:dyDescent="0.2">
      <c r="A243">
        <v>20309021418</v>
      </c>
      <c r="B243" t="s">
        <v>340</v>
      </c>
      <c r="C243">
        <v>16</v>
      </c>
      <c r="D243">
        <v>20</v>
      </c>
      <c r="E243">
        <v>12.8</v>
      </c>
      <c r="F243" t="s">
        <v>78</v>
      </c>
      <c r="G243" t="s">
        <v>79</v>
      </c>
      <c r="H243" t="str">
        <f>IF(COUNTIF(Sheet1!$A:$A,TEXT(A243,"0"))+COUNTIF(Sheet1!$A:$A,A243)&gt;0,"موجود","غير موجود")</f>
        <v>غير موجود</v>
      </c>
    </row>
    <row r="244" spans="1:8" x14ac:dyDescent="0.2">
      <c r="A244">
        <v>20309021483</v>
      </c>
      <c r="B244" t="s">
        <v>341</v>
      </c>
      <c r="C244">
        <v>112</v>
      </c>
      <c r="D244">
        <v>20</v>
      </c>
      <c r="E244">
        <v>89.6</v>
      </c>
      <c r="F244" t="s">
        <v>78</v>
      </c>
      <c r="G244" t="s">
        <v>79</v>
      </c>
      <c r="H244" t="str">
        <f>IF(COUNTIF(Sheet1!$A:$A,TEXT(A244,"0"))+COUNTIF(Sheet1!$A:$A,A244)&gt;0,"موجود","غير موجود")</f>
        <v>موجود</v>
      </c>
    </row>
    <row r="245" spans="1:8" x14ac:dyDescent="0.2">
      <c r="A245">
        <v>20309021484</v>
      </c>
      <c r="B245" t="s">
        <v>342</v>
      </c>
      <c r="C245">
        <v>117.25</v>
      </c>
      <c r="D245">
        <v>20</v>
      </c>
      <c r="E245">
        <v>93.8</v>
      </c>
      <c r="F245" t="s">
        <v>78</v>
      </c>
      <c r="G245" t="s">
        <v>79</v>
      </c>
      <c r="H245" t="str">
        <f>IF(COUNTIF(Sheet1!$A:$A,TEXT(A245,"0"))+COUNTIF(Sheet1!$A:$A,A245)&gt;0,"موجود","غير موجود")</f>
        <v>غير موجود</v>
      </c>
    </row>
    <row r="246" spans="1:8" x14ac:dyDescent="0.2">
      <c r="A246">
        <v>20309021728</v>
      </c>
      <c r="B246" t="s">
        <v>343</v>
      </c>
      <c r="C246">
        <v>24</v>
      </c>
      <c r="D246">
        <v>20</v>
      </c>
      <c r="E246">
        <v>19.2</v>
      </c>
      <c r="F246" t="s">
        <v>78</v>
      </c>
      <c r="G246" t="s">
        <v>79</v>
      </c>
      <c r="H246" t="str">
        <f>IF(COUNTIF(Sheet1!$A:$A,TEXT(A246,"0"))+COUNTIF(Sheet1!$A:$A,A246)&gt;0,"موجود","غير موجود")</f>
        <v>غير موجود</v>
      </c>
    </row>
    <row r="247" spans="1:8" x14ac:dyDescent="0.2">
      <c r="A247">
        <v>20309021886</v>
      </c>
      <c r="B247" t="s">
        <v>344</v>
      </c>
      <c r="C247">
        <v>65</v>
      </c>
      <c r="D247">
        <v>20</v>
      </c>
      <c r="E247">
        <v>52</v>
      </c>
      <c r="F247" t="s">
        <v>78</v>
      </c>
      <c r="G247" t="s">
        <v>79</v>
      </c>
      <c r="H247" t="str">
        <f>IF(COUNTIF(Sheet1!$A:$A,TEXT(A247,"0"))+COUNTIF(Sheet1!$A:$A,A247)&gt;0,"موجود","غير موجود")</f>
        <v>موجود</v>
      </c>
    </row>
    <row r="248" spans="1:8" x14ac:dyDescent="0.2">
      <c r="A248">
        <v>20309021887</v>
      </c>
      <c r="B248" t="s">
        <v>344</v>
      </c>
      <c r="C248">
        <v>65</v>
      </c>
      <c r="D248">
        <v>20</v>
      </c>
      <c r="E248">
        <v>52</v>
      </c>
      <c r="F248" t="s">
        <v>78</v>
      </c>
      <c r="G248" t="s">
        <v>79</v>
      </c>
      <c r="H248" t="str">
        <f>IF(COUNTIF(Sheet1!$A:$A,TEXT(A248,"0"))+COUNTIF(Sheet1!$A:$A,A248)&gt;0,"موجود","غير موجود")</f>
        <v>موجود</v>
      </c>
    </row>
    <row r="249" spans="1:8" x14ac:dyDescent="0.2">
      <c r="A249">
        <v>20309021888</v>
      </c>
      <c r="B249" t="s">
        <v>344</v>
      </c>
      <c r="C249">
        <v>65</v>
      </c>
      <c r="D249">
        <v>20</v>
      </c>
      <c r="E249">
        <v>52</v>
      </c>
      <c r="F249" t="s">
        <v>78</v>
      </c>
      <c r="G249" t="s">
        <v>79</v>
      </c>
      <c r="H249" t="str">
        <f>IF(COUNTIF(Sheet1!$A:$A,TEXT(A249,"0"))+COUNTIF(Sheet1!$A:$A,A249)&gt;0,"موجود","غير موجود")</f>
        <v>موجود</v>
      </c>
    </row>
    <row r="250" spans="1:8" x14ac:dyDescent="0.2">
      <c r="A250">
        <v>20309021889</v>
      </c>
      <c r="B250" t="s">
        <v>344</v>
      </c>
      <c r="C250">
        <v>65</v>
      </c>
      <c r="D250">
        <v>20</v>
      </c>
      <c r="E250">
        <v>52</v>
      </c>
      <c r="F250" t="s">
        <v>78</v>
      </c>
      <c r="G250" t="s">
        <v>79</v>
      </c>
      <c r="H250" t="str">
        <f>IF(COUNTIF(Sheet1!$A:$A,TEXT(A250,"0"))+COUNTIF(Sheet1!$A:$A,A250)&gt;0,"موجود","غير موجود")</f>
        <v>موجود</v>
      </c>
    </row>
    <row r="251" spans="1:8" x14ac:dyDescent="0.2">
      <c r="A251">
        <v>20309021890</v>
      </c>
      <c r="B251" t="s">
        <v>345</v>
      </c>
      <c r="C251">
        <v>78</v>
      </c>
      <c r="D251">
        <v>20</v>
      </c>
      <c r="E251">
        <v>62.4</v>
      </c>
      <c r="F251" t="s">
        <v>78</v>
      </c>
      <c r="G251" t="s">
        <v>79</v>
      </c>
      <c r="H251" t="str">
        <f>IF(COUNTIF(Sheet1!$A:$A,TEXT(A251,"0"))+COUNTIF(Sheet1!$A:$A,A251)&gt;0,"موجود","غير موجود")</f>
        <v>موجود</v>
      </c>
    </row>
    <row r="252" spans="1:8" x14ac:dyDescent="0.2">
      <c r="A252">
        <v>20309021894</v>
      </c>
      <c r="B252" t="s">
        <v>344</v>
      </c>
      <c r="C252">
        <v>65</v>
      </c>
      <c r="D252">
        <v>20</v>
      </c>
      <c r="E252">
        <v>52</v>
      </c>
      <c r="F252" t="s">
        <v>78</v>
      </c>
      <c r="G252" t="s">
        <v>79</v>
      </c>
      <c r="H252" t="str">
        <f>IF(COUNTIF(Sheet1!$A:$A,TEXT(A252,"0"))+COUNTIF(Sheet1!$A:$A,A252)&gt;0,"موجود","غير موجود")</f>
        <v>موجود</v>
      </c>
    </row>
    <row r="253" spans="1:8" x14ac:dyDescent="0.2">
      <c r="A253">
        <v>20309021895</v>
      </c>
      <c r="B253" t="s">
        <v>344</v>
      </c>
      <c r="C253">
        <v>65</v>
      </c>
      <c r="D253">
        <v>20</v>
      </c>
      <c r="E253">
        <v>52</v>
      </c>
      <c r="F253" t="s">
        <v>78</v>
      </c>
      <c r="G253" t="s">
        <v>79</v>
      </c>
      <c r="H253" t="str">
        <f>IF(COUNTIF(Sheet1!$A:$A,TEXT(A253,"0"))+COUNTIF(Sheet1!$A:$A,A253)&gt;0,"موجود","غير موجود")</f>
        <v>موجود</v>
      </c>
    </row>
    <row r="254" spans="1:8" x14ac:dyDescent="0.2">
      <c r="A254">
        <v>20309021896</v>
      </c>
      <c r="B254" t="s">
        <v>344</v>
      </c>
      <c r="C254">
        <v>65</v>
      </c>
      <c r="D254">
        <v>20</v>
      </c>
      <c r="E254">
        <v>52</v>
      </c>
      <c r="F254" t="s">
        <v>78</v>
      </c>
      <c r="G254" t="s">
        <v>79</v>
      </c>
      <c r="H254" t="str">
        <f>IF(COUNTIF(Sheet1!$A:$A,TEXT(A254,"0"))+COUNTIF(Sheet1!$A:$A,A254)&gt;0,"موجود","غير موجود")</f>
        <v>موجود</v>
      </c>
    </row>
    <row r="255" spans="1:8" x14ac:dyDescent="0.2">
      <c r="A255">
        <v>20309030384</v>
      </c>
      <c r="B255" t="s">
        <v>346</v>
      </c>
      <c r="C255">
        <v>25</v>
      </c>
      <c r="D255">
        <v>20</v>
      </c>
      <c r="E255">
        <v>20</v>
      </c>
      <c r="F255" t="s">
        <v>78</v>
      </c>
      <c r="G255" t="s">
        <v>79</v>
      </c>
      <c r="H255" t="str">
        <f>IF(COUNTIF(Sheet1!$A:$A,TEXT(A255,"0"))+COUNTIF(Sheet1!$A:$A,A255)&gt;0,"موجود","غير موجود")</f>
        <v>موجود</v>
      </c>
    </row>
    <row r="256" spans="1:8" x14ac:dyDescent="0.2">
      <c r="A256">
        <v>20309030781</v>
      </c>
      <c r="B256" t="s">
        <v>347</v>
      </c>
      <c r="C256">
        <v>25</v>
      </c>
      <c r="D256">
        <v>20</v>
      </c>
      <c r="E256">
        <v>20</v>
      </c>
      <c r="F256" t="s">
        <v>78</v>
      </c>
      <c r="G256" t="s">
        <v>79</v>
      </c>
      <c r="H256" t="str">
        <f>IF(COUNTIF(Sheet1!$A:$A,TEXT(A256,"0"))+COUNTIF(Sheet1!$A:$A,A256)&gt;0,"موجود","غير موجود")</f>
        <v>غير موجود</v>
      </c>
    </row>
    <row r="257" spans="1:8" x14ac:dyDescent="0.2">
      <c r="A257">
        <v>20309030782</v>
      </c>
      <c r="B257" t="s">
        <v>348</v>
      </c>
      <c r="C257">
        <v>25</v>
      </c>
      <c r="D257">
        <v>20</v>
      </c>
      <c r="E257">
        <v>20</v>
      </c>
      <c r="F257" t="s">
        <v>78</v>
      </c>
      <c r="G257" t="s">
        <v>79</v>
      </c>
      <c r="H257" t="str">
        <f>IF(COUNTIF(Sheet1!$A:$A,TEXT(A257,"0"))+COUNTIF(Sheet1!$A:$A,A257)&gt;0,"موجود","غير موجود")</f>
        <v>غير موجود</v>
      </c>
    </row>
    <row r="258" spans="1:8" x14ac:dyDescent="0.2">
      <c r="A258">
        <v>20309030783</v>
      </c>
      <c r="B258" t="s">
        <v>349</v>
      </c>
      <c r="C258">
        <v>25</v>
      </c>
      <c r="D258">
        <v>20</v>
      </c>
      <c r="E258">
        <v>20</v>
      </c>
      <c r="F258" t="s">
        <v>78</v>
      </c>
      <c r="G258" t="s">
        <v>79</v>
      </c>
      <c r="H258" t="str">
        <f>IF(COUNTIF(Sheet1!$A:$A,TEXT(A258,"0"))+COUNTIF(Sheet1!$A:$A,A258)&gt;0,"موجود","غير موجود")</f>
        <v>غير موجود</v>
      </c>
    </row>
    <row r="259" spans="1:8" x14ac:dyDescent="0.2">
      <c r="A259">
        <v>20309060037</v>
      </c>
      <c r="B259" t="s">
        <v>350</v>
      </c>
      <c r="C259">
        <v>57</v>
      </c>
      <c r="D259">
        <v>20</v>
      </c>
      <c r="E259">
        <v>45.6</v>
      </c>
      <c r="F259" t="s">
        <v>78</v>
      </c>
      <c r="G259" t="s">
        <v>79</v>
      </c>
      <c r="H259" t="str">
        <f>IF(COUNTIF(Sheet1!$A:$A,TEXT(A259,"0"))+COUNTIF(Sheet1!$A:$A,A259)&gt;0,"موجود","غير موجود")</f>
        <v>موجود</v>
      </c>
    </row>
    <row r="260" spans="1:8" x14ac:dyDescent="0.2">
      <c r="A260">
        <v>20309060161</v>
      </c>
      <c r="B260" t="s">
        <v>351</v>
      </c>
      <c r="C260">
        <v>57</v>
      </c>
      <c r="D260">
        <v>20</v>
      </c>
      <c r="E260">
        <v>45.6</v>
      </c>
      <c r="F260" t="s">
        <v>78</v>
      </c>
      <c r="G260" t="s">
        <v>79</v>
      </c>
      <c r="H260" t="str">
        <f>IF(COUNTIF(Sheet1!$A:$A,TEXT(A260,"0"))+COUNTIF(Sheet1!$A:$A,A260)&gt;0,"موجود","غير موجود")</f>
        <v>غير موجود</v>
      </c>
    </row>
    <row r="261" spans="1:8" x14ac:dyDescent="0.2">
      <c r="A261">
        <v>20309060169</v>
      </c>
      <c r="B261" t="s">
        <v>352</v>
      </c>
      <c r="C261">
        <v>57</v>
      </c>
      <c r="D261">
        <v>20</v>
      </c>
      <c r="E261">
        <v>45.6</v>
      </c>
      <c r="F261" t="s">
        <v>78</v>
      </c>
      <c r="G261" t="s">
        <v>79</v>
      </c>
      <c r="H261" t="str">
        <f>IF(COUNTIF(Sheet1!$A:$A,TEXT(A261,"0"))+COUNTIF(Sheet1!$A:$A,A261)&gt;0,"موجود","غير موجود")</f>
        <v>موجود</v>
      </c>
    </row>
    <row r="262" spans="1:8" x14ac:dyDescent="0.2">
      <c r="A262">
        <v>20309060170</v>
      </c>
      <c r="B262" t="s">
        <v>353</v>
      </c>
      <c r="C262">
        <v>65</v>
      </c>
      <c r="D262">
        <v>20</v>
      </c>
      <c r="E262">
        <v>52</v>
      </c>
      <c r="F262" t="s">
        <v>78</v>
      </c>
      <c r="G262" t="s">
        <v>79</v>
      </c>
      <c r="H262" t="str">
        <f>IF(COUNTIF(Sheet1!$A:$A,TEXT(A262,"0"))+COUNTIF(Sheet1!$A:$A,A262)&gt;0,"موجود","غير موجود")</f>
        <v>موجود</v>
      </c>
    </row>
    <row r="263" spans="1:8" x14ac:dyDescent="0.2">
      <c r="A263">
        <v>20309060171</v>
      </c>
      <c r="B263" t="s">
        <v>354</v>
      </c>
      <c r="C263">
        <v>57</v>
      </c>
      <c r="D263">
        <v>20</v>
      </c>
      <c r="E263">
        <v>45.6</v>
      </c>
      <c r="F263" t="s">
        <v>78</v>
      </c>
      <c r="G263" t="s">
        <v>79</v>
      </c>
      <c r="H263" t="str">
        <f>IF(COUNTIF(Sheet1!$A:$A,TEXT(A263,"0"))+COUNTIF(Sheet1!$A:$A,A263)&gt;0,"موجود","غير موجود")</f>
        <v>موجود</v>
      </c>
    </row>
    <row r="264" spans="1:8" x14ac:dyDescent="0.2">
      <c r="A264">
        <v>20309060172</v>
      </c>
      <c r="B264" t="s">
        <v>355</v>
      </c>
      <c r="C264">
        <v>57</v>
      </c>
      <c r="D264">
        <v>20</v>
      </c>
      <c r="E264">
        <v>45.6</v>
      </c>
      <c r="F264" t="s">
        <v>78</v>
      </c>
      <c r="G264" t="s">
        <v>79</v>
      </c>
      <c r="H264" t="str">
        <f>IF(COUNTIF(Sheet1!$A:$A,TEXT(A264,"0"))+COUNTIF(Sheet1!$A:$A,A264)&gt;0,"موجود","غير موجود")</f>
        <v>موجود</v>
      </c>
    </row>
    <row r="265" spans="1:8" x14ac:dyDescent="0.2">
      <c r="A265">
        <v>20309060173</v>
      </c>
      <c r="B265" t="s">
        <v>356</v>
      </c>
      <c r="C265">
        <v>85</v>
      </c>
      <c r="D265">
        <v>20</v>
      </c>
      <c r="E265">
        <v>68</v>
      </c>
      <c r="F265" t="s">
        <v>78</v>
      </c>
      <c r="G265" t="s">
        <v>79</v>
      </c>
      <c r="H265" t="str">
        <f>IF(COUNTIF(Sheet1!$A:$A,TEXT(A265,"0"))+COUNTIF(Sheet1!$A:$A,A265)&gt;0,"موجود","غير موجود")</f>
        <v>غير موجود</v>
      </c>
    </row>
    <row r="266" spans="1:8" x14ac:dyDescent="0.2">
      <c r="A266">
        <v>20309060326</v>
      </c>
      <c r="B266" t="s">
        <v>357</v>
      </c>
      <c r="C266">
        <v>57</v>
      </c>
      <c r="D266">
        <v>20</v>
      </c>
      <c r="E266">
        <v>45.6</v>
      </c>
      <c r="F266" t="s">
        <v>78</v>
      </c>
      <c r="G266" t="s">
        <v>79</v>
      </c>
      <c r="H266" t="str">
        <f>IF(COUNTIF(Sheet1!$A:$A,TEXT(A266,"0"))+COUNTIF(Sheet1!$A:$A,A266)&gt;0,"موجود","غير موجود")</f>
        <v>موجود</v>
      </c>
    </row>
    <row r="267" spans="1:8" x14ac:dyDescent="0.2">
      <c r="A267">
        <v>20309060327</v>
      </c>
      <c r="B267" t="s">
        <v>358</v>
      </c>
      <c r="C267">
        <v>55</v>
      </c>
      <c r="D267">
        <v>20</v>
      </c>
      <c r="E267">
        <v>44</v>
      </c>
      <c r="F267" t="s">
        <v>78</v>
      </c>
      <c r="G267" t="s">
        <v>79</v>
      </c>
      <c r="H267" t="str">
        <f>IF(COUNTIF(Sheet1!$A:$A,TEXT(A267,"0"))+COUNTIF(Sheet1!$A:$A,A267)&gt;0,"موجود","غير موجود")</f>
        <v>موجود</v>
      </c>
    </row>
    <row r="268" spans="1:8" x14ac:dyDescent="0.2">
      <c r="A268">
        <v>20309060361</v>
      </c>
      <c r="B268" t="s">
        <v>359</v>
      </c>
      <c r="C268">
        <v>75</v>
      </c>
      <c r="D268">
        <v>20</v>
      </c>
      <c r="E268">
        <v>60</v>
      </c>
      <c r="F268" t="s">
        <v>78</v>
      </c>
      <c r="G268" t="s">
        <v>79</v>
      </c>
      <c r="H268" t="str">
        <f>IF(COUNTIF(Sheet1!$A:$A,TEXT(A268,"0"))+COUNTIF(Sheet1!$A:$A,A268)&gt;0,"موجود","غير موجود")</f>
        <v>غير موجود</v>
      </c>
    </row>
    <row r="269" spans="1:8" x14ac:dyDescent="0.2">
      <c r="A269">
        <v>20309060464</v>
      </c>
      <c r="B269" t="s">
        <v>360</v>
      </c>
      <c r="C269">
        <v>57</v>
      </c>
      <c r="D269">
        <v>20</v>
      </c>
      <c r="E269">
        <v>45.6</v>
      </c>
      <c r="F269" t="s">
        <v>78</v>
      </c>
      <c r="G269" t="s">
        <v>79</v>
      </c>
      <c r="H269" t="str">
        <f>IF(COUNTIF(Sheet1!$A:$A,TEXT(A269,"0"))+COUNTIF(Sheet1!$A:$A,A269)&gt;0,"موجود","غير موجود")</f>
        <v>موجود</v>
      </c>
    </row>
    <row r="270" spans="1:8" x14ac:dyDescent="0.2">
      <c r="A270">
        <v>20309060467</v>
      </c>
      <c r="B270" t="s">
        <v>361</v>
      </c>
      <c r="C270">
        <v>57</v>
      </c>
      <c r="D270">
        <v>20</v>
      </c>
      <c r="E270">
        <v>45.6</v>
      </c>
      <c r="F270" t="s">
        <v>78</v>
      </c>
      <c r="G270" t="s">
        <v>79</v>
      </c>
      <c r="H270" t="str">
        <f>IF(COUNTIF(Sheet1!$A:$A,TEXT(A270,"0"))+COUNTIF(Sheet1!$A:$A,A270)&gt;0,"موجود","غير موجود")</f>
        <v>موجود</v>
      </c>
    </row>
    <row r="271" spans="1:8" x14ac:dyDescent="0.2">
      <c r="A271">
        <v>20309060619</v>
      </c>
      <c r="B271" t="s">
        <v>362</v>
      </c>
      <c r="C271">
        <v>85</v>
      </c>
      <c r="D271">
        <v>20</v>
      </c>
      <c r="E271">
        <v>68</v>
      </c>
      <c r="F271" t="s">
        <v>78</v>
      </c>
      <c r="G271" t="s">
        <v>79</v>
      </c>
      <c r="H271" t="str">
        <f>IF(COUNTIF(Sheet1!$A:$A,TEXT(A271,"0"))+COUNTIF(Sheet1!$A:$A,A271)&gt;0,"موجود","غير موجود")</f>
        <v>موجود</v>
      </c>
    </row>
    <row r="272" spans="1:8" x14ac:dyDescent="0.2">
      <c r="A272">
        <v>20309060620</v>
      </c>
      <c r="B272" t="s">
        <v>363</v>
      </c>
      <c r="C272">
        <v>85</v>
      </c>
      <c r="D272">
        <v>20</v>
      </c>
      <c r="E272">
        <v>68</v>
      </c>
      <c r="F272" t="s">
        <v>78</v>
      </c>
      <c r="G272" t="s">
        <v>79</v>
      </c>
      <c r="H272" t="str">
        <f>IF(COUNTIF(Sheet1!$A:$A,TEXT(A272,"0"))+COUNTIF(Sheet1!$A:$A,A272)&gt;0,"موجود","غير موجود")</f>
        <v>غير موجود</v>
      </c>
    </row>
    <row r="273" spans="1:8" x14ac:dyDescent="0.2">
      <c r="A273">
        <v>20309060621</v>
      </c>
      <c r="B273" t="s">
        <v>364</v>
      </c>
      <c r="C273">
        <v>85</v>
      </c>
      <c r="D273">
        <v>20</v>
      </c>
      <c r="E273">
        <v>68</v>
      </c>
      <c r="F273" t="s">
        <v>78</v>
      </c>
      <c r="G273" t="s">
        <v>79</v>
      </c>
      <c r="H273" t="str">
        <f>IF(COUNTIF(Sheet1!$A:$A,TEXT(A273,"0"))+COUNTIF(Sheet1!$A:$A,A273)&gt;0,"موجود","غير موجود")</f>
        <v>غير موجود</v>
      </c>
    </row>
    <row r="274" spans="1:8" x14ac:dyDescent="0.2">
      <c r="A274">
        <v>20309060622</v>
      </c>
      <c r="B274" t="s">
        <v>365</v>
      </c>
      <c r="C274">
        <v>85</v>
      </c>
      <c r="D274">
        <v>20</v>
      </c>
      <c r="E274">
        <v>68</v>
      </c>
      <c r="F274" t="s">
        <v>78</v>
      </c>
      <c r="G274" t="s">
        <v>79</v>
      </c>
      <c r="H274" t="str">
        <f>IF(COUNTIF(Sheet1!$A:$A,TEXT(A274,"0"))+COUNTIF(Sheet1!$A:$A,A274)&gt;0,"موجود","غير موجود")</f>
        <v>غير موجود</v>
      </c>
    </row>
    <row r="275" spans="1:8" x14ac:dyDescent="0.2">
      <c r="A275">
        <v>20309060623</v>
      </c>
      <c r="B275" t="s">
        <v>366</v>
      </c>
      <c r="C275">
        <v>85</v>
      </c>
      <c r="D275">
        <v>20</v>
      </c>
      <c r="E275">
        <v>68</v>
      </c>
      <c r="F275" t="s">
        <v>78</v>
      </c>
      <c r="G275" t="s">
        <v>79</v>
      </c>
      <c r="H275" t="str">
        <f>IF(COUNTIF(Sheet1!$A:$A,TEXT(A275,"0"))+COUNTIF(Sheet1!$A:$A,A275)&gt;0,"موجود","غير موجود")</f>
        <v>غير موجود</v>
      </c>
    </row>
    <row r="276" spans="1:8" x14ac:dyDescent="0.2">
      <c r="A276">
        <v>20309060624</v>
      </c>
      <c r="B276" t="s">
        <v>367</v>
      </c>
      <c r="C276">
        <v>63.5</v>
      </c>
      <c r="D276">
        <v>20</v>
      </c>
      <c r="E276">
        <v>50.8</v>
      </c>
      <c r="F276" t="s">
        <v>78</v>
      </c>
      <c r="G276" t="s">
        <v>79</v>
      </c>
      <c r="H276" t="str">
        <f>IF(COUNTIF(Sheet1!$A:$A,TEXT(A276,"0"))+COUNTIF(Sheet1!$A:$A,A276)&gt;0,"موجود","غير موجود")</f>
        <v>غير موجود</v>
      </c>
    </row>
    <row r="277" spans="1:8" x14ac:dyDescent="0.2">
      <c r="A277">
        <v>20309060625</v>
      </c>
      <c r="B277" t="s">
        <v>368</v>
      </c>
      <c r="C277">
        <v>63.5</v>
      </c>
      <c r="D277">
        <v>20</v>
      </c>
      <c r="E277">
        <v>50.8</v>
      </c>
      <c r="F277" t="s">
        <v>78</v>
      </c>
      <c r="G277" t="s">
        <v>79</v>
      </c>
      <c r="H277" t="str">
        <f>IF(COUNTIF(Sheet1!$A:$A,TEXT(A277,"0"))+COUNTIF(Sheet1!$A:$A,A277)&gt;0,"موجود","غير موجود")</f>
        <v>غير موجود</v>
      </c>
    </row>
    <row r="278" spans="1:8" x14ac:dyDescent="0.2">
      <c r="A278">
        <v>20309060626</v>
      </c>
      <c r="B278" t="s">
        <v>369</v>
      </c>
      <c r="C278">
        <v>63.5</v>
      </c>
      <c r="D278">
        <v>20</v>
      </c>
      <c r="E278">
        <v>50.8</v>
      </c>
      <c r="F278" t="s">
        <v>78</v>
      </c>
      <c r="G278" t="s">
        <v>79</v>
      </c>
      <c r="H278" t="str">
        <f>IF(COUNTIF(Sheet1!$A:$A,TEXT(A278,"0"))+COUNTIF(Sheet1!$A:$A,A278)&gt;0,"موجود","غير موجود")</f>
        <v>غير موجود</v>
      </c>
    </row>
    <row r="279" spans="1:8" x14ac:dyDescent="0.2">
      <c r="A279">
        <v>20309060627</v>
      </c>
      <c r="B279" t="s">
        <v>370</v>
      </c>
      <c r="C279">
        <v>63.5</v>
      </c>
      <c r="D279">
        <v>20</v>
      </c>
      <c r="E279">
        <v>50.8</v>
      </c>
      <c r="F279" t="s">
        <v>78</v>
      </c>
      <c r="G279" t="s">
        <v>79</v>
      </c>
      <c r="H279" t="str">
        <f>IF(COUNTIF(Sheet1!$A:$A,TEXT(A279,"0"))+COUNTIF(Sheet1!$A:$A,A279)&gt;0,"موجود","غير موجود")</f>
        <v>غير موجود</v>
      </c>
    </row>
    <row r="280" spans="1:8" x14ac:dyDescent="0.2">
      <c r="A280">
        <v>20309060628</v>
      </c>
      <c r="B280" t="s">
        <v>371</v>
      </c>
      <c r="C280">
        <v>63.5</v>
      </c>
      <c r="D280">
        <v>20</v>
      </c>
      <c r="E280">
        <v>50.8</v>
      </c>
      <c r="F280" t="s">
        <v>78</v>
      </c>
      <c r="G280" t="s">
        <v>79</v>
      </c>
      <c r="H280" t="str">
        <f>IF(COUNTIF(Sheet1!$A:$A,TEXT(A280,"0"))+COUNTIF(Sheet1!$A:$A,A280)&gt;0,"موجود","غير موجود")</f>
        <v>غير موجود</v>
      </c>
    </row>
    <row r="281" spans="1:8" x14ac:dyDescent="0.2">
      <c r="A281">
        <v>20309060703</v>
      </c>
      <c r="B281" t="s">
        <v>372</v>
      </c>
      <c r="C281">
        <v>39</v>
      </c>
      <c r="D281">
        <v>20</v>
      </c>
      <c r="E281">
        <v>31.2</v>
      </c>
      <c r="F281" t="s">
        <v>78</v>
      </c>
      <c r="G281" t="s">
        <v>79</v>
      </c>
      <c r="H281" t="str">
        <f>IF(COUNTIF(Sheet1!$A:$A,TEXT(A281,"0"))+COUNTIF(Sheet1!$A:$A,A281)&gt;0,"موجود","غير موجود")</f>
        <v>غير موجود</v>
      </c>
    </row>
    <row r="282" spans="1:8" x14ac:dyDescent="0.2">
      <c r="A282">
        <v>20309060727</v>
      </c>
      <c r="B282" t="s">
        <v>373</v>
      </c>
      <c r="C282">
        <v>35</v>
      </c>
      <c r="D282">
        <v>20</v>
      </c>
      <c r="E282">
        <v>28</v>
      </c>
      <c r="F282" t="s">
        <v>78</v>
      </c>
      <c r="G282" t="s">
        <v>79</v>
      </c>
      <c r="H282" t="str">
        <f>IF(COUNTIF(Sheet1!$A:$A,TEXT(A282,"0"))+COUNTIF(Sheet1!$A:$A,A282)&gt;0,"موجود","غير موجود")</f>
        <v>غير موجود</v>
      </c>
    </row>
    <row r="283" spans="1:8" x14ac:dyDescent="0.2">
      <c r="A283">
        <v>20309501610</v>
      </c>
      <c r="B283" t="s">
        <v>374</v>
      </c>
      <c r="C283">
        <v>75</v>
      </c>
      <c r="D283">
        <v>20</v>
      </c>
      <c r="E283">
        <v>60</v>
      </c>
      <c r="F283" t="s">
        <v>78</v>
      </c>
      <c r="G283" t="s">
        <v>79</v>
      </c>
      <c r="H283" t="str">
        <f>IF(COUNTIF(Sheet1!$A:$A,TEXT(A283,"0"))+COUNTIF(Sheet1!$A:$A,A283)&gt;0,"موجود","غير موجود")</f>
        <v>غير موجود</v>
      </c>
    </row>
    <row r="284" spans="1:8" x14ac:dyDescent="0.2">
      <c r="A284">
        <v>20309501986</v>
      </c>
      <c r="B284" t="s">
        <v>375</v>
      </c>
      <c r="C284">
        <v>20.5</v>
      </c>
      <c r="D284">
        <v>20</v>
      </c>
      <c r="E284">
        <v>16.399999999999999</v>
      </c>
      <c r="F284" t="s">
        <v>78</v>
      </c>
      <c r="G284" t="s">
        <v>79</v>
      </c>
      <c r="H284" t="str">
        <f>IF(COUNTIF(Sheet1!$A:$A,TEXT(A284,"0"))+COUNTIF(Sheet1!$A:$A,A284)&gt;0,"موجود","غير موجود")</f>
        <v>موجود</v>
      </c>
    </row>
    <row r="285" spans="1:8" x14ac:dyDescent="0.2">
      <c r="A285">
        <v>20309502023</v>
      </c>
      <c r="B285" t="s">
        <v>376</v>
      </c>
      <c r="C285">
        <v>48</v>
      </c>
      <c r="D285">
        <v>20</v>
      </c>
      <c r="E285">
        <v>38.4</v>
      </c>
      <c r="F285" t="s">
        <v>78</v>
      </c>
      <c r="G285" t="s">
        <v>79</v>
      </c>
      <c r="H285" t="str">
        <f>IF(COUNTIF(Sheet1!$A:$A,TEXT(A285,"0"))+COUNTIF(Sheet1!$A:$A,A285)&gt;0,"موجود","غير موجود")</f>
        <v>غير موجود</v>
      </c>
    </row>
    <row r="286" spans="1:8" x14ac:dyDescent="0.2">
      <c r="A286">
        <v>20309502036</v>
      </c>
      <c r="B286" t="s">
        <v>377</v>
      </c>
      <c r="C286">
        <v>10.75</v>
      </c>
      <c r="D286">
        <v>20</v>
      </c>
      <c r="E286">
        <v>8.6</v>
      </c>
      <c r="F286" t="s">
        <v>78</v>
      </c>
      <c r="G286" t="s">
        <v>79</v>
      </c>
      <c r="H286" t="str">
        <f>IF(COUNTIF(Sheet1!$A:$A,TEXT(A286,"0"))+COUNTIF(Sheet1!$A:$A,A286)&gt;0,"موجود","غير موجود")</f>
        <v>غير موجود</v>
      </c>
    </row>
    <row r="287" spans="1:8" x14ac:dyDescent="0.2">
      <c r="A287">
        <v>20309502332</v>
      </c>
      <c r="B287" t="s">
        <v>378</v>
      </c>
      <c r="C287">
        <v>16</v>
      </c>
      <c r="D287">
        <v>20</v>
      </c>
      <c r="E287">
        <v>12.8</v>
      </c>
      <c r="F287" t="s">
        <v>78</v>
      </c>
      <c r="G287" t="s">
        <v>79</v>
      </c>
      <c r="H287" t="str">
        <f>IF(COUNTIF(Sheet1!$A:$A,TEXT(A287,"0"))+COUNTIF(Sheet1!$A:$A,A287)&gt;0,"موجود","غير موجود")</f>
        <v>غير موجود</v>
      </c>
    </row>
    <row r="288" spans="1:8" x14ac:dyDescent="0.2">
      <c r="A288">
        <v>20309012119</v>
      </c>
      <c r="B288" t="s">
        <v>379</v>
      </c>
      <c r="C288">
        <v>69</v>
      </c>
      <c r="D288">
        <v>20</v>
      </c>
      <c r="E288">
        <v>55.2</v>
      </c>
      <c r="F288" t="s">
        <v>78</v>
      </c>
      <c r="G288" t="s">
        <v>79</v>
      </c>
      <c r="H288" t="str">
        <f>IF(COUNTIF(Sheet1!$A:$A,TEXT(A288,"0"))+COUNTIF(Sheet1!$A:$A,A288)&gt;0,"موجود","غير موجود")</f>
        <v>غير موجود</v>
      </c>
    </row>
    <row r="289" spans="1:8" x14ac:dyDescent="0.2">
      <c r="A289">
        <v>20309012120</v>
      </c>
      <c r="B289" t="s">
        <v>380</v>
      </c>
      <c r="C289">
        <v>69</v>
      </c>
      <c r="D289">
        <v>20</v>
      </c>
      <c r="E289">
        <v>55.2</v>
      </c>
      <c r="F289" t="s">
        <v>78</v>
      </c>
      <c r="G289" t="s">
        <v>79</v>
      </c>
      <c r="H289" t="str">
        <f>IF(COUNTIF(Sheet1!$A:$A,TEXT(A289,"0"))+COUNTIF(Sheet1!$A:$A,A289)&gt;0,"موجود","غير موجود")</f>
        <v>غير موجود</v>
      </c>
    </row>
    <row r="290" spans="1:8" x14ac:dyDescent="0.2">
      <c r="A290">
        <v>20309021306</v>
      </c>
      <c r="B290" t="s">
        <v>381</v>
      </c>
      <c r="C290">
        <v>47</v>
      </c>
      <c r="D290">
        <v>20</v>
      </c>
      <c r="E290">
        <v>37.6</v>
      </c>
      <c r="F290" t="s">
        <v>78</v>
      </c>
      <c r="G290" t="s">
        <v>79</v>
      </c>
      <c r="H290" t="str">
        <f>IF(COUNTIF(Sheet1!$A:$A,TEXT(A290,"0"))+COUNTIF(Sheet1!$A:$A,A290)&gt;0,"موجود","غير موجود")</f>
        <v>غير موجود</v>
      </c>
    </row>
    <row r="291" spans="1:8" x14ac:dyDescent="0.2">
      <c r="A291">
        <v>20309021307</v>
      </c>
      <c r="B291" t="s">
        <v>382</v>
      </c>
      <c r="C291">
        <v>50.5</v>
      </c>
      <c r="D291">
        <v>20</v>
      </c>
      <c r="E291">
        <v>40.4</v>
      </c>
      <c r="F291" t="s">
        <v>78</v>
      </c>
      <c r="G291" t="s">
        <v>79</v>
      </c>
      <c r="H291" t="str">
        <f>IF(COUNTIF(Sheet1!$A:$A,TEXT(A291,"0"))+COUNTIF(Sheet1!$A:$A,A291)&gt;0,"موجود","غير موجود")</f>
        <v>غير موجود</v>
      </c>
    </row>
    <row r="292" spans="1:8" x14ac:dyDescent="0.2">
      <c r="A292">
        <v>20309021491</v>
      </c>
      <c r="B292" t="s">
        <v>383</v>
      </c>
      <c r="C292">
        <v>18</v>
      </c>
      <c r="D292">
        <v>20</v>
      </c>
      <c r="E292">
        <v>14.4</v>
      </c>
      <c r="F292" t="s">
        <v>78</v>
      </c>
      <c r="G292" t="s">
        <v>79</v>
      </c>
      <c r="H292" t="str">
        <f>IF(COUNTIF(Sheet1!$A:$A,TEXT(A292,"0"))+COUNTIF(Sheet1!$A:$A,A292)&gt;0,"موجود","غير موجود")</f>
        <v>غير موجود</v>
      </c>
    </row>
    <row r="293" spans="1:8" x14ac:dyDescent="0.2">
      <c r="A293">
        <v>20309021492</v>
      </c>
      <c r="B293" t="s">
        <v>384</v>
      </c>
      <c r="C293">
        <v>59</v>
      </c>
      <c r="D293">
        <v>20</v>
      </c>
      <c r="E293">
        <v>47.2</v>
      </c>
      <c r="F293" t="s">
        <v>78</v>
      </c>
      <c r="G293" t="s">
        <v>79</v>
      </c>
      <c r="H293" t="str">
        <f>IF(COUNTIF(Sheet1!$A:$A,TEXT(A293,"0"))+COUNTIF(Sheet1!$A:$A,A293)&gt;0,"موجود","غير موجود")</f>
        <v>موجود</v>
      </c>
    </row>
    <row r="294" spans="1:8" x14ac:dyDescent="0.2">
      <c r="A294">
        <v>20309021512</v>
      </c>
      <c r="B294" t="s">
        <v>385</v>
      </c>
      <c r="C294">
        <v>59</v>
      </c>
      <c r="D294">
        <v>20</v>
      </c>
      <c r="E294">
        <v>47.2</v>
      </c>
      <c r="F294" t="s">
        <v>78</v>
      </c>
      <c r="G294" t="s">
        <v>79</v>
      </c>
      <c r="H294" t="str">
        <f>IF(COUNTIF(Sheet1!$A:$A,TEXT(A294,"0"))+COUNTIF(Sheet1!$A:$A,A294)&gt;0,"موجود","غير موجود")</f>
        <v>موجود</v>
      </c>
    </row>
    <row r="295" spans="1:8" x14ac:dyDescent="0.2">
      <c r="A295">
        <v>20309021717</v>
      </c>
      <c r="B295" t="s">
        <v>386</v>
      </c>
      <c r="C295">
        <v>22</v>
      </c>
      <c r="D295">
        <v>20</v>
      </c>
      <c r="E295">
        <v>17.600000000000001</v>
      </c>
      <c r="F295" t="s">
        <v>78</v>
      </c>
      <c r="G295" t="s">
        <v>79</v>
      </c>
      <c r="H295" t="str">
        <f>IF(COUNTIF(Sheet1!$A:$A,TEXT(A295,"0"))+COUNTIF(Sheet1!$A:$A,A295)&gt;0,"موجود","غير موجود")</f>
        <v>غير موجود</v>
      </c>
    </row>
    <row r="296" spans="1:8" x14ac:dyDescent="0.2">
      <c r="A296">
        <v>20309021718</v>
      </c>
      <c r="B296" t="s">
        <v>387</v>
      </c>
      <c r="C296">
        <v>49</v>
      </c>
      <c r="D296">
        <v>20</v>
      </c>
      <c r="E296">
        <v>39.200000000000003</v>
      </c>
      <c r="F296" t="s">
        <v>78</v>
      </c>
      <c r="G296" t="s">
        <v>79</v>
      </c>
      <c r="H296" t="str">
        <f>IF(COUNTIF(Sheet1!$A:$A,TEXT(A296,"0"))+COUNTIF(Sheet1!$A:$A,A296)&gt;0,"موجود","غير موجود")</f>
        <v>غير موجود</v>
      </c>
    </row>
    <row r="297" spans="1:8" x14ac:dyDescent="0.2">
      <c r="A297">
        <v>20309021719</v>
      </c>
      <c r="B297" t="s">
        <v>388</v>
      </c>
      <c r="C297">
        <v>20</v>
      </c>
      <c r="D297">
        <v>20</v>
      </c>
      <c r="E297">
        <v>16</v>
      </c>
      <c r="F297" t="s">
        <v>78</v>
      </c>
      <c r="G297" t="s">
        <v>79</v>
      </c>
      <c r="H297" t="str">
        <f>IF(COUNTIF(Sheet1!$A:$A,TEXT(A297,"0"))+COUNTIF(Sheet1!$A:$A,A297)&gt;0,"موجود","غير موجود")</f>
        <v>غير موجود</v>
      </c>
    </row>
    <row r="298" spans="1:8" x14ac:dyDescent="0.2">
      <c r="A298">
        <v>20309021720</v>
      </c>
      <c r="B298" t="s">
        <v>389</v>
      </c>
      <c r="C298">
        <v>15</v>
      </c>
      <c r="D298">
        <v>20</v>
      </c>
      <c r="E298">
        <v>12</v>
      </c>
      <c r="F298" t="s">
        <v>78</v>
      </c>
      <c r="G298" t="s">
        <v>79</v>
      </c>
      <c r="H298" t="str">
        <f>IF(COUNTIF(Sheet1!$A:$A,TEXT(A298,"0"))+COUNTIF(Sheet1!$A:$A,A298)&gt;0,"موجود","غير موجود")</f>
        <v>غير موجود</v>
      </c>
    </row>
    <row r="299" spans="1:8" x14ac:dyDescent="0.2">
      <c r="A299">
        <v>20309021721</v>
      </c>
      <c r="B299" t="s">
        <v>390</v>
      </c>
      <c r="C299">
        <v>16</v>
      </c>
      <c r="D299">
        <v>20</v>
      </c>
      <c r="E299">
        <v>12.8</v>
      </c>
      <c r="F299" t="s">
        <v>78</v>
      </c>
      <c r="G299" t="s">
        <v>79</v>
      </c>
      <c r="H299" t="str">
        <f>IF(COUNTIF(Sheet1!$A:$A,TEXT(A299,"0"))+COUNTIF(Sheet1!$A:$A,A299)&gt;0,"موجود","غير موجود")</f>
        <v>غير موجود</v>
      </c>
    </row>
    <row r="300" spans="1:8" x14ac:dyDescent="0.2">
      <c r="A300">
        <v>20309021722</v>
      </c>
      <c r="B300" t="s">
        <v>391</v>
      </c>
      <c r="C300">
        <v>22</v>
      </c>
      <c r="D300">
        <v>20</v>
      </c>
      <c r="E300">
        <v>17.600000000000001</v>
      </c>
      <c r="F300" t="s">
        <v>78</v>
      </c>
      <c r="G300" t="s">
        <v>79</v>
      </c>
      <c r="H300" t="str">
        <f>IF(COUNTIF(Sheet1!$A:$A,TEXT(A300,"0"))+COUNTIF(Sheet1!$A:$A,A300)&gt;0,"موجود","غير موجود")</f>
        <v>غير موجود</v>
      </c>
    </row>
    <row r="301" spans="1:8" x14ac:dyDescent="0.2">
      <c r="A301">
        <v>20309021723</v>
      </c>
      <c r="B301" t="s">
        <v>392</v>
      </c>
      <c r="C301">
        <v>65</v>
      </c>
      <c r="D301">
        <v>20</v>
      </c>
      <c r="E301">
        <v>52</v>
      </c>
      <c r="F301" t="s">
        <v>78</v>
      </c>
      <c r="G301" t="s">
        <v>79</v>
      </c>
      <c r="H301" t="str">
        <f>IF(COUNTIF(Sheet1!$A:$A,TEXT(A301,"0"))+COUNTIF(Sheet1!$A:$A,A301)&gt;0,"موجود","غير موجود")</f>
        <v>غير موجود</v>
      </c>
    </row>
    <row r="302" spans="1:8" x14ac:dyDescent="0.2">
      <c r="A302">
        <v>20309021724</v>
      </c>
      <c r="B302" t="s">
        <v>393</v>
      </c>
      <c r="C302">
        <v>59</v>
      </c>
      <c r="D302">
        <v>20</v>
      </c>
      <c r="E302">
        <v>47.2</v>
      </c>
      <c r="F302" t="s">
        <v>78</v>
      </c>
      <c r="G302" t="s">
        <v>79</v>
      </c>
      <c r="H302" t="str">
        <f>IF(COUNTIF(Sheet1!$A:$A,TEXT(A302,"0"))+COUNTIF(Sheet1!$A:$A,A302)&gt;0,"موجود","غير موجود")</f>
        <v>غير موجود</v>
      </c>
    </row>
    <row r="303" spans="1:8" x14ac:dyDescent="0.2">
      <c r="A303">
        <v>20309021725</v>
      </c>
      <c r="B303" t="s">
        <v>394</v>
      </c>
      <c r="C303">
        <v>65</v>
      </c>
      <c r="D303">
        <v>20</v>
      </c>
      <c r="E303">
        <v>52</v>
      </c>
      <c r="F303" t="s">
        <v>78</v>
      </c>
      <c r="G303" t="s">
        <v>79</v>
      </c>
      <c r="H303" t="str">
        <f>IF(COUNTIF(Sheet1!$A:$A,TEXT(A303,"0"))+COUNTIF(Sheet1!$A:$A,A303)&gt;0,"موجود","غير موجود")</f>
        <v>غير موجود</v>
      </c>
    </row>
    <row r="304" spans="1:8" x14ac:dyDescent="0.2">
      <c r="A304">
        <v>20309021726</v>
      </c>
      <c r="B304" t="s">
        <v>395</v>
      </c>
      <c r="C304">
        <v>68</v>
      </c>
      <c r="D304">
        <v>20</v>
      </c>
      <c r="E304">
        <v>54.4</v>
      </c>
      <c r="F304" t="s">
        <v>78</v>
      </c>
      <c r="G304" t="s">
        <v>79</v>
      </c>
      <c r="H304" t="str">
        <f>IF(COUNTIF(Sheet1!$A:$A,TEXT(A304,"0"))+COUNTIF(Sheet1!$A:$A,A304)&gt;0,"موجود","غير موجود")</f>
        <v>غير موجود</v>
      </c>
    </row>
    <row r="305" spans="1:8" x14ac:dyDescent="0.2">
      <c r="A305">
        <v>20309021727</v>
      </c>
      <c r="B305" t="s">
        <v>396</v>
      </c>
      <c r="C305">
        <v>89</v>
      </c>
      <c r="D305">
        <v>20</v>
      </c>
      <c r="E305">
        <v>71.2</v>
      </c>
      <c r="F305" t="s">
        <v>78</v>
      </c>
      <c r="G305" t="s">
        <v>79</v>
      </c>
      <c r="H305" t="str">
        <f>IF(COUNTIF(Sheet1!$A:$A,TEXT(A305,"0"))+COUNTIF(Sheet1!$A:$A,A305)&gt;0,"موجود","غير موجود")</f>
        <v>غير موجود</v>
      </c>
    </row>
    <row r="306" spans="1:8" x14ac:dyDescent="0.2">
      <c r="A306">
        <v>20309021814</v>
      </c>
      <c r="B306" t="s">
        <v>397</v>
      </c>
      <c r="C306">
        <v>15</v>
      </c>
      <c r="D306">
        <v>20</v>
      </c>
      <c r="E306">
        <v>12</v>
      </c>
      <c r="F306" t="s">
        <v>78</v>
      </c>
      <c r="G306" t="s">
        <v>79</v>
      </c>
      <c r="H306" t="str">
        <f>IF(COUNTIF(Sheet1!$A:$A,TEXT(A306,"0"))+COUNTIF(Sheet1!$A:$A,A306)&gt;0,"موجود","غير موجود")</f>
        <v>غير موجود</v>
      </c>
    </row>
    <row r="307" spans="1:8" x14ac:dyDescent="0.2">
      <c r="A307">
        <v>20309021891</v>
      </c>
      <c r="B307" t="s">
        <v>398</v>
      </c>
      <c r="C307">
        <v>39</v>
      </c>
      <c r="D307">
        <v>20</v>
      </c>
      <c r="E307">
        <v>31.2</v>
      </c>
      <c r="F307" t="s">
        <v>78</v>
      </c>
      <c r="G307" t="s">
        <v>79</v>
      </c>
      <c r="H307" t="str">
        <f>IF(COUNTIF(Sheet1!$A:$A,TEXT(A307,"0"))+COUNTIF(Sheet1!$A:$A,A307)&gt;0,"موجود","غير موجود")</f>
        <v>موجود</v>
      </c>
    </row>
    <row r="308" spans="1:8" x14ac:dyDescent="0.2">
      <c r="A308">
        <v>20309021892</v>
      </c>
      <c r="B308" t="s">
        <v>399</v>
      </c>
      <c r="C308">
        <v>29</v>
      </c>
      <c r="D308">
        <v>20</v>
      </c>
      <c r="E308">
        <v>23.2</v>
      </c>
      <c r="F308" t="s">
        <v>78</v>
      </c>
      <c r="G308" t="s">
        <v>79</v>
      </c>
      <c r="H308" t="str">
        <f>IF(COUNTIF(Sheet1!$A:$A,TEXT(A308,"0"))+COUNTIF(Sheet1!$A:$A,A308)&gt;0,"موجود","غير موجود")</f>
        <v>موجود</v>
      </c>
    </row>
    <row r="309" spans="1:8" x14ac:dyDescent="0.2">
      <c r="A309">
        <v>20309030662</v>
      </c>
      <c r="B309" t="s">
        <v>400</v>
      </c>
      <c r="C309">
        <v>25</v>
      </c>
      <c r="D309">
        <v>20</v>
      </c>
      <c r="E309">
        <v>20</v>
      </c>
      <c r="F309" t="s">
        <v>78</v>
      </c>
      <c r="G309" t="s">
        <v>79</v>
      </c>
      <c r="H309" t="str">
        <f>IF(COUNTIF(Sheet1!$A:$A,TEXT(A309,"0"))+COUNTIF(Sheet1!$A:$A,A309)&gt;0,"موجود","غير موجود")</f>
        <v>موجود</v>
      </c>
    </row>
    <row r="310" spans="1:8" x14ac:dyDescent="0.2">
      <c r="A310">
        <v>20309030895</v>
      </c>
      <c r="B310" t="s">
        <v>401</v>
      </c>
      <c r="C310">
        <v>17</v>
      </c>
      <c r="D310">
        <v>20</v>
      </c>
      <c r="E310">
        <v>13.6</v>
      </c>
      <c r="F310" t="s">
        <v>78</v>
      </c>
      <c r="G310" t="s">
        <v>79</v>
      </c>
      <c r="H310" t="str">
        <f>IF(COUNTIF(Sheet1!$A:$A,TEXT(A310,"0"))+COUNTIF(Sheet1!$A:$A,A310)&gt;0,"موجود","غير موجود")</f>
        <v>غير موجود</v>
      </c>
    </row>
    <row r="311" spans="1:8" x14ac:dyDescent="0.2">
      <c r="A311">
        <v>20309060574</v>
      </c>
      <c r="B311" t="s">
        <v>402</v>
      </c>
      <c r="C311">
        <v>39</v>
      </c>
      <c r="D311">
        <v>20</v>
      </c>
      <c r="E311">
        <v>31.2</v>
      </c>
      <c r="F311" t="s">
        <v>78</v>
      </c>
      <c r="G311" t="s">
        <v>79</v>
      </c>
      <c r="H311" t="str">
        <f>IF(COUNTIF(Sheet1!$A:$A,TEXT(A311,"0"))+COUNTIF(Sheet1!$A:$A,A311)&gt;0,"موجود","غير موجود")</f>
        <v>موجود</v>
      </c>
    </row>
    <row r="312" spans="1:8" x14ac:dyDescent="0.2">
      <c r="A312">
        <v>20309060635</v>
      </c>
      <c r="B312" t="s">
        <v>403</v>
      </c>
      <c r="C312">
        <v>39</v>
      </c>
      <c r="D312">
        <v>20</v>
      </c>
      <c r="E312">
        <v>31.2</v>
      </c>
      <c r="F312" t="s">
        <v>78</v>
      </c>
      <c r="G312" t="s">
        <v>79</v>
      </c>
      <c r="H312" t="str">
        <f>IF(COUNTIF(Sheet1!$A:$A,TEXT(A312,"0"))+COUNTIF(Sheet1!$A:$A,A312)&gt;0,"موجود","غير موجود")</f>
        <v>موجود</v>
      </c>
    </row>
    <row r="313" spans="1:8" x14ac:dyDescent="0.2">
      <c r="A313">
        <v>20309060636</v>
      </c>
      <c r="B313" t="s">
        <v>404</v>
      </c>
      <c r="C313">
        <v>35</v>
      </c>
      <c r="D313">
        <v>20</v>
      </c>
      <c r="E313">
        <v>28</v>
      </c>
      <c r="F313" t="s">
        <v>78</v>
      </c>
      <c r="G313" t="s">
        <v>79</v>
      </c>
      <c r="H313" t="str">
        <f>IF(COUNTIF(Sheet1!$A:$A,TEXT(A313,"0"))+COUNTIF(Sheet1!$A:$A,A313)&gt;0,"موجود","غير موجود")</f>
        <v>غير موجود</v>
      </c>
    </row>
    <row r="314" spans="1:8" x14ac:dyDescent="0.2">
      <c r="A314">
        <v>20309060637</v>
      </c>
      <c r="B314" t="s">
        <v>405</v>
      </c>
      <c r="C314">
        <v>44</v>
      </c>
      <c r="D314">
        <v>20</v>
      </c>
      <c r="E314">
        <v>35.200000000000003</v>
      </c>
      <c r="F314" t="s">
        <v>78</v>
      </c>
      <c r="G314" t="s">
        <v>79</v>
      </c>
      <c r="H314" t="str">
        <f>IF(COUNTIF(Sheet1!$A:$A,TEXT(A314,"0"))+COUNTIF(Sheet1!$A:$A,A314)&gt;0,"موجود","غير موجود")</f>
        <v>موجود</v>
      </c>
    </row>
    <row r="315" spans="1:8" x14ac:dyDescent="0.2">
      <c r="A315">
        <v>20309060694</v>
      </c>
      <c r="B315" t="s">
        <v>406</v>
      </c>
      <c r="C315">
        <v>49</v>
      </c>
      <c r="D315">
        <v>20</v>
      </c>
      <c r="E315">
        <v>39.200000000000003</v>
      </c>
      <c r="F315" t="s">
        <v>78</v>
      </c>
      <c r="G315" t="s">
        <v>79</v>
      </c>
      <c r="H315" t="str">
        <f>IF(COUNTIF(Sheet1!$A:$A,TEXT(A315,"0"))+COUNTIF(Sheet1!$A:$A,A315)&gt;0,"موجود","غير موجود")</f>
        <v>غير موجود</v>
      </c>
    </row>
    <row r="316" spans="1:8" x14ac:dyDescent="0.2">
      <c r="A316">
        <v>20309060695</v>
      </c>
      <c r="B316" t="s">
        <v>407</v>
      </c>
      <c r="C316">
        <v>35</v>
      </c>
      <c r="D316">
        <v>20</v>
      </c>
      <c r="E316">
        <v>28</v>
      </c>
      <c r="F316" t="s">
        <v>78</v>
      </c>
      <c r="G316" t="s">
        <v>79</v>
      </c>
      <c r="H316" t="str">
        <f>IF(COUNTIF(Sheet1!$A:$A,TEXT(A316,"0"))+COUNTIF(Sheet1!$A:$A,A316)&gt;0,"موجود","غير موجود")</f>
        <v>غير موجود</v>
      </c>
    </row>
    <row r="317" spans="1:8" x14ac:dyDescent="0.2">
      <c r="A317">
        <v>20309060696</v>
      </c>
      <c r="B317" t="s">
        <v>408</v>
      </c>
      <c r="C317">
        <v>39</v>
      </c>
      <c r="D317">
        <v>20</v>
      </c>
      <c r="E317">
        <v>31.2</v>
      </c>
      <c r="F317" t="s">
        <v>78</v>
      </c>
      <c r="G317" t="s">
        <v>79</v>
      </c>
      <c r="H317" t="str">
        <f>IF(COUNTIF(Sheet1!$A:$A,TEXT(A317,"0"))+COUNTIF(Sheet1!$A:$A,A317)&gt;0,"موجود","غير موجود")</f>
        <v>غير موجود</v>
      </c>
    </row>
    <row r="318" spans="1:8" x14ac:dyDescent="0.2">
      <c r="A318">
        <v>20309060697</v>
      </c>
      <c r="B318" t="s">
        <v>409</v>
      </c>
      <c r="C318">
        <v>35</v>
      </c>
      <c r="D318">
        <v>20</v>
      </c>
      <c r="E318">
        <v>28</v>
      </c>
      <c r="F318" t="s">
        <v>78</v>
      </c>
      <c r="G318" t="s">
        <v>79</v>
      </c>
      <c r="H318" t="str">
        <f>IF(COUNTIF(Sheet1!$A:$A,TEXT(A318,"0"))+COUNTIF(Sheet1!$A:$A,A318)&gt;0,"موجود","غير موجود")</f>
        <v>غير موجود</v>
      </c>
    </row>
    <row r="319" spans="1:8" x14ac:dyDescent="0.2">
      <c r="A319">
        <v>20309060698</v>
      </c>
      <c r="B319" t="s">
        <v>410</v>
      </c>
      <c r="C319">
        <v>35</v>
      </c>
      <c r="D319">
        <v>20</v>
      </c>
      <c r="E319">
        <v>28</v>
      </c>
      <c r="F319" t="s">
        <v>78</v>
      </c>
      <c r="G319" t="s">
        <v>79</v>
      </c>
      <c r="H319" t="str">
        <f>IF(COUNTIF(Sheet1!$A:$A,TEXT(A319,"0"))+COUNTIF(Sheet1!$A:$A,A319)&gt;0,"موجود","غير موجود")</f>
        <v>غير موجود</v>
      </c>
    </row>
    <row r="320" spans="1:8" x14ac:dyDescent="0.2">
      <c r="A320">
        <v>20309060699</v>
      </c>
      <c r="B320" t="s">
        <v>411</v>
      </c>
      <c r="C320">
        <v>35</v>
      </c>
      <c r="D320">
        <v>20</v>
      </c>
      <c r="E320">
        <v>28</v>
      </c>
      <c r="F320" t="s">
        <v>78</v>
      </c>
      <c r="G320" t="s">
        <v>79</v>
      </c>
      <c r="H320" t="str">
        <f>IF(COUNTIF(Sheet1!$A:$A,TEXT(A320,"0"))+COUNTIF(Sheet1!$A:$A,A320)&gt;0,"موجود","غير موجود")</f>
        <v>غير موجود</v>
      </c>
    </row>
    <row r="321" spans="1:8" x14ac:dyDescent="0.2">
      <c r="A321">
        <v>20309060700</v>
      </c>
      <c r="B321" t="s">
        <v>412</v>
      </c>
      <c r="C321">
        <v>35</v>
      </c>
      <c r="D321">
        <v>20</v>
      </c>
      <c r="E321">
        <v>28</v>
      </c>
      <c r="F321" t="s">
        <v>78</v>
      </c>
      <c r="G321" t="s">
        <v>79</v>
      </c>
      <c r="H321" t="str">
        <f>IF(COUNTIF(Sheet1!$A:$A,TEXT(A321,"0"))+COUNTIF(Sheet1!$A:$A,A321)&gt;0,"موجود","غير موجود")</f>
        <v>غير موجود</v>
      </c>
    </row>
    <row r="322" spans="1:8" x14ac:dyDescent="0.2">
      <c r="A322">
        <v>20309060701</v>
      </c>
      <c r="B322" t="s">
        <v>413</v>
      </c>
      <c r="C322">
        <v>35</v>
      </c>
      <c r="D322">
        <v>20</v>
      </c>
      <c r="E322">
        <v>28</v>
      </c>
      <c r="F322" t="s">
        <v>78</v>
      </c>
      <c r="G322" t="s">
        <v>79</v>
      </c>
      <c r="H322" t="str">
        <f>IF(COUNTIF(Sheet1!$A:$A,TEXT(A322,"0"))+COUNTIF(Sheet1!$A:$A,A322)&gt;0,"موجود","غير موجود")</f>
        <v>غير موجود</v>
      </c>
    </row>
    <row r="323" spans="1:8" x14ac:dyDescent="0.2">
      <c r="A323">
        <v>20309060702</v>
      </c>
      <c r="B323" t="s">
        <v>414</v>
      </c>
      <c r="C323">
        <v>35</v>
      </c>
      <c r="D323">
        <v>20</v>
      </c>
      <c r="E323">
        <v>28</v>
      </c>
      <c r="F323" t="s">
        <v>78</v>
      </c>
      <c r="G323" t="s">
        <v>79</v>
      </c>
      <c r="H323" t="str">
        <f>IF(COUNTIF(Sheet1!$A:$A,TEXT(A323,"0"))+COUNTIF(Sheet1!$A:$A,A323)&gt;0,"موجود","غير موجود")</f>
        <v>غير موجود</v>
      </c>
    </row>
    <row r="324" spans="1:8" x14ac:dyDescent="0.2">
      <c r="A324">
        <v>20309060772</v>
      </c>
      <c r="B324" t="s">
        <v>415</v>
      </c>
      <c r="C324">
        <v>44</v>
      </c>
      <c r="D324">
        <v>20</v>
      </c>
      <c r="E324">
        <v>35.200000000000003</v>
      </c>
      <c r="F324" t="s">
        <v>78</v>
      </c>
      <c r="G324" t="s">
        <v>79</v>
      </c>
      <c r="H324" t="str">
        <f>IF(COUNTIF(Sheet1!$A:$A,TEXT(A324,"0"))+COUNTIF(Sheet1!$A:$A,A324)&gt;0,"موجود","غير موجود")</f>
        <v>موجود</v>
      </c>
    </row>
    <row r="325" spans="1:8" x14ac:dyDescent="0.2">
      <c r="A325">
        <v>20309060773</v>
      </c>
      <c r="B325" t="s">
        <v>415</v>
      </c>
      <c r="C325">
        <v>39</v>
      </c>
      <c r="D325">
        <v>20</v>
      </c>
      <c r="E325">
        <v>31.2</v>
      </c>
      <c r="F325" t="s">
        <v>78</v>
      </c>
      <c r="G325" t="s">
        <v>79</v>
      </c>
      <c r="H325" t="str">
        <f>IF(COUNTIF(Sheet1!$A:$A,TEXT(A325,"0"))+COUNTIF(Sheet1!$A:$A,A325)&gt;0,"موجود","غير موجود")</f>
        <v>موجود</v>
      </c>
    </row>
    <row r="326" spans="1:8" x14ac:dyDescent="0.2">
      <c r="A326">
        <v>20309060774</v>
      </c>
      <c r="B326" t="s">
        <v>415</v>
      </c>
      <c r="C326">
        <v>39</v>
      </c>
      <c r="D326">
        <v>20</v>
      </c>
      <c r="E326">
        <v>31.2</v>
      </c>
      <c r="F326" t="s">
        <v>78</v>
      </c>
      <c r="G326" t="s">
        <v>79</v>
      </c>
      <c r="H326" t="str">
        <f>IF(COUNTIF(Sheet1!$A:$A,TEXT(A326,"0"))+COUNTIF(Sheet1!$A:$A,A326)&gt;0,"موجود","غير موجود")</f>
        <v>موجود</v>
      </c>
    </row>
    <row r="327" spans="1:8" x14ac:dyDescent="0.2">
      <c r="A327">
        <v>20309060775</v>
      </c>
      <c r="B327" t="s">
        <v>415</v>
      </c>
      <c r="C327">
        <v>54</v>
      </c>
      <c r="D327">
        <v>20</v>
      </c>
      <c r="E327">
        <v>43.2</v>
      </c>
      <c r="F327" t="s">
        <v>78</v>
      </c>
      <c r="G327" t="s">
        <v>79</v>
      </c>
      <c r="H327" t="str">
        <f>IF(COUNTIF(Sheet1!$A:$A,TEXT(A327,"0"))+COUNTIF(Sheet1!$A:$A,A327)&gt;0,"موجود","غير موجود")</f>
        <v>غير موجود</v>
      </c>
    </row>
    <row r="328" spans="1:8" x14ac:dyDescent="0.2">
      <c r="A328">
        <v>20309070123</v>
      </c>
      <c r="B328" t="s">
        <v>416</v>
      </c>
      <c r="C328">
        <v>39</v>
      </c>
      <c r="D328">
        <v>20</v>
      </c>
      <c r="E328">
        <v>31.2</v>
      </c>
      <c r="F328" t="s">
        <v>78</v>
      </c>
      <c r="G328" t="s">
        <v>79</v>
      </c>
      <c r="H328" t="str">
        <f>IF(COUNTIF(Sheet1!$A:$A,TEXT(A328,"0"))+COUNTIF(Sheet1!$A:$A,A328)&gt;0,"موجود","غير موجود")</f>
        <v>موجود</v>
      </c>
    </row>
    <row r="329" spans="1:8" x14ac:dyDescent="0.2">
      <c r="A329">
        <v>20309070124</v>
      </c>
      <c r="B329" t="s">
        <v>417</v>
      </c>
      <c r="C329">
        <v>37.700000000000003</v>
      </c>
      <c r="D329">
        <v>20</v>
      </c>
      <c r="E329">
        <v>30.160000000000004</v>
      </c>
      <c r="F329" t="s">
        <v>78</v>
      </c>
      <c r="G329" t="s">
        <v>79</v>
      </c>
      <c r="H329" t="str">
        <f>IF(COUNTIF(Sheet1!$A:$A,TEXT(A329,"0"))+COUNTIF(Sheet1!$A:$A,A329)&gt;0,"موجود","غير موجود")</f>
        <v>غير موجود</v>
      </c>
    </row>
    <row r="330" spans="1:8" x14ac:dyDescent="0.2">
      <c r="A330">
        <v>20309070126</v>
      </c>
      <c r="B330" t="s">
        <v>418</v>
      </c>
      <c r="C330">
        <v>39</v>
      </c>
      <c r="D330">
        <v>20</v>
      </c>
      <c r="E330">
        <v>31.2</v>
      </c>
      <c r="F330" t="s">
        <v>78</v>
      </c>
      <c r="G330" t="s">
        <v>79</v>
      </c>
      <c r="H330" t="str">
        <f>IF(COUNTIF(Sheet1!$A:$A,TEXT(A330,"0"))+COUNTIF(Sheet1!$A:$A,A330)&gt;0,"موجود","غير موجود")</f>
        <v>موجود</v>
      </c>
    </row>
    <row r="331" spans="1:8" x14ac:dyDescent="0.2">
      <c r="A331">
        <v>20309070127</v>
      </c>
      <c r="B331" t="s">
        <v>419</v>
      </c>
      <c r="C331">
        <v>39</v>
      </c>
      <c r="D331">
        <v>20</v>
      </c>
      <c r="E331">
        <v>31.2</v>
      </c>
      <c r="F331" t="s">
        <v>78</v>
      </c>
      <c r="G331" t="s">
        <v>79</v>
      </c>
      <c r="H331" t="str">
        <f>IF(COUNTIF(Sheet1!$A:$A,TEXT(A331,"0"))+COUNTIF(Sheet1!$A:$A,A331)&gt;0,"موجود","غير موجود")</f>
        <v>موجود</v>
      </c>
    </row>
    <row r="332" spans="1:8" x14ac:dyDescent="0.2">
      <c r="A332">
        <v>20309070128</v>
      </c>
      <c r="B332" t="s">
        <v>420</v>
      </c>
      <c r="C332">
        <v>39</v>
      </c>
      <c r="D332">
        <v>20</v>
      </c>
      <c r="E332">
        <v>31.2</v>
      </c>
      <c r="F332" t="s">
        <v>78</v>
      </c>
      <c r="G332" t="s">
        <v>79</v>
      </c>
      <c r="H332" t="str">
        <f>IF(COUNTIF(Sheet1!$A:$A,TEXT(A332,"0"))+COUNTIF(Sheet1!$A:$A,A332)&gt;0,"موجود","غير موجود")</f>
        <v>موجود</v>
      </c>
    </row>
    <row r="333" spans="1:8" x14ac:dyDescent="0.2">
      <c r="A333">
        <v>20309070129</v>
      </c>
      <c r="B333" t="s">
        <v>421</v>
      </c>
      <c r="C333">
        <v>17.2</v>
      </c>
      <c r="D333">
        <v>20</v>
      </c>
      <c r="E333">
        <v>13.76</v>
      </c>
      <c r="F333" t="s">
        <v>78</v>
      </c>
      <c r="G333" t="s">
        <v>79</v>
      </c>
      <c r="H333" t="str">
        <f>IF(COUNTIF(Sheet1!$A:$A,TEXT(A333,"0"))+COUNTIF(Sheet1!$A:$A,A333)&gt;0,"موجود","غير موجود")</f>
        <v>موجود</v>
      </c>
    </row>
    <row r="334" spans="1:8" x14ac:dyDescent="0.2">
      <c r="A334">
        <v>20309070130</v>
      </c>
      <c r="B334" t="s">
        <v>422</v>
      </c>
      <c r="C334">
        <v>70</v>
      </c>
      <c r="D334">
        <v>20</v>
      </c>
      <c r="E334">
        <v>56</v>
      </c>
      <c r="F334" t="s">
        <v>78</v>
      </c>
      <c r="G334" t="s">
        <v>79</v>
      </c>
      <c r="H334" t="str">
        <f>IF(COUNTIF(Sheet1!$A:$A,TEXT(A334,"0"))+COUNTIF(Sheet1!$A:$A,A334)&gt;0,"موجود","غير موجود")</f>
        <v>موجود</v>
      </c>
    </row>
    <row r="335" spans="1:8" x14ac:dyDescent="0.2">
      <c r="A335">
        <v>20309070131</v>
      </c>
      <c r="B335" t="s">
        <v>423</v>
      </c>
      <c r="C335">
        <v>59.2</v>
      </c>
      <c r="D335">
        <v>20</v>
      </c>
      <c r="E335">
        <v>47.36</v>
      </c>
      <c r="F335" t="s">
        <v>78</v>
      </c>
      <c r="G335" t="s">
        <v>79</v>
      </c>
      <c r="H335" t="str">
        <f>IF(COUNTIF(Sheet1!$A:$A,TEXT(A335,"0"))+COUNTIF(Sheet1!$A:$A,A335)&gt;0,"موجود","غير موجود")</f>
        <v>موجود</v>
      </c>
    </row>
    <row r="336" spans="1:8" x14ac:dyDescent="0.2">
      <c r="A336">
        <v>20309070133</v>
      </c>
      <c r="B336" t="s">
        <v>424</v>
      </c>
      <c r="C336">
        <v>23.65</v>
      </c>
      <c r="D336">
        <v>20</v>
      </c>
      <c r="E336">
        <v>18.919999999999998</v>
      </c>
      <c r="F336" t="s">
        <v>78</v>
      </c>
      <c r="G336" t="s">
        <v>79</v>
      </c>
      <c r="H336" t="str">
        <f>IF(COUNTIF(Sheet1!$A:$A,TEXT(A336,"0"))+COUNTIF(Sheet1!$A:$A,A336)&gt;0,"موجود","غير موجود")</f>
        <v>موجود</v>
      </c>
    </row>
    <row r="337" spans="1:8" x14ac:dyDescent="0.2">
      <c r="A337">
        <v>20309070134</v>
      </c>
      <c r="B337" t="s">
        <v>425</v>
      </c>
      <c r="C337">
        <v>45</v>
      </c>
      <c r="D337">
        <v>20</v>
      </c>
      <c r="E337">
        <v>36</v>
      </c>
      <c r="F337" t="s">
        <v>78</v>
      </c>
      <c r="G337" t="s">
        <v>79</v>
      </c>
      <c r="H337" t="str">
        <f>IF(COUNTIF(Sheet1!$A:$A,TEXT(A337,"0"))+COUNTIF(Sheet1!$A:$A,A337)&gt;0,"موجود","غير موجود")</f>
        <v>غير موجود</v>
      </c>
    </row>
    <row r="338" spans="1:8" x14ac:dyDescent="0.2">
      <c r="A338">
        <v>20309070135</v>
      </c>
      <c r="B338" t="s">
        <v>426</v>
      </c>
      <c r="C338">
        <v>74</v>
      </c>
      <c r="D338">
        <v>20</v>
      </c>
      <c r="E338">
        <v>59.2</v>
      </c>
      <c r="F338" t="s">
        <v>78</v>
      </c>
      <c r="G338" t="s">
        <v>79</v>
      </c>
      <c r="H338" t="str">
        <f>IF(COUNTIF(Sheet1!$A:$A,TEXT(A338,"0"))+COUNTIF(Sheet1!$A:$A,A338)&gt;0,"موجود","غير موجود")</f>
        <v>موجود</v>
      </c>
    </row>
    <row r="339" spans="1:8" x14ac:dyDescent="0.2">
      <c r="A339">
        <v>20309070136</v>
      </c>
      <c r="B339" t="s">
        <v>427</v>
      </c>
      <c r="C339">
        <v>69.900000000000006</v>
      </c>
      <c r="D339">
        <v>20</v>
      </c>
      <c r="E339">
        <v>55.92</v>
      </c>
      <c r="F339" t="s">
        <v>78</v>
      </c>
      <c r="G339" t="s">
        <v>79</v>
      </c>
      <c r="H339" t="str">
        <f>IF(COUNTIF(Sheet1!$A:$A,TEXT(A339,"0"))+COUNTIF(Sheet1!$A:$A,A339)&gt;0,"موجود","غير موجود")</f>
        <v>موجود</v>
      </c>
    </row>
    <row r="340" spans="1:8" x14ac:dyDescent="0.2">
      <c r="A340">
        <v>20309070137</v>
      </c>
      <c r="B340" t="s">
        <v>428</v>
      </c>
      <c r="C340">
        <v>69.900000000000006</v>
      </c>
      <c r="D340">
        <v>20</v>
      </c>
      <c r="E340">
        <v>55.92</v>
      </c>
      <c r="F340" t="s">
        <v>78</v>
      </c>
      <c r="G340" t="s">
        <v>79</v>
      </c>
      <c r="H340" t="str">
        <f>IF(COUNTIF(Sheet1!$A:$A,TEXT(A340,"0"))+COUNTIF(Sheet1!$A:$A,A340)&gt;0,"موجود","غير موجود")</f>
        <v>غير موجود</v>
      </c>
    </row>
    <row r="341" spans="1:8" x14ac:dyDescent="0.2">
      <c r="A341">
        <v>20309070138</v>
      </c>
      <c r="B341" t="s">
        <v>429</v>
      </c>
      <c r="C341">
        <v>42</v>
      </c>
      <c r="D341">
        <v>20</v>
      </c>
      <c r="E341">
        <v>33.6</v>
      </c>
      <c r="F341" t="s">
        <v>78</v>
      </c>
      <c r="G341" t="s">
        <v>79</v>
      </c>
      <c r="H341" t="str">
        <f>IF(COUNTIF(Sheet1!$A:$A,TEXT(A341,"0"))+COUNTIF(Sheet1!$A:$A,A341)&gt;0,"موجود","غير موجود")</f>
        <v>غير موجود</v>
      </c>
    </row>
    <row r="342" spans="1:8" x14ac:dyDescent="0.2">
      <c r="A342">
        <v>20309070139</v>
      </c>
      <c r="B342" t="s">
        <v>430</v>
      </c>
      <c r="C342">
        <v>44</v>
      </c>
      <c r="D342">
        <v>20</v>
      </c>
      <c r="E342">
        <v>35.200000000000003</v>
      </c>
      <c r="F342" t="s">
        <v>78</v>
      </c>
      <c r="G342" t="s">
        <v>79</v>
      </c>
      <c r="H342" t="str">
        <f>IF(COUNTIF(Sheet1!$A:$A,TEXT(A342,"0"))+COUNTIF(Sheet1!$A:$A,A342)&gt;0,"موجود","غير موجود")</f>
        <v>موجود</v>
      </c>
    </row>
    <row r="343" spans="1:8" x14ac:dyDescent="0.2">
      <c r="A343">
        <v>20309070140</v>
      </c>
      <c r="B343" t="s">
        <v>431</v>
      </c>
      <c r="C343">
        <v>44</v>
      </c>
      <c r="D343">
        <v>20</v>
      </c>
      <c r="E343">
        <v>35.200000000000003</v>
      </c>
      <c r="F343" t="s">
        <v>78</v>
      </c>
      <c r="G343" t="s">
        <v>79</v>
      </c>
      <c r="H343" t="str">
        <f>IF(COUNTIF(Sheet1!$A:$A,TEXT(A343,"0"))+COUNTIF(Sheet1!$A:$A,A343)&gt;0,"موجود","غير موجود")</f>
        <v>غير موجود</v>
      </c>
    </row>
    <row r="344" spans="1:8" x14ac:dyDescent="0.2">
      <c r="A344">
        <v>20309070141</v>
      </c>
      <c r="B344" t="s">
        <v>432</v>
      </c>
      <c r="C344">
        <v>44</v>
      </c>
      <c r="D344">
        <v>20</v>
      </c>
      <c r="E344">
        <v>35.200000000000003</v>
      </c>
      <c r="F344" t="s">
        <v>78</v>
      </c>
      <c r="G344" t="s">
        <v>79</v>
      </c>
      <c r="H344" t="str">
        <f>IF(COUNTIF(Sheet1!$A:$A,TEXT(A344,"0"))+COUNTIF(Sheet1!$A:$A,A344)&gt;0,"موجود","غير موجود")</f>
        <v>موجود</v>
      </c>
    </row>
    <row r="345" spans="1:8" x14ac:dyDescent="0.2">
      <c r="A345">
        <v>20309070142</v>
      </c>
      <c r="B345" t="s">
        <v>433</v>
      </c>
      <c r="C345">
        <v>39</v>
      </c>
      <c r="D345">
        <v>20</v>
      </c>
      <c r="E345">
        <v>31.2</v>
      </c>
      <c r="F345" t="s">
        <v>78</v>
      </c>
      <c r="G345" t="s">
        <v>79</v>
      </c>
      <c r="H345" t="str">
        <f>IF(COUNTIF(Sheet1!$A:$A,TEXT(A345,"0"))+COUNTIF(Sheet1!$A:$A,A345)&gt;0,"موجود","غير موجود")</f>
        <v>غير موجود</v>
      </c>
    </row>
    <row r="346" spans="1:8" x14ac:dyDescent="0.2">
      <c r="A346">
        <v>20309070143</v>
      </c>
      <c r="B346" t="s">
        <v>434</v>
      </c>
      <c r="C346">
        <v>39</v>
      </c>
      <c r="D346">
        <v>20</v>
      </c>
      <c r="E346">
        <v>31.2</v>
      </c>
      <c r="F346" t="s">
        <v>78</v>
      </c>
      <c r="G346" t="s">
        <v>79</v>
      </c>
      <c r="H346" t="str">
        <f>IF(COUNTIF(Sheet1!$A:$A,TEXT(A346,"0"))+COUNTIF(Sheet1!$A:$A,A346)&gt;0,"موجود","غير موجود")</f>
        <v>غير موجود</v>
      </c>
    </row>
    <row r="347" spans="1:8" x14ac:dyDescent="0.2">
      <c r="A347">
        <v>20309070144</v>
      </c>
      <c r="B347" t="s">
        <v>435</v>
      </c>
      <c r="C347">
        <v>39</v>
      </c>
      <c r="D347">
        <v>20</v>
      </c>
      <c r="E347">
        <v>31.2</v>
      </c>
      <c r="F347" t="s">
        <v>78</v>
      </c>
      <c r="G347" t="s">
        <v>79</v>
      </c>
      <c r="H347" t="str">
        <f>IF(COUNTIF(Sheet1!$A:$A,TEXT(A347,"0"))+COUNTIF(Sheet1!$A:$A,A347)&gt;0,"موجود","غير موجود")</f>
        <v>موجود</v>
      </c>
    </row>
    <row r="348" spans="1:8" x14ac:dyDescent="0.2">
      <c r="A348">
        <v>20309070145</v>
      </c>
      <c r="B348" t="s">
        <v>436</v>
      </c>
      <c r="C348">
        <v>39</v>
      </c>
      <c r="D348">
        <v>20</v>
      </c>
      <c r="E348">
        <v>31.2</v>
      </c>
      <c r="F348" t="s">
        <v>78</v>
      </c>
      <c r="G348" t="s">
        <v>79</v>
      </c>
      <c r="H348" t="str">
        <f>IF(COUNTIF(Sheet1!$A:$A,TEXT(A348,"0"))+COUNTIF(Sheet1!$A:$A,A348)&gt;0,"موجود","غير موجود")</f>
        <v>غير موجود</v>
      </c>
    </row>
    <row r="349" spans="1:8" x14ac:dyDescent="0.2">
      <c r="A349">
        <v>20309070146</v>
      </c>
      <c r="B349" t="s">
        <v>437</v>
      </c>
      <c r="C349">
        <v>37.700000000000003</v>
      </c>
      <c r="D349">
        <v>20</v>
      </c>
      <c r="E349">
        <v>30.160000000000004</v>
      </c>
      <c r="F349" t="s">
        <v>78</v>
      </c>
      <c r="G349" t="s">
        <v>79</v>
      </c>
      <c r="H349" t="str">
        <f>IF(COUNTIF(Sheet1!$A:$A,TEXT(A349,"0"))+COUNTIF(Sheet1!$A:$A,A349)&gt;0,"موجود","غير موجود")</f>
        <v>غير موجود</v>
      </c>
    </row>
    <row r="350" spans="1:8" x14ac:dyDescent="0.2">
      <c r="A350">
        <v>20309070147</v>
      </c>
      <c r="B350" t="s">
        <v>438</v>
      </c>
      <c r="C350">
        <v>44</v>
      </c>
      <c r="D350">
        <v>20</v>
      </c>
      <c r="E350">
        <v>35.200000000000003</v>
      </c>
      <c r="F350" t="s">
        <v>78</v>
      </c>
      <c r="G350" t="s">
        <v>79</v>
      </c>
      <c r="H350" t="str">
        <f>IF(COUNTIF(Sheet1!$A:$A,TEXT(A350,"0"))+COUNTIF(Sheet1!$A:$A,A350)&gt;0,"موجود","غير موجود")</f>
        <v>غير موجود</v>
      </c>
    </row>
    <row r="351" spans="1:8" x14ac:dyDescent="0.2">
      <c r="A351">
        <v>20309070148</v>
      </c>
      <c r="B351" t="s">
        <v>439</v>
      </c>
      <c r="C351">
        <v>44</v>
      </c>
      <c r="D351">
        <v>20</v>
      </c>
      <c r="E351">
        <v>35.200000000000003</v>
      </c>
      <c r="F351" t="s">
        <v>78</v>
      </c>
      <c r="G351" t="s">
        <v>79</v>
      </c>
      <c r="H351" t="str">
        <f>IF(COUNTIF(Sheet1!$A:$A,TEXT(A351,"0"))+COUNTIF(Sheet1!$A:$A,A351)&gt;0,"موجود","غير موجود")</f>
        <v>غير موجود</v>
      </c>
    </row>
    <row r="352" spans="1:8" x14ac:dyDescent="0.2">
      <c r="A352">
        <v>20309502883</v>
      </c>
      <c r="B352" t="s">
        <v>440</v>
      </c>
      <c r="C352">
        <v>12</v>
      </c>
      <c r="D352">
        <v>20</v>
      </c>
      <c r="E352">
        <v>9.6</v>
      </c>
      <c r="F352" t="s">
        <v>78</v>
      </c>
      <c r="G352" t="s">
        <v>79</v>
      </c>
      <c r="H352" t="str">
        <f>IF(COUNTIF(Sheet1!$A:$A,TEXT(A352,"0"))+COUNTIF(Sheet1!$A:$A,A352)&gt;0,"موجود","غير موجود")</f>
        <v>غير موجود</v>
      </c>
    </row>
    <row r="353" spans="1:8" x14ac:dyDescent="0.2">
      <c r="A353">
        <v>20309503529</v>
      </c>
      <c r="B353" t="s">
        <v>441</v>
      </c>
      <c r="C353">
        <v>39</v>
      </c>
      <c r="D353">
        <v>20</v>
      </c>
      <c r="E353">
        <v>31.2</v>
      </c>
      <c r="F353" t="s">
        <v>78</v>
      </c>
      <c r="G353" t="s">
        <v>79</v>
      </c>
      <c r="H353" t="str">
        <f>IF(COUNTIF(Sheet1!$A:$A,TEXT(A353,"0"))+COUNTIF(Sheet1!$A:$A,A353)&gt;0,"موجود","غير موجود")</f>
        <v>غير موجود</v>
      </c>
    </row>
    <row r="354" spans="1:8" x14ac:dyDescent="0.2">
      <c r="A354">
        <v>20309503530</v>
      </c>
      <c r="B354" t="s">
        <v>442</v>
      </c>
      <c r="C354">
        <v>37</v>
      </c>
      <c r="D354">
        <v>20</v>
      </c>
      <c r="E354">
        <v>29.6</v>
      </c>
      <c r="F354" t="s">
        <v>78</v>
      </c>
      <c r="G354" t="s">
        <v>79</v>
      </c>
      <c r="H354" t="str">
        <f>IF(COUNTIF(Sheet1!$A:$A,TEXT(A354,"0"))+COUNTIF(Sheet1!$A:$A,A354)&gt;0,"موجود","غير موجود")</f>
        <v>غير موجود</v>
      </c>
    </row>
    <row r="355" spans="1:8" x14ac:dyDescent="0.2">
      <c r="A355">
        <v>20309503531</v>
      </c>
      <c r="B355" t="s">
        <v>443</v>
      </c>
      <c r="C355">
        <v>37</v>
      </c>
      <c r="D355">
        <v>20</v>
      </c>
      <c r="E355">
        <v>29.6</v>
      </c>
      <c r="F355" t="s">
        <v>78</v>
      </c>
      <c r="G355" t="s">
        <v>79</v>
      </c>
      <c r="H355" t="str">
        <f>IF(COUNTIF(Sheet1!$A:$A,TEXT(A355,"0"))+COUNTIF(Sheet1!$A:$A,A355)&gt;0,"موجود","غير موجود")</f>
        <v>غير موجود</v>
      </c>
    </row>
    <row r="356" spans="1:8" x14ac:dyDescent="0.2">
      <c r="A356">
        <v>20309503532</v>
      </c>
      <c r="B356" t="s">
        <v>444</v>
      </c>
      <c r="C356">
        <v>37</v>
      </c>
      <c r="D356">
        <v>20</v>
      </c>
      <c r="E356">
        <v>29.6</v>
      </c>
      <c r="F356" t="s">
        <v>78</v>
      </c>
      <c r="G356" t="s">
        <v>79</v>
      </c>
      <c r="H356" t="str">
        <f>IF(COUNTIF(Sheet1!$A:$A,TEXT(A356,"0"))+COUNTIF(Sheet1!$A:$A,A356)&gt;0,"موجود","غير موجود")</f>
        <v>غير موجود</v>
      </c>
    </row>
    <row r="357" spans="1:8" x14ac:dyDescent="0.2">
      <c r="A357">
        <v>20309503533</v>
      </c>
      <c r="B357" t="s">
        <v>445</v>
      </c>
      <c r="C357">
        <v>37</v>
      </c>
      <c r="D357">
        <v>20</v>
      </c>
      <c r="E357">
        <v>29.6</v>
      </c>
      <c r="F357" t="s">
        <v>78</v>
      </c>
      <c r="G357" t="s">
        <v>79</v>
      </c>
      <c r="H357" t="str">
        <f>IF(COUNTIF(Sheet1!$A:$A,TEXT(A357,"0"))+COUNTIF(Sheet1!$A:$A,A357)&gt;0,"موجود","غير موجود")</f>
        <v>غير موجود</v>
      </c>
    </row>
    <row r="358" spans="1:8" x14ac:dyDescent="0.2">
      <c r="A358">
        <v>20309503534</v>
      </c>
      <c r="B358" t="s">
        <v>446</v>
      </c>
      <c r="C358">
        <v>39</v>
      </c>
      <c r="D358">
        <v>20</v>
      </c>
      <c r="E358">
        <v>31.2</v>
      </c>
      <c r="F358" t="s">
        <v>78</v>
      </c>
      <c r="G358" t="s">
        <v>79</v>
      </c>
      <c r="H358" t="str">
        <f>IF(COUNTIF(Sheet1!$A:$A,TEXT(A358,"0"))+COUNTIF(Sheet1!$A:$A,A358)&gt;0,"موجود","غير موجود")</f>
        <v>غير موجود</v>
      </c>
    </row>
    <row r="359" spans="1:8" x14ac:dyDescent="0.2">
      <c r="A359">
        <v>20309503535</v>
      </c>
      <c r="B359" t="s">
        <v>447</v>
      </c>
      <c r="C359">
        <v>39</v>
      </c>
      <c r="D359">
        <v>20</v>
      </c>
      <c r="E359">
        <v>31.2</v>
      </c>
      <c r="F359" t="s">
        <v>78</v>
      </c>
      <c r="G359" t="s">
        <v>79</v>
      </c>
      <c r="H359" t="str">
        <f>IF(COUNTIF(Sheet1!$A:$A,TEXT(A359,"0"))+COUNTIF(Sheet1!$A:$A,A359)&gt;0,"موجود","غير موجود")</f>
        <v>غير موجود</v>
      </c>
    </row>
    <row r="360" spans="1:8" x14ac:dyDescent="0.2">
      <c r="A360">
        <v>20309503536</v>
      </c>
      <c r="B360" t="s">
        <v>448</v>
      </c>
      <c r="C360">
        <v>13</v>
      </c>
      <c r="D360">
        <v>20</v>
      </c>
      <c r="E360">
        <v>10.4</v>
      </c>
      <c r="F360" t="s">
        <v>78</v>
      </c>
      <c r="G360" t="s">
        <v>79</v>
      </c>
      <c r="H360" t="str">
        <f>IF(COUNTIF(Sheet1!$A:$A,TEXT(A360,"0"))+COUNTIF(Sheet1!$A:$A,A360)&gt;0,"موجود","غير موجود")</f>
        <v>غير موجود</v>
      </c>
    </row>
    <row r="361" spans="1:8" x14ac:dyDescent="0.2">
      <c r="A361">
        <v>20309503537</v>
      </c>
      <c r="B361" t="s">
        <v>449</v>
      </c>
      <c r="C361">
        <v>13</v>
      </c>
      <c r="D361">
        <v>20</v>
      </c>
      <c r="E361">
        <v>10.4</v>
      </c>
      <c r="F361" t="s">
        <v>78</v>
      </c>
      <c r="G361" t="s">
        <v>79</v>
      </c>
      <c r="H361" t="str">
        <f>IF(COUNTIF(Sheet1!$A:$A,TEXT(A361,"0"))+COUNTIF(Sheet1!$A:$A,A361)&gt;0,"موجود","غير موجود")</f>
        <v>غير موجود</v>
      </c>
    </row>
    <row r="362" spans="1:8" x14ac:dyDescent="0.2">
      <c r="A362">
        <v>20309503538</v>
      </c>
      <c r="B362" t="s">
        <v>450</v>
      </c>
      <c r="C362">
        <v>13</v>
      </c>
      <c r="D362">
        <v>20</v>
      </c>
      <c r="E362">
        <v>10.4</v>
      </c>
      <c r="F362" t="s">
        <v>78</v>
      </c>
      <c r="G362" t="s">
        <v>79</v>
      </c>
      <c r="H362" t="str">
        <f>IF(COUNTIF(Sheet1!$A:$A,TEXT(A362,"0"))+COUNTIF(Sheet1!$A:$A,A362)&gt;0,"موجود","غير موجود")</f>
        <v>غير موجود</v>
      </c>
    </row>
    <row r="363" spans="1:8" x14ac:dyDescent="0.2">
      <c r="A363">
        <v>20309503539</v>
      </c>
      <c r="B363" t="s">
        <v>451</v>
      </c>
      <c r="C363">
        <v>26</v>
      </c>
      <c r="D363">
        <v>20</v>
      </c>
      <c r="E363">
        <v>20.8</v>
      </c>
      <c r="F363" t="s">
        <v>78</v>
      </c>
      <c r="G363" t="s">
        <v>79</v>
      </c>
      <c r="H363" t="str">
        <f>IF(COUNTIF(Sheet1!$A:$A,TEXT(A363,"0"))+COUNTIF(Sheet1!$A:$A,A363)&gt;0,"موجود","غير موجود")</f>
        <v>غير موجود</v>
      </c>
    </row>
    <row r="364" spans="1:8" x14ac:dyDescent="0.2">
      <c r="A364">
        <v>20309503540</v>
      </c>
      <c r="B364" t="s">
        <v>452</v>
      </c>
      <c r="C364">
        <v>17</v>
      </c>
      <c r="D364">
        <v>20</v>
      </c>
      <c r="E364">
        <v>13.6</v>
      </c>
      <c r="F364" t="s">
        <v>78</v>
      </c>
      <c r="G364" t="s">
        <v>79</v>
      </c>
      <c r="H364" t="str">
        <f>IF(COUNTIF(Sheet1!$A:$A,TEXT(A364,"0"))+COUNTIF(Sheet1!$A:$A,A364)&gt;0,"موجود","غير موجود")</f>
        <v>غير موجود</v>
      </c>
    </row>
    <row r="365" spans="1:8" x14ac:dyDescent="0.2">
      <c r="A365">
        <v>20309503541</v>
      </c>
      <c r="B365" t="s">
        <v>453</v>
      </c>
      <c r="C365">
        <v>13</v>
      </c>
      <c r="D365">
        <v>20</v>
      </c>
      <c r="E365">
        <v>10.4</v>
      </c>
      <c r="F365" t="s">
        <v>78</v>
      </c>
      <c r="G365" t="s">
        <v>79</v>
      </c>
      <c r="H365" t="str">
        <f>IF(COUNTIF(Sheet1!$A:$A,TEXT(A365,"0"))+COUNTIF(Sheet1!$A:$A,A365)&gt;0,"موجود","غير موجود")</f>
        <v>غير موجود</v>
      </c>
    </row>
    <row r="366" spans="1:8" x14ac:dyDescent="0.2">
      <c r="A366">
        <v>20309503542</v>
      </c>
      <c r="B366" t="s">
        <v>454</v>
      </c>
      <c r="C366">
        <v>23</v>
      </c>
      <c r="D366">
        <v>20</v>
      </c>
      <c r="E366">
        <v>18.399999999999999</v>
      </c>
      <c r="F366" t="s">
        <v>78</v>
      </c>
      <c r="G366" t="s">
        <v>79</v>
      </c>
      <c r="H366" t="str">
        <f>IF(COUNTIF(Sheet1!$A:$A,TEXT(A366,"0"))+COUNTIF(Sheet1!$A:$A,A366)&gt;0,"موجود","غير موجود")</f>
        <v>غير موجود</v>
      </c>
    </row>
    <row r="367" spans="1:8" x14ac:dyDescent="0.2">
      <c r="A367">
        <v>20309503543</v>
      </c>
      <c r="B367" t="s">
        <v>455</v>
      </c>
      <c r="C367">
        <v>17</v>
      </c>
      <c r="D367">
        <v>20</v>
      </c>
      <c r="E367">
        <v>13.6</v>
      </c>
      <c r="F367" t="s">
        <v>78</v>
      </c>
      <c r="G367" t="s">
        <v>79</v>
      </c>
      <c r="H367" t="str">
        <f>IF(COUNTIF(Sheet1!$A:$A,TEXT(A367,"0"))+COUNTIF(Sheet1!$A:$A,A367)&gt;0,"موجود","غير موجود")</f>
        <v>غير موجود</v>
      </c>
    </row>
    <row r="368" spans="1:8" x14ac:dyDescent="0.2">
      <c r="A368">
        <v>20309503550</v>
      </c>
      <c r="B368" t="s">
        <v>456</v>
      </c>
      <c r="C368">
        <v>40</v>
      </c>
      <c r="D368">
        <v>20</v>
      </c>
      <c r="E368">
        <v>32</v>
      </c>
      <c r="F368" t="s">
        <v>78</v>
      </c>
      <c r="G368" t="s">
        <v>79</v>
      </c>
      <c r="H368" t="str">
        <f>IF(COUNTIF(Sheet1!$A:$A,TEXT(A368,"0"))+COUNTIF(Sheet1!$A:$A,A368)&gt;0,"موجود","غير موجود")</f>
        <v>موجود</v>
      </c>
    </row>
    <row r="369" spans="1:8" x14ac:dyDescent="0.2">
      <c r="A369">
        <v>20309503554</v>
      </c>
      <c r="B369" t="s">
        <v>457</v>
      </c>
      <c r="C369">
        <v>55</v>
      </c>
      <c r="D369">
        <v>20</v>
      </c>
      <c r="E369">
        <v>44</v>
      </c>
      <c r="F369" t="s">
        <v>78</v>
      </c>
      <c r="G369" t="s">
        <v>79</v>
      </c>
      <c r="H369" t="str">
        <f>IF(COUNTIF(Sheet1!$A:$A,TEXT(A369,"0"))+COUNTIF(Sheet1!$A:$A,A369)&gt;0,"موجود","غير موجود")</f>
        <v>موجود</v>
      </c>
    </row>
    <row r="370" spans="1:8" x14ac:dyDescent="0.2">
      <c r="A370">
        <v>20309503555</v>
      </c>
      <c r="B370" t="s">
        <v>458</v>
      </c>
      <c r="C370">
        <v>20</v>
      </c>
      <c r="D370">
        <v>20</v>
      </c>
      <c r="E370">
        <v>16</v>
      </c>
      <c r="F370" t="s">
        <v>78</v>
      </c>
      <c r="G370" t="s">
        <v>79</v>
      </c>
      <c r="H370" t="str">
        <f>IF(COUNTIF(Sheet1!$A:$A,TEXT(A370,"0"))+COUNTIF(Sheet1!$A:$A,A370)&gt;0,"موجود","غير موجود")</f>
        <v>موجود</v>
      </c>
    </row>
    <row r="371" spans="1:8" x14ac:dyDescent="0.2">
      <c r="A371">
        <v>20309503506</v>
      </c>
      <c r="B371" t="s">
        <v>459</v>
      </c>
      <c r="C371">
        <v>43.26</v>
      </c>
      <c r="D371">
        <v>20</v>
      </c>
      <c r="E371">
        <v>34.607999999999997</v>
      </c>
      <c r="F371" t="s">
        <v>78</v>
      </c>
      <c r="G371" t="s">
        <v>79</v>
      </c>
      <c r="H371" t="str">
        <f>IF(COUNTIF(Sheet1!$A:$A,TEXT(A371,"0"))+COUNTIF(Sheet1!$A:$A,A371)&gt;0,"موجود","غير موجود")</f>
        <v>موجود</v>
      </c>
    </row>
    <row r="372" spans="1:8" x14ac:dyDescent="0.2">
      <c r="A372">
        <v>20309503507</v>
      </c>
      <c r="B372" t="s">
        <v>460</v>
      </c>
      <c r="C372">
        <v>37.17</v>
      </c>
      <c r="D372">
        <v>20</v>
      </c>
      <c r="E372">
        <v>29.736000000000001</v>
      </c>
      <c r="F372" t="s">
        <v>78</v>
      </c>
      <c r="G372" t="s">
        <v>79</v>
      </c>
      <c r="H372" t="str">
        <f>IF(COUNTIF(Sheet1!$A:$A,TEXT(A372,"0"))+COUNTIF(Sheet1!$A:$A,A372)&gt;0,"موجود","غير موجود")</f>
        <v>غير موجود</v>
      </c>
    </row>
    <row r="373" spans="1:8" x14ac:dyDescent="0.2">
      <c r="A373">
        <v>20309503508</v>
      </c>
      <c r="B373" t="s">
        <v>461</v>
      </c>
      <c r="C373">
        <v>47.61</v>
      </c>
      <c r="D373">
        <v>20</v>
      </c>
      <c r="E373">
        <v>38.088000000000001</v>
      </c>
      <c r="F373" t="s">
        <v>78</v>
      </c>
      <c r="G373" t="s">
        <v>79</v>
      </c>
      <c r="H373" t="str">
        <f>IF(COUNTIF(Sheet1!$A:$A,TEXT(A373,"0"))+COUNTIF(Sheet1!$A:$A,A373)&gt;0,"موجود","غير موجود")</f>
        <v>موجود</v>
      </c>
    </row>
    <row r="374" spans="1:8" x14ac:dyDescent="0.2">
      <c r="A374">
        <v>20309503509</v>
      </c>
      <c r="B374" t="s">
        <v>462</v>
      </c>
      <c r="C374">
        <v>56.3</v>
      </c>
      <c r="D374">
        <v>20</v>
      </c>
      <c r="E374">
        <v>45.04</v>
      </c>
      <c r="F374" t="s">
        <v>78</v>
      </c>
      <c r="G374" t="s">
        <v>79</v>
      </c>
      <c r="H374" t="str">
        <f>IF(COUNTIF(Sheet1!$A:$A,TEXT(A374,"0"))+COUNTIF(Sheet1!$A:$A,A374)&gt;0,"موجود","غير موجود")</f>
        <v>موجود</v>
      </c>
    </row>
    <row r="375" spans="1:8" x14ac:dyDescent="0.2">
      <c r="A375">
        <v>20309503510</v>
      </c>
      <c r="B375" t="s">
        <v>463</v>
      </c>
      <c r="C375">
        <v>43.26</v>
      </c>
      <c r="D375">
        <v>20</v>
      </c>
      <c r="E375">
        <v>34.607999999999997</v>
      </c>
      <c r="F375" t="s">
        <v>78</v>
      </c>
      <c r="G375" t="s">
        <v>79</v>
      </c>
      <c r="H375" t="str">
        <f>IF(COUNTIF(Sheet1!$A:$A,TEXT(A375,"0"))+COUNTIF(Sheet1!$A:$A,A375)&gt;0,"موجود","غير موجود")</f>
        <v>موجود</v>
      </c>
    </row>
    <row r="376" spans="1:8" x14ac:dyDescent="0.2">
      <c r="A376">
        <v>20309503511</v>
      </c>
      <c r="B376" t="s">
        <v>464</v>
      </c>
      <c r="C376">
        <v>37.17</v>
      </c>
      <c r="D376">
        <v>20</v>
      </c>
      <c r="E376">
        <v>29.736000000000001</v>
      </c>
      <c r="F376" t="s">
        <v>78</v>
      </c>
      <c r="G376" t="s">
        <v>79</v>
      </c>
      <c r="H376" t="str">
        <f>IF(COUNTIF(Sheet1!$A:$A,TEXT(A376,"0"))+COUNTIF(Sheet1!$A:$A,A376)&gt;0,"موجود","غير موجود")</f>
        <v>غير موجود</v>
      </c>
    </row>
    <row r="377" spans="1:8" x14ac:dyDescent="0.2">
      <c r="A377">
        <v>20309503512</v>
      </c>
      <c r="B377" t="s">
        <v>465</v>
      </c>
      <c r="C377">
        <v>47.61</v>
      </c>
      <c r="D377">
        <v>20</v>
      </c>
      <c r="E377">
        <v>38.088000000000001</v>
      </c>
      <c r="F377" t="s">
        <v>78</v>
      </c>
      <c r="G377" t="s">
        <v>79</v>
      </c>
      <c r="H377" t="str">
        <f>IF(COUNTIF(Sheet1!$A:$A,TEXT(A377,"0"))+COUNTIF(Sheet1!$A:$A,A377)&gt;0,"موجود","غير موجود")</f>
        <v>غير موجود</v>
      </c>
    </row>
    <row r="378" spans="1:8" x14ac:dyDescent="0.2">
      <c r="A378">
        <v>20309503513</v>
      </c>
      <c r="B378" t="s">
        <v>466</v>
      </c>
      <c r="C378">
        <v>47.61</v>
      </c>
      <c r="D378">
        <v>20</v>
      </c>
      <c r="E378">
        <v>38.088000000000001</v>
      </c>
      <c r="F378" t="s">
        <v>78</v>
      </c>
      <c r="G378" t="s">
        <v>79</v>
      </c>
      <c r="H378" t="str">
        <f>IF(COUNTIF(Sheet1!$A:$A,TEXT(A378,"0"))+COUNTIF(Sheet1!$A:$A,A378)&gt;0,"موجود","غير موجود")</f>
        <v>غير موجود</v>
      </c>
    </row>
    <row r="379" spans="1:8" x14ac:dyDescent="0.2">
      <c r="A379">
        <v>20309503514</v>
      </c>
      <c r="B379" t="s">
        <v>467</v>
      </c>
      <c r="C379">
        <v>56.3</v>
      </c>
      <c r="D379">
        <v>20</v>
      </c>
      <c r="E379">
        <v>45.04</v>
      </c>
      <c r="F379" t="s">
        <v>78</v>
      </c>
      <c r="G379" t="s">
        <v>79</v>
      </c>
      <c r="H379" t="str">
        <f>IF(COUNTIF(Sheet1!$A:$A,TEXT(A379,"0"))+COUNTIF(Sheet1!$A:$A,A379)&gt;0,"موجود","غير موجود")</f>
        <v>موجود</v>
      </c>
    </row>
    <row r="380" spans="1:8" x14ac:dyDescent="0.2">
      <c r="A380">
        <v>20309503515</v>
      </c>
      <c r="B380" t="s">
        <v>468</v>
      </c>
      <c r="C380">
        <v>65</v>
      </c>
      <c r="D380">
        <v>20</v>
      </c>
      <c r="E380">
        <v>52</v>
      </c>
      <c r="F380" t="s">
        <v>78</v>
      </c>
      <c r="G380" t="s">
        <v>79</v>
      </c>
      <c r="H380" t="str">
        <f>IF(COUNTIF(Sheet1!$A:$A,TEXT(A380,"0"))+COUNTIF(Sheet1!$A:$A,A380)&gt;0,"موجود","غير موجود")</f>
        <v>موجود</v>
      </c>
    </row>
    <row r="381" spans="1:8" x14ac:dyDescent="0.2">
      <c r="A381">
        <v>20309503516</v>
      </c>
      <c r="B381" t="s">
        <v>469</v>
      </c>
      <c r="C381">
        <v>65</v>
      </c>
      <c r="D381">
        <v>20</v>
      </c>
      <c r="E381">
        <v>52</v>
      </c>
      <c r="F381" t="s">
        <v>78</v>
      </c>
      <c r="G381" t="s">
        <v>79</v>
      </c>
      <c r="H381" t="str">
        <f>IF(COUNTIF(Sheet1!$A:$A,TEXT(A381,"0"))+COUNTIF(Sheet1!$A:$A,A381)&gt;0,"موجود","غير موجود")</f>
        <v>موجود</v>
      </c>
    </row>
    <row r="382" spans="1:8" x14ac:dyDescent="0.2">
      <c r="A382">
        <v>20309503517</v>
      </c>
      <c r="B382" t="s">
        <v>470</v>
      </c>
      <c r="C382">
        <v>65</v>
      </c>
      <c r="D382">
        <v>20</v>
      </c>
      <c r="E382">
        <v>52</v>
      </c>
      <c r="F382" t="s">
        <v>78</v>
      </c>
      <c r="G382" t="s">
        <v>79</v>
      </c>
      <c r="H382" t="str">
        <f>IF(COUNTIF(Sheet1!$A:$A,TEXT(A382,"0"))+COUNTIF(Sheet1!$A:$A,A382)&gt;0,"موجود","غير موجود")</f>
        <v>موجود</v>
      </c>
    </row>
    <row r="383" spans="1:8" x14ac:dyDescent="0.2">
      <c r="A383">
        <v>20309503518</v>
      </c>
      <c r="B383" t="s">
        <v>471</v>
      </c>
      <c r="C383">
        <v>65</v>
      </c>
      <c r="D383">
        <v>20</v>
      </c>
      <c r="E383">
        <v>52</v>
      </c>
      <c r="F383" t="s">
        <v>78</v>
      </c>
      <c r="G383" t="s">
        <v>79</v>
      </c>
      <c r="H383" t="str">
        <f>IF(COUNTIF(Sheet1!$A:$A,TEXT(A383,"0"))+COUNTIF(Sheet1!$A:$A,A383)&gt;0,"موجود","غير موجود")</f>
        <v>موجود</v>
      </c>
    </row>
    <row r="384" spans="1:8" x14ac:dyDescent="0.2">
      <c r="A384">
        <v>20309503523</v>
      </c>
      <c r="B384" t="s">
        <v>472</v>
      </c>
      <c r="C384">
        <v>47.61</v>
      </c>
      <c r="D384">
        <v>20</v>
      </c>
      <c r="E384">
        <v>38.088000000000001</v>
      </c>
      <c r="F384" t="s">
        <v>78</v>
      </c>
      <c r="G384" t="s">
        <v>79</v>
      </c>
      <c r="H384" t="str">
        <f>IF(COUNTIF(Sheet1!$A:$A,TEXT(A384,"0"))+COUNTIF(Sheet1!$A:$A,A384)&gt;0,"موجود","غير موجود")</f>
        <v>غير موجود</v>
      </c>
    </row>
    <row r="385" spans="1:8" x14ac:dyDescent="0.2">
      <c r="A385">
        <v>20309030148</v>
      </c>
      <c r="B385" t="s">
        <v>473</v>
      </c>
      <c r="C385">
        <v>33</v>
      </c>
      <c r="D385">
        <v>15</v>
      </c>
      <c r="E385">
        <v>28.05</v>
      </c>
      <c r="F385" t="s">
        <v>78</v>
      </c>
      <c r="G385" t="s">
        <v>79</v>
      </c>
      <c r="H385" t="str">
        <f>IF(COUNTIF(Sheet1!$A:$A,TEXT(A385,"0"))+COUNTIF(Sheet1!$A:$A,A385)&gt;0,"موجود","غير موجود")</f>
        <v>غير موجود</v>
      </c>
    </row>
    <row r="386" spans="1:8" x14ac:dyDescent="0.2">
      <c r="A386">
        <v>20309060316</v>
      </c>
      <c r="B386" t="s">
        <v>474</v>
      </c>
      <c r="C386">
        <v>33</v>
      </c>
      <c r="D386">
        <v>15</v>
      </c>
      <c r="E386">
        <v>28.05</v>
      </c>
      <c r="F386" t="s">
        <v>78</v>
      </c>
      <c r="G386" t="s">
        <v>79</v>
      </c>
      <c r="H386" t="str">
        <f>IF(COUNTIF(Sheet1!$A:$A,TEXT(A386,"0"))+COUNTIF(Sheet1!$A:$A,A386)&gt;0,"موجود","غير موجود")</f>
        <v>موجود</v>
      </c>
    </row>
    <row r="387" spans="1:8" x14ac:dyDescent="0.2">
      <c r="A387">
        <v>20309501743</v>
      </c>
      <c r="B387" t="s">
        <v>475</v>
      </c>
      <c r="C387">
        <v>33</v>
      </c>
      <c r="D387">
        <v>15</v>
      </c>
      <c r="E387">
        <v>28.05</v>
      </c>
      <c r="F387" t="s">
        <v>78</v>
      </c>
      <c r="G387" t="s">
        <v>79</v>
      </c>
      <c r="H387" t="str">
        <f>IF(COUNTIF(Sheet1!$A:$A,TEXT(A387,"0"))+COUNTIF(Sheet1!$A:$A,A387)&gt;0,"موجود","غير موجود")</f>
        <v>موجود</v>
      </c>
    </row>
    <row r="388" spans="1:8" x14ac:dyDescent="0.2">
      <c r="A388">
        <v>20309501745</v>
      </c>
      <c r="B388" t="s">
        <v>476</v>
      </c>
      <c r="C388">
        <v>33</v>
      </c>
      <c r="D388">
        <v>15</v>
      </c>
      <c r="E388">
        <v>28.05</v>
      </c>
      <c r="F388" t="s">
        <v>78</v>
      </c>
      <c r="G388" t="s">
        <v>79</v>
      </c>
      <c r="H388" t="str">
        <f>IF(COUNTIF(Sheet1!$A:$A,TEXT(A388,"0"))+COUNTIF(Sheet1!$A:$A,A388)&gt;0,"موجود","غير موجود")</f>
        <v>موجود</v>
      </c>
    </row>
    <row r="389" spans="1:8" x14ac:dyDescent="0.2">
      <c r="A389">
        <v>20309501746</v>
      </c>
      <c r="B389" t="s">
        <v>477</v>
      </c>
      <c r="C389">
        <v>33</v>
      </c>
      <c r="D389">
        <v>15</v>
      </c>
      <c r="E389">
        <v>28.05</v>
      </c>
      <c r="F389" t="s">
        <v>78</v>
      </c>
      <c r="G389" t="s">
        <v>79</v>
      </c>
      <c r="H389" t="str">
        <f>IF(COUNTIF(Sheet1!$A:$A,TEXT(A389,"0"))+COUNTIF(Sheet1!$A:$A,A389)&gt;0,"موجود","غير موجود")</f>
        <v>غير موجود</v>
      </c>
    </row>
    <row r="390" spans="1:8" x14ac:dyDescent="0.2">
      <c r="A390">
        <v>20309501747</v>
      </c>
      <c r="B390" t="s">
        <v>478</v>
      </c>
      <c r="C390">
        <v>33</v>
      </c>
      <c r="D390">
        <v>15</v>
      </c>
      <c r="E390">
        <v>28.05</v>
      </c>
      <c r="F390" t="s">
        <v>78</v>
      </c>
      <c r="G390" t="s">
        <v>79</v>
      </c>
      <c r="H390" t="str">
        <f>IF(COUNTIF(Sheet1!$A:$A,TEXT(A390,"0"))+COUNTIF(Sheet1!$A:$A,A390)&gt;0,"موجود","غير موجود")</f>
        <v>غير موجود</v>
      </c>
    </row>
    <row r="391" spans="1:8" x14ac:dyDescent="0.2">
      <c r="A391">
        <v>20309501748</v>
      </c>
      <c r="B391" t="s">
        <v>479</v>
      </c>
      <c r="C391">
        <v>33</v>
      </c>
      <c r="D391">
        <v>15</v>
      </c>
      <c r="E391">
        <v>28.05</v>
      </c>
      <c r="F391" t="s">
        <v>78</v>
      </c>
      <c r="G391" t="s">
        <v>79</v>
      </c>
      <c r="H391" t="str">
        <f>IF(COUNTIF(Sheet1!$A:$A,TEXT(A391,"0"))+COUNTIF(Sheet1!$A:$A,A391)&gt;0,"موجود","غير موجود")</f>
        <v>موجود</v>
      </c>
    </row>
    <row r="392" spans="1:8" x14ac:dyDescent="0.2">
      <c r="A392">
        <v>20309501749</v>
      </c>
      <c r="B392" t="s">
        <v>480</v>
      </c>
      <c r="C392">
        <v>33</v>
      </c>
      <c r="D392">
        <v>15</v>
      </c>
      <c r="E392">
        <v>28.05</v>
      </c>
      <c r="F392" t="s">
        <v>78</v>
      </c>
      <c r="G392" t="s">
        <v>79</v>
      </c>
      <c r="H392" t="str">
        <f>IF(COUNTIF(Sheet1!$A:$A,TEXT(A392,"0"))+COUNTIF(Sheet1!$A:$A,A392)&gt;0,"موجود","غير موجود")</f>
        <v>موجود</v>
      </c>
    </row>
    <row r="393" spans="1:8" x14ac:dyDescent="0.2">
      <c r="A393">
        <v>20715010534</v>
      </c>
      <c r="B393" t="s">
        <v>481</v>
      </c>
      <c r="C393">
        <v>26.52</v>
      </c>
      <c r="D393">
        <v>12.5</v>
      </c>
      <c r="E393">
        <v>22.541999999999998</v>
      </c>
      <c r="F393" t="s">
        <v>78</v>
      </c>
      <c r="G393" t="s">
        <v>83</v>
      </c>
      <c r="H393" t="str">
        <f>IF(COUNTIF(Sheet1!$A:$A,TEXT(A393,"0"))+COUNTIF(Sheet1!$A:$A,A393)&gt;0,"موجود","غير موجود")</f>
        <v>غير موجود</v>
      </c>
    </row>
    <row r="394" spans="1:8" x14ac:dyDescent="0.2">
      <c r="A394">
        <v>20715010533</v>
      </c>
      <c r="B394" t="s">
        <v>482</v>
      </c>
      <c r="C394">
        <v>26.52</v>
      </c>
      <c r="D394">
        <v>12.5</v>
      </c>
      <c r="E394">
        <v>22.541999999999998</v>
      </c>
      <c r="F394" t="s">
        <v>78</v>
      </c>
      <c r="G394" t="s">
        <v>83</v>
      </c>
      <c r="H394" t="str">
        <f>IF(COUNTIF(Sheet1!$A:$A,TEXT(A394,"0"))+COUNTIF(Sheet1!$A:$A,A394)&gt;0,"موجود","غير موجود")</f>
        <v>غير موجود</v>
      </c>
    </row>
    <row r="395" spans="1:8" x14ac:dyDescent="0.2">
      <c r="A395">
        <v>20715010532</v>
      </c>
      <c r="B395" t="s">
        <v>483</v>
      </c>
      <c r="C395">
        <v>26.52</v>
      </c>
      <c r="D395">
        <v>12.5</v>
      </c>
      <c r="E395">
        <v>22.541999999999998</v>
      </c>
      <c r="F395" t="s">
        <v>78</v>
      </c>
      <c r="G395" t="s">
        <v>83</v>
      </c>
      <c r="H395" t="str">
        <f>IF(COUNTIF(Sheet1!$A:$A,TEXT(A395,"0"))+COUNTIF(Sheet1!$A:$A,A395)&gt;0,"موجود","غير موجود")</f>
        <v>غير موجود</v>
      </c>
    </row>
    <row r="396" spans="1:8" x14ac:dyDescent="0.2">
      <c r="A396">
        <v>20715010076</v>
      </c>
      <c r="B396" t="s">
        <v>484</v>
      </c>
      <c r="C396">
        <v>81.7</v>
      </c>
      <c r="D396">
        <v>12.5</v>
      </c>
      <c r="E396">
        <v>71.487499999999997</v>
      </c>
      <c r="F396" t="s">
        <v>78</v>
      </c>
      <c r="G396" t="s">
        <v>83</v>
      </c>
      <c r="H396" t="str">
        <f>IF(COUNTIF(Sheet1!$A:$A,TEXT(A396,"0"))+COUNTIF(Sheet1!$A:$A,A396)&gt;0,"موجود","غير موجود")</f>
        <v>موجود</v>
      </c>
    </row>
    <row r="397" spans="1:8" x14ac:dyDescent="0.2">
      <c r="A397">
        <v>20715010071</v>
      </c>
      <c r="B397" t="s">
        <v>485</v>
      </c>
      <c r="C397">
        <v>81.739999999999995</v>
      </c>
      <c r="D397">
        <v>12.5</v>
      </c>
      <c r="E397">
        <v>71.522499999999994</v>
      </c>
      <c r="F397" t="s">
        <v>78</v>
      </c>
      <c r="G397" t="s">
        <v>83</v>
      </c>
      <c r="H397" t="str">
        <f>IF(COUNTIF(Sheet1!$A:$A,TEXT(A397,"0"))+COUNTIF(Sheet1!$A:$A,A397)&gt;0,"موجود","غير موجود")</f>
        <v>موجود</v>
      </c>
    </row>
    <row r="398" spans="1:8" x14ac:dyDescent="0.2">
      <c r="A398">
        <v>20715010079</v>
      </c>
      <c r="B398" t="s">
        <v>486</v>
      </c>
      <c r="C398">
        <v>78.3</v>
      </c>
      <c r="D398">
        <v>12.5</v>
      </c>
      <c r="E398">
        <v>68.512500000000003</v>
      </c>
      <c r="F398" t="s">
        <v>78</v>
      </c>
      <c r="G398" t="s">
        <v>83</v>
      </c>
      <c r="H398" t="str">
        <f>IF(COUNTIF(Sheet1!$A:$A,TEXT(A398,"0"))+COUNTIF(Sheet1!$A:$A,A398)&gt;0,"موجود","غير موجود")</f>
        <v>موجود</v>
      </c>
    </row>
    <row r="399" spans="1:8" x14ac:dyDescent="0.2">
      <c r="A399">
        <v>20715010529</v>
      </c>
      <c r="B399" t="s">
        <v>487</v>
      </c>
      <c r="C399">
        <v>101.7</v>
      </c>
      <c r="D399">
        <v>12.5</v>
      </c>
      <c r="E399">
        <v>88.987499999999997</v>
      </c>
      <c r="F399" t="s">
        <v>78</v>
      </c>
      <c r="G399" t="s">
        <v>83</v>
      </c>
      <c r="H399" t="str">
        <f>IF(COUNTIF(Sheet1!$A:$A,TEXT(A399,"0"))+COUNTIF(Sheet1!$A:$A,A399)&gt;0,"موجود","غير موجود")</f>
        <v>غير موجود</v>
      </c>
    </row>
    <row r="400" spans="1:8" x14ac:dyDescent="0.2">
      <c r="A400">
        <v>20715010530</v>
      </c>
      <c r="B400" t="s">
        <v>488</v>
      </c>
      <c r="C400">
        <v>101.7</v>
      </c>
      <c r="D400">
        <v>12.5</v>
      </c>
      <c r="E400">
        <v>88.987499999999997</v>
      </c>
      <c r="F400" t="s">
        <v>78</v>
      </c>
      <c r="G400" t="s">
        <v>83</v>
      </c>
      <c r="H400" t="str">
        <f>IF(COUNTIF(Sheet1!$A:$A,TEXT(A400,"0"))+COUNTIF(Sheet1!$A:$A,A400)&gt;0,"موجود","غير موجود")</f>
        <v>موجود</v>
      </c>
    </row>
    <row r="401" spans="1:8" x14ac:dyDescent="0.2">
      <c r="A401">
        <v>20715010531</v>
      </c>
      <c r="B401" t="s">
        <v>489</v>
      </c>
      <c r="C401">
        <v>101.7</v>
      </c>
      <c r="D401">
        <v>12.5</v>
      </c>
      <c r="E401">
        <v>88.987499999999997</v>
      </c>
      <c r="F401" t="s">
        <v>78</v>
      </c>
      <c r="G401" t="s">
        <v>83</v>
      </c>
      <c r="H401" t="str">
        <f>IF(COUNTIF(Sheet1!$A:$A,TEXT(A401,"0"))+COUNTIF(Sheet1!$A:$A,A401)&gt;0,"موجود","غير موجود")</f>
        <v>موجود</v>
      </c>
    </row>
    <row r="402" spans="1:8" x14ac:dyDescent="0.2">
      <c r="A402">
        <v>20715010536</v>
      </c>
      <c r="B402" t="s">
        <v>490</v>
      </c>
      <c r="C402">
        <v>24.4</v>
      </c>
      <c r="D402">
        <v>12.5</v>
      </c>
      <c r="E402">
        <v>21.349999999999998</v>
      </c>
      <c r="F402" t="s">
        <v>78</v>
      </c>
      <c r="G402" t="s">
        <v>83</v>
      </c>
      <c r="H402" t="str">
        <f>IF(COUNTIF(Sheet1!$A:$A,TEXT(A402,"0"))+COUNTIF(Sheet1!$A:$A,A402)&gt;0,"موجود","غير موجود")</f>
        <v>غير موجود</v>
      </c>
    </row>
    <row r="403" spans="1:8" x14ac:dyDescent="0.2">
      <c r="A403" t="s">
        <v>491</v>
      </c>
      <c r="B403" t="s">
        <v>492</v>
      </c>
      <c r="C403">
        <v>160</v>
      </c>
      <c r="D403">
        <v>40</v>
      </c>
      <c r="E403">
        <v>96</v>
      </c>
      <c r="F403" t="s">
        <v>78</v>
      </c>
      <c r="G403" t="s">
        <v>79</v>
      </c>
      <c r="H403" t="str">
        <f>IF(COUNTIF(Sheet1!$A:$A,TEXT(A403,"0"))+COUNTIF(Sheet1!$A:$A,A403)&gt;0,"موجود","غير موجود")</f>
        <v>غير موجود</v>
      </c>
    </row>
    <row r="404" spans="1:8" x14ac:dyDescent="0.2">
      <c r="A404" t="s">
        <v>493</v>
      </c>
      <c r="B404" t="s">
        <v>494</v>
      </c>
      <c r="C404">
        <v>48</v>
      </c>
      <c r="D404">
        <v>20</v>
      </c>
      <c r="E404">
        <v>38.4</v>
      </c>
      <c r="F404" t="s">
        <v>78</v>
      </c>
      <c r="G404" t="s">
        <v>79</v>
      </c>
      <c r="H404" t="str">
        <f>IF(COUNTIF(Sheet1!$A:$A,TEXT(A404,"0"))+COUNTIF(Sheet1!$A:$A,A404)&gt;0,"موجود","غير موجود")</f>
        <v>غير موجود</v>
      </c>
    </row>
    <row r="405" spans="1:8" x14ac:dyDescent="0.2">
      <c r="A405" t="s">
        <v>63</v>
      </c>
      <c r="B405" t="s">
        <v>495</v>
      </c>
      <c r="C405">
        <v>34.999994999999998</v>
      </c>
      <c r="D405">
        <v>20</v>
      </c>
      <c r="E405">
        <v>27.999995999999999</v>
      </c>
      <c r="F405" t="s">
        <v>78</v>
      </c>
      <c r="G405" t="s">
        <v>79</v>
      </c>
      <c r="H405" t="str">
        <f>IF(COUNTIF(Sheet1!$A:$A,TEXT(A405,"0"))+COUNTIF(Sheet1!$A:$A,A405)&gt;0,"موجود","غير موجود")</f>
        <v>موجود</v>
      </c>
    </row>
    <row r="406" spans="1:8" x14ac:dyDescent="0.2">
      <c r="A406" t="s">
        <v>496</v>
      </c>
      <c r="B406" t="s">
        <v>497</v>
      </c>
      <c r="C406">
        <v>65</v>
      </c>
      <c r="D406">
        <v>20</v>
      </c>
      <c r="E406">
        <v>52</v>
      </c>
      <c r="F406" t="s">
        <v>78</v>
      </c>
      <c r="G406" t="s">
        <v>79</v>
      </c>
      <c r="H406" t="str">
        <f>IF(COUNTIF(Sheet1!$A:$A,TEXT(A406,"0"))+COUNTIF(Sheet1!$A:$A,A406)&gt;0,"موجود","غير موجود")</f>
        <v>غير موجود</v>
      </c>
    </row>
    <row r="407" spans="1:8" x14ac:dyDescent="0.2">
      <c r="A407" t="s">
        <v>498</v>
      </c>
      <c r="B407" t="s">
        <v>499</v>
      </c>
      <c r="C407">
        <v>42</v>
      </c>
      <c r="D407">
        <v>20</v>
      </c>
      <c r="E407">
        <v>33.6</v>
      </c>
      <c r="F407" t="s">
        <v>78</v>
      </c>
      <c r="G407" t="s">
        <v>79</v>
      </c>
      <c r="H407" t="str">
        <f>IF(COUNTIF(Sheet1!$A:$A,TEXT(A407,"0"))+COUNTIF(Sheet1!$A:$A,A407)&gt;0,"موجود","غير موجود")</f>
        <v>غير موجود</v>
      </c>
    </row>
    <row r="408" spans="1:8" x14ac:dyDescent="0.2">
      <c r="A408" t="s">
        <v>500</v>
      </c>
      <c r="B408" t="s">
        <v>501</v>
      </c>
      <c r="C408">
        <v>30</v>
      </c>
      <c r="D408">
        <v>20</v>
      </c>
      <c r="E408">
        <v>24</v>
      </c>
      <c r="F408" t="s">
        <v>78</v>
      </c>
      <c r="G408" t="s">
        <v>79</v>
      </c>
      <c r="H408" t="str">
        <f>IF(COUNTIF(Sheet1!$A:$A,TEXT(A408,"0"))+COUNTIF(Sheet1!$A:$A,A408)&gt;0,"موجود","غير موجود")</f>
        <v>غير موجود</v>
      </c>
    </row>
    <row r="409" spans="1:8" x14ac:dyDescent="0.2">
      <c r="A409" t="s">
        <v>15</v>
      </c>
      <c r="B409" t="s">
        <v>502</v>
      </c>
      <c r="C409">
        <v>59</v>
      </c>
      <c r="D409">
        <v>20</v>
      </c>
      <c r="E409">
        <v>47.2</v>
      </c>
      <c r="F409" t="s">
        <v>78</v>
      </c>
      <c r="G409" t="s">
        <v>79</v>
      </c>
      <c r="H409" t="str">
        <f>IF(COUNTIF(Sheet1!$A:$A,TEXT(A409,"0"))+COUNTIF(Sheet1!$A:$A,A409)&gt;0,"موجود","غير موجود")</f>
        <v>موجود</v>
      </c>
    </row>
    <row r="410" spans="1:8" x14ac:dyDescent="0.2">
      <c r="A410" t="s">
        <v>503</v>
      </c>
      <c r="B410" t="s">
        <v>504</v>
      </c>
      <c r="C410">
        <v>55</v>
      </c>
      <c r="D410">
        <v>20</v>
      </c>
      <c r="E410">
        <v>44</v>
      </c>
      <c r="F410" t="s">
        <v>78</v>
      </c>
      <c r="G410" t="s">
        <v>79</v>
      </c>
      <c r="H410" t="str">
        <f>IF(COUNTIF(Sheet1!$A:$A,TEXT(A410,"0"))+COUNTIF(Sheet1!$A:$A,A410)&gt;0,"موجود","غير موجود")</f>
        <v>غير موجود</v>
      </c>
    </row>
    <row r="411" spans="1:8" x14ac:dyDescent="0.2">
      <c r="A411" t="s">
        <v>505</v>
      </c>
      <c r="B411" t="s">
        <v>506</v>
      </c>
      <c r="C411">
        <v>95</v>
      </c>
      <c r="D411">
        <v>20</v>
      </c>
      <c r="E411">
        <v>76</v>
      </c>
      <c r="F411" t="s">
        <v>78</v>
      </c>
      <c r="G411" t="s">
        <v>79</v>
      </c>
      <c r="H411" t="str">
        <f>IF(COUNTIF(Sheet1!$A:$A,TEXT(A411,"0"))+COUNTIF(Sheet1!$A:$A,A411)&gt;0,"موجود","غير موجود")</f>
        <v>غير موجود</v>
      </c>
    </row>
    <row r="412" spans="1:8" x14ac:dyDescent="0.2">
      <c r="A412" t="s">
        <v>507</v>
      </c>
      <c r="B412" t="s">
        <v>508</v>
      </c>
      <c r="C412">
        <v>110</v>
      </c>
      <c r="D412">
        <v>20</v>
      </c>
      <c r="E412">
        <v>88</v>
      </c>
      <c r="F412" t="s">
        <v>78</v>
      </c>
      <c r="G412" t="s">
        <v>79</v>
      </c>
      <c r="H412" t="str">
        <f>IF(COUNTIF(Sheet1!$A:$A,TEXT(A412,"0"))+COUNTIF(Sheet1!$A:$A,A412)&gt;0,"موجود","غير موجود")</f>
        <v>غير موجود</v>
      </c>
    </row>
    <row r="413" spans="1:8" x14ac:dyDescent="0.2">
      <c r="A413" t="s">
        <v>509</v>
      </c>
      <c r="B413" t="s">
        <v>510</v>
      </c>
      <c r="C413">
        <v>80</v>
      </c>
      <c r="D413">
        <v>20</v>
      </c>
      <c r="E413">
        <v>64</v>
      </c>
      <c r="F413" t="s">
        <v>78</v>
      </c>
      <c r="G413" t="s">
        <v>79</v>
      </c>
      <c r="H413" t="str">
        <f>IF(COUNTIF(Sheet1!$A:$A,TEXT(A413,"0"))+COUNTIF(Sheet1!$A:$A,A413)&gt;0,"موجود","غير موجود")</f>
        <v>غير موجود</v>
      </c>
    </row>
    <row r="414" spans="1:8" x14ac:dyDescent="0.2">
      <c r="A414" t="s">
        <v>64</v>
      </c>
      <c r="B414" t="s">
        <v>511</v>
      </c>
      <c r="C414">
        <v>48</v>
      </c>
      <c r="D414">
        <v>20</v>
      </c>
      <c r="E414">
        <v>38.4</v>
      </c>
      <c r="F414" t="s">
        <v>78</v>
      </c>
      <c r="G414" t="s">
        <v>79</v>
      </c>
      <c r="H414" t="str">
        <f>IF(COUNTIF(Sheet1!$A:$A,TEXT(A414,"0"))+COUNTIF(Sheet1!$A:$A,A414)&gt;0,"موجود","غير موجود")</f>
        <v>موجود</v>
      </c>
    </row>
    <row r="415" spans="1:8" x14ac:dyDescent="0.2">
      <c r="A415" t="s">
        <v>512</v>
      </c>
      <c r="B415" t="s">
        <v>513</v>
      </c>
      <c r="C415">
        <v>78</v>
      </c>
      <c r="D415">
        <v>20</v>
      </c>
      <c r="E415">
        <v>62.4</v>
      </c>
      <c r="F415" t="s">
        <v>78</v>
      </c>
      <c r="G415" t="s">
        <v>79</v>
      </c>
      <c r="H415" t="str">
        <f>IF(COUNTIF(Sheet1!$A:$A,TEXT(A415,"0"))+COUNTIF(Sheet1!$A:$A,A415)&gt;0,"موجود","غير موجود")</f>
        <v>غير موجود</v>
      </c>
    </row>
    <row r="416" spans="1:8" x14ac:dyDescent="0.2">
      <c r="A416" t="s">
        <v>514</v>
      </c>
      <c r="B416" t="s">
        <v>515</v>
      </c>
      <c r="C416">
        <v>60</v>
      </c>
      <c r="D416">
        <v>20</v>
      </c>
      <c r="E416">
        <v>48</v>
      </c>
      <c r="F416" t="s">
        <v>78</v>
      </c>
      <c r="G416" t="s">
        <v>79</v>
      </c>
      <c r="H416" t="str">
        <f>IF(COUNTIF(Sheet1!$A:$A,TEXT(A416,"0"))+COUNTIF(Sheet1!$A:$A,A416)&gt;0,"موجود","غير موجود")</f>
        <v>غير موجود</v>
      </c>
    </row>
    <row r="417" spans="1:8" x14ac:dyDescent="0.2">
      <c r="A417" t="s">
        <v>62</v>
      </c>
      <c r="B417" t="s">
        <v>516</v>
      </c>
      <c r="C417">
        <v>72</v>
      </c>
      <c r="D417">
        <v>20</v>
      </c>
      <c r="E417">
        <v>57.6</v>
      </c>
      <c r="F417" t="s">
        <v>78</v>
      </c>
      <c r="G417" t="s">
        <v>79</v>
      </c>
      <c r="H417" t="str">
        <f>IF(COUNTIF(Sheet1!$A:$A,TEXT(A417,"0"))+COUNTIF(Sheet1!$A:$A,A417)&gt;0,"موجود","غير موجود")</f>
        <v>موجود</v>
      </c>
    </row>
    <row r="418" spans="1:8" x14ac:dyDescent="0.2">
      <c r="A418" t="s">
        <v>517</v>
      </c>
      <c r="B418" t="s">
        <v>518</v>
      </c>
      <c r="C418">
        <v>115</v>
      </c>
      <c r="D418">
        <v>20</v>
      </c>
      <c r="E418">
        <v>92</v>
      </c>
      <c r="F418" t="s">
        <v>78</v>
      </c>
      <c r="G418" t="s">
        <v>79</v>
      </c>
      <c r="H418" t="str">
        <f>IF(COUNTIF(Sheet1!$A:$A,TEXT(A418,"0"))+COUNTIF(Sheet1!$A:$A,A418)&gt;0,"موجود","غير موجود")</f>
        <v>غير موجود</v>
      </c>
    </row>
    <row r="419" spans="1:8" x14ac:dyDescent="0.2">
      <c r="A419" t="s">
        <v>519</v>
      </c>
      <c r="B419" t="s">
        <v>520</v>
      </c>
      <c r="C419">
        <v>76</v>
      </c>
      <c r="D419">
        <v>20</v>
      </c>
      <c r="E419">
        <v>60.8</v>
      </c>
      <c r="F419" t="s">
        <v>78</v>
      </c>
      <c r="G419" t="s">
        <v>79</v>
      </c>
      <c r="H419" t="str">
        <f>IF(COUNTIF(Sheet1!$A:$A,TEXT(A419,"0"))+COUNTIF(Sheet1!$A:$A,A419)&gt;0,"موجود","غير موجود")</f>
        <v>غير موجود</v>
      </c>
    </row>
    <row r="420" spans="1:8" x14ac:dyDescent="0.2">
      <c r="A420" t="s">
        <v>521</v>
      </c>
      <c r="B420" t="s">
        <v>522</v>
      </c>
      <c r="C420">
        <v>115</v>
      </c>
      <c r="D420">
        <v>20</v>
      </c>
      <c r="E420">
        <v>92</v>
      </c>
      <c r="F420" t="s">
        <v>78</v>
      </c>
      <c r="G420" t="s">
        <v>79</v>
      </c>
      <c r="H420" t="str">
        <f>IF(COUNTIF(Sheet1!$A:$A,TEXT(A420,"0"))+COUNTIF(Sheet1!$A:$A,A420)&gt;0,"موجود","غير موجود")</f>
        <v>غير موجود</v>
      </c>
    </row>
    <row r="421" spans="1:8" x14ac:dyDescent="0.2">
      <c r="A421" t="s">
        <v>523</v>
      </c>
      <c r="B421" t="s">
        <v>524</v>
      </c>
      <c r="C421">
        <v>69</v>
      </c>
      <c r="D421">
        <v>20</v>
      </c>
      <c r="E421">
        <v>55.2</v>
      </c>
      <c r="F421" t="s">
        <v>78</v>
      </c>
      <c r="G421" t="s">
        <v>79</v>
      </c>
      <c r="H421" t="str">
        <f>IF(COUNTIF(Sheet1!$A:$A,TEXT(A421,"0"))+COUNTIF(Sheet1!$A:$A,A421)&gt;0,"موجود","غير موجود")</f>
        <v>غير موجود</v>
      </c>
    </row>
    <row r="422" spans="1:8" x14ac:dyDescent="0.2">
      <c r="A422" t="s">
        <v>1</v>
      </c>
      <c r="B422" t="s">
        <v>525</v>
      </c>
      <c r="C422">
        <v>39</v>
      </c>
      <c r="D422">
        <v>20</v>
      </c>
      <c r="E422">
        <v>31.2</v>
      </c>
      <c r="F422" t="s">
        <v>78</v>
      </c>
      <c r="G422" t="s">
        <v>79</v>
      </c>
      <c r="H422" t="str">
        <f>IF(COUNTIF(Sheet1!$A:$A,TEXT(A422,"0"))+COUNTIF(Sheet1!$A:$A,A422)&gt;0,"موجود","غير موجود")</f>
        <v>موجود</v>
      </c>
    </row>
    <row r="423" spans="1:8" x14ac:dyDescent="0.2">
      <c r="A423" t="s">
        <v>526</v>
      </c>
      <c r="B423" t="s">
        <v>527</v>
      </c>
      <c r="C423">
        <v>48</v>
      </c>
      <c r="D423">
        <v>20</v>
      </c>
      <c r="E423">
        <v>38.4</v>
      </c>
      <c r="F423" t="s">
        <v>78</v>
      </c>
      <c r="G423" t="s">
        <v>79</v>
      </c>
      <c r="H423" t="str">
        <f>IF(COUNTIF(Sheet1!$A:$A,TEXT(A423,"0"))+COUNTIF(Sheet1!$A:$A,A423)&gt;0,"موجود","غير موجود")</f>
        <v>غير موجود</v>
      </c>
    </row>
    <row r="424" spans="1:8" x14ac:dyDescent="0.2">
      <c r="A424" t="s">
        <v>528</v>
      </c>
      <c r="B424" t="s">
        <v>529</v>
      </c>
      <c r="C424">
        <v>35</v>
      </c>
      <c r="D424">
        <v>20</v>
      </c>
      <c r="E424">
        <v>28</v>
      </c>
      <c r="F424" t="s">
        <v>78</v>
      </c>
      <c r="G424" t="s">
        <v>79</v>
      </c>
      <c r="H424" t="str">
        <f>IF(COUNTIF(Sheet1!$A:$A,TEXT(A424,"0"))+COUNTIF(Sheet1!$A:$A,A424)&gt;0,"موجود","غير موجود")</f>
        <v>غير موجود</v>
      </c>
    </row>
    <row r="425" spans="1:8" x14ac:dyDescent="0.2">
      <c r="A425" t="s">
        <v>530</v>
      </c>
      <c r="B425" t="s">
        <v>531</v>
      </c>
      <c r="C425">
        <v>78</v>
      </c>
      <c r="D425">
        <v>20</v>
      </c>
      <c r="E425">
        <v>62.4</v>
      </c>
      <c r="F425" t="s">
        <v>78</v>
      </c>
      <c r="G425" t="s">
        <v>79</v>
      </c>
      <c r="H425" t="str">
        <f>IF(COUNTIF(Sheet1!$A:$A,TEXT(A425,"0"))+COUNTIF(Sheet1!$A:$A,A425)&gt;0,"موجود","غير موجود")</f>
        <v>غير موجود</v>
      </c>
    </row>
    <row r="426" spans="1:8" x14ac:dyDescent="0.2">
      <c r="A426" t="s">
        <v>532</v>
      </c>
      <c r="B426" t="s">
        <v>533</v>
      </c>
      <c r="C426">
        <v>50</v>
      </c>
      <c r="D426">
        <v>20</v>
      </c>
      <c r="E426">
        <v>40</v>
      </c>
      <c r="F426" t="s">
        <v>78</v>
      </c>
      <c r="G426" t="s">
        <v>79</v>
      </c>
      <c r="H426" t="str">
        <f>IF(COUNTIF(Sheet1!$A:$A,TEXT(A426,"0"))+COUNTIF(Sheet1!$A:$A,A426)&gt;0,"موجود","غير موجود")</f>
        <v>غير موجود</v>
      </c>
    </row>
    <row r="427" spans="1:8" x14ac:dyDescent="0.2">
      <c r="A427" t="s">
        <v>534</v>
      </c>
      <c r="B427" t="s">
        <v>535</v>
      </c>
      <c r="C427">
        <v>110</v>
      </c>
      <c r="D427">
        <v>20</v>
      </c>
      <c r="E427">
        <v>88</v>
      </c>
      <c r="F427" t="s">
        <v>78</v>
      </c>
      <c r="G427" t="s">
        <v>79</v>
      </c>
      <c r="H427" t="str">
        <f>IF(COUNTIF(Sheet1!$A:$A,TEXT(A427,"0"))+COUNTIF(Sheet1!$A:$A,A427)&gt;0,"موجود","غير موجود")</f>
        <v>غير موجود</v>
      </c>
    </row>
    <row r="428" spans="1:8" x14ac:dyDescent="0.2">
      <c r="A428" t="s">
        <v>536</v>
      </c>
      <c r="B428" t="s">
        <v>537</v>
      </c>
      <c r="C428">
        <v>120</v>
      </c>
      <c r="D428">
        <v>20</v>
      </c>
      <c r="E428">
        <v>96</v>
      </c>
      <c r="F428" t="s">
        <v>78</v>
      </c>
      <c r="G428" t="s">
        <v>79</v>
      </c>
      <c r="H428" t="str">
        <f>IF(COUNTIF(Sheet1!$A:$A,TEXT(A428,"0"))+COUNTIF(Sheet1!$A:$A,A428)&gt;0,"موجود","غير موجود")</f>
        <v>غير موجود</v>
      </c>
    </row>
    <row r="429" spans="1:8" x14ac:dyDescent="0.2">
      <c r="A429" t="s">
        <v>538</v>
      </c>
      <c r="B429" t="s">
        <v>539</v>
      </c>
      <c r="C429">
        <v>120</v>
      </c>
      <c r="D429">
        <v>20</v>
      </c>
      <c r="E429">
        <v>96</v>
      </c>
      <c r="F429" t="s">
        <v>78</v>
      </c>
      <c r="G429" t="s">
        <v>79</v>
      </c>
      <c r="H429" t="str">
        <f>IF(COUNTIF(Sheet1!$A:$A,TEXT(A429,"0"))+COUNTIF(Sheet1!$A:$A,A429)&gt;0,"موجود","غير موجود")</f>
        <v>غير موجود</v>
      </c>
    </row>
    <row r="430" spans="1:8" x14ac:dyDescent="0.2">
      <c r="A430" t="s">
        <v>540</v>
      </c>
      <c r="B430" t="s">
        <v>541</v>
      </c>
      <c r="C430">
        <v>186</v>
      </c>
      <c r="D430">
        <v>20</v>
      </c>
      <c r="E430">
        <v>148.80000000000001</v>
      </c>
      <c r="F430" t="s">
        <v>78</v>
      </c>
      <c r="G430" t="s">
        <v>79</v>
      </c>
      <c r="H430" t="str">
        <f>IF(COUNTIF(Sheet1!$A:$A,TEXT(A430,"0"))+COUNTIF(Sheet1!$A:$A,A430)&gt;0,"موجود","غير موجود")</f>
        <v>غير موجود</v>
      </c>
    </row>
    <row r="431" spans="1:8" x14ac:dyDescent="0.2">
      <c r="A431" t="s">
        <v>542</v>
      </c>
      <c r="B431" t="s">
        <v>543</v>
      </c>
      <c r="C431">
        <v>75</v>
      </c>
      <c r="D431">
        <v>20</v>
      </c>
      <c r="E431">
        <v>60</v>
      </c>
      <c r="F431" t="s">
        <v>78</v>
      </c>
      <c r="G431" t="s">
        <v>79</v>
      </c>
      <c r="H431" t="str">
        <f>IF(COUNTIF(Sheet1!$A:$A,TEXT(A431,"0"))+COUNTIF(Sheet1!$A:$A,A431)&gt;0,"موجود","غير موجود")</f>
        <v>غير موجود</v>
      </c>
    </row>
    <row r="432" spans="1:8" x14ac:dyDescent="0.2">
      <c r="A432" t="s">
        <v>544</v>
      </c>
      <c r="B432" t="s">
        <v>545</v>
      </c>
      <c r="C432">
        <v>35</v>
      </c>
      <c r="D432">
        <v>20</v>
      </c>
      <c r="E432">
        <v>28</v>
      </c>
      <c r="F432" t="s">
        <v>78</v>
      </c>
      <c r="G432" t="s">
        <v>79</v>
      </c>
      <c r="H432" t="str">
        <f>IF(COUNTIF(Sheet1!$A:$A,TEXT(A432,"0"))+COUNTIF(Sheet1!$A:$A,A432)&gt;0,"موجود","غير موجود")</f>
        <v>غير موجود</v>
      </c>
    </row>
    <row r="433" spans="1:8" x14ac:dyDescent="0.2">
      <c r="A433" t="s">
        <v>546</v>
      </c>
      <c r="B433" t="s">
        <v>547</v>
      </c>
      <c r="C433">
        <v>60</v>
      </c>
      <c r="D433">
        <v>20</v>
      </c>
      <c r="E433">
        <v>48</v>
      </c>
      <c r="F433" t="s">
        <v>78</v>
      </c>
      <c r="G433" t="s">
        <v>79</v>
      </c>
      <c r="H433" t="str">
        <f>IF(COUNTIF(Sheet1!$A:$A,TEXT(A433,"0"))+COUNTIF(Sheet1!$A:$A,A433)&gt;0,"موجود","غير موجود")</f>
        <v>غير موجود</v>
      </c>
    </row>
    <row r="434" spans="1:8" x14ac:dyDescent="0.2">
      <c r="A434" t="s">
        <v>548</v>
      </c>
      <c r="B434" t="s">
        <v>549</v>
      </c>
      <c r="C434">
        <v>48</v>
      </c>
      <c r="D434">
        <v>20</v>
      </c>
      <c r="E434">
        <v>38.4</v>
      </c>
      <c r="F434" t="s">
        <v>78</v>
      </c>
      <c r="G434" t="s">
        <v>79</v>
      </c>
      <c r="H434" t="str">
        <f>IF(COUNTIF(Sheet1!$A:$A,TEXT(A434,"0"))+COUNTIF(Sheet1!$A:$A,A434)&gt;0,"موجود","غير موجود")</f>
        <v>غير موجود</v>
      </c>
    </row>
    <row r="435" spans="1:8" x14ac:dyDescent="0.2">
      <c r="A435">
        <v>20309012297</v>
      </c>
      <c r="B435" t="s">
        <v>550</v>
      </c>
      <c r="C435">
        <v>29.38</v>
      </c>
      <c r="D435">
        <v>33</v>
      </c>
      <c r="E435">
        <v>19.6846</v>
      </c>
      <c r="F435" t="s">
        <v>78</v>
      </c>
      <c r="G435" t="s">
        <v>79</v>
      </c>
      <c r="H435" t="str">
        <f>IF(COUNTIF(Sheet1!$A:$A,TEXT(A435,"0"))+COUNTIF(Sheet1!$A:$A,A435)&gt;0,"موجود","غير موجود")</f>
        <v>موجود</v>
      </c>
    </row>
    <row r="436" spans="1:8" x14ac:dyDescent="0.2">
      <c r="A436">
        <v>20309012298</v>
      </c>
      <c r="B436" t="s">
        <v>551</v>
      </c>
      <c r="C436">
        <v>29.38</v>
      </c>
      <c r="D436">
        <v>33</v>
      </c>
      <c r="E436">
        <v>19.6846</v>
      </c>
      <c r="F436" t="s">
        <v>78</v>
      </c>
      <c r="G436" t="s">
        <v>79</v>
      </c>
      <c r="H436" t="str">
        <f>IF(COUNTIF(Sheet1!$A:$A,TEXT(A436,"0"))+COUNTIF(Sheet1!$A:$A,A436)&gt;0,"موجود","غير موجود")</f>
        <v>موجود</v>
      </c>
    </row>
    <row r="437" spans="1:8" x14ac:dyDescent="0.2">
      <c r="A437">
        <v>20309012299</v>
      </c>
      <c r="B437" t="s">
        <v>552</v>
      </c>
      <c r="C437">
        <v>29.38</v>
      </c>
      <c r="D437">
        <v>33</v>
      </c>
      <c r="E437">
        <v>19.6846</v>
      </c>
      <c r="F437" t="s">
        <v>78</v>
      </c>
      <c r="G437" t="s">
        <v>79</v>
      </c>
      <c r="H437" t="str">
        <f>IF(COUNTIF(Sheet1!$A:$A,TEXT(A437,"0"))+COUNTIF(Sheet1!$A:$A,A437)&gt;0,"موجود","غير موجود")</f>
        <v>موجود</v>
      </c>
    </row>
    <row r="438" spans="1:8" x14ac:dyDescent="0.2">
      <c r="A438">
        <v>20309012300</v>
      </c>
      <c r="B438" t="s">
        <v>553</v>
      </c>
      <c r="C438">
        <v>29.38</v>
      </c>
      <c r="D438">
        <v>33</v>
      </c>
      <c r="E438">
        <v>19.6846</v>
      </c>
      <c r="F438" t="s">
        <v>78</v>
      </c>
      <c r="G438" t="s">
        <v>79</v>
      </c>
      <c r="H438" t="str">
        <f>IF(COUNTIF(Sheet1!$A:$A,TEXT(A438,"0"))+COUNTIF(Sheet1!$A:$A,A438)&gt;0,"موجود","غير موجود")</f>
        <v>موجود</v>
      </c>
    </row>
    <row r="439" spans="1:8" x14ac:dyDescent="0.2">
      <c r="A439">
        <v>20309012301</v>
      </c>
      <c r="B439" t="s">
        <v>554</v>
      </c>
      <c r="C439">
        <v>29.38</v>
      </c>
      <c r="D439">
        <v>33</v>
      </c>
      <c r="E439">
        <v>19.6846</v>
      </c>
      <c r="F439" t="s">
        <v>78</v>
      </c>
      <c r="G439" t="s">
        <v>79</v>
      </c>
      <c r="H439" t="str">
        <f>IF(COUNTIF(Sheet1!$A:$A,TEXT(A439,"0"))+COUNTIF(Sheet1!$A:$A,A439)&gt;0,"موجود","غير موجود")</f>
        <v>موجود</v>
      </c>
    </row>
    <row r="440" spans="1:8" x14ac:dyDescent="0.2">
      <c r="A440">
        <v>20309012302</v>
      </c>
      <c r="B440" t="s">
        <v>555</v>
      </c>
      <c r="C440">
        <v>29.38</v>
      </c>
      <c r="D440">
        <v>33</v>
      </c>
      <c r="E440">
        <v>19.6846</v>
      </c>
      <c r="F440" t="s">
        <v>78</v>
      </c>
      <c r="G440" t="s">
        <v>79</v>
      </c>
      <c r="H440" t="str">
        <f>IF(COUNTIF(Sheet1!$A:$A,TEXT(A440,"0"))+COUNTIF(Sheet1!$A:$A,A440)&gt;0,"موجود","غير موجود")</f>
        <v>موجود</v>
      </c>
    </row>
    <row r="441" spans="1:8" x14ac:dyDescent="0.2">
      <c r="A441">
        <v>20309012303</v>
      </c>
      <c r="B441" t="s">
        <v>556</v>
      </c>
      <c r="C441">
        <v>29.38</v>
      </c>
      <c r="D441">
        <v>33</v>
      </c>
      <c r="E441">
        <v>19.6846</v>
      </c>
      <c r="F441" t="s">
        <v>78</v>
      </c>
      <c r="G441" t="s">
        <v>79</v>
      </c>
      <c r="H441" t="str">
        <f>IF(COUNTIF(Sheet1!$A:$A,TEXT(A441,"0"))+COUNTIF(Sheet1!$A:$A,A441)&gt;0,"موجود","غير موجود")</f>
        <v>موجود</v>
      </c>
    </row>
    <row r="442" spans="1:8" x14ac:dyDescent="0.2">
      <c r="A442">
        <v>20309012304</v>
      </c>
      <c r="B442" t="s">
        <v>557</v>
      </c>
      <c r="C442">
        <v>29.38</v>
      </c>
      <c r="D442">
        <v>33</v>
      </c>
      <c r="E442">
        <v>19.6846</v>
      </c>
      <c r="F442" t="s">
        <v>78</v>
      </c>
      <c r="G442" t="s">
        <v>79</v>
      </c>
      <c r="H442" t="str">
        <f>IF(COUNTIF(Sheet1!$A:$A,TEXT(A442,"0"))+COUNTIF(Sheet1!$A:$A,A442)&gt;0,"موجود","غير موجود")</f>
        <v>موجود</v>
      </c>
    </row>
    <row r="443" spans="1:8" x14ac:dyDescent="0.2">
      <c r="A443">
        <v>20309012319</v>
      </c>
      <c r="B443" t="s">
        <v>558</v>
      </c>
      <c r="C443">
        <v>39.1</v>
      </c>
      <c r="D443">
        <v>33</v>
      </c>
      <c r="E443">
        <v>26.197000000000003</v>
      </c>
      <c r="F443" t="s">
        <v>78</v>
      </c>
      <c r="G443" t="s">
        <v>79</v>
      </c>
      <c r="H443" t="str">
        <f>IF(COUNTIF(Sheet1!$A:$A,TEXT(A443,"0"))+COUNTIF(Sheet1!$A:$A,A443)&gt;0,"موجود","غير موجود")</f>
        <v>موجود</v>
      </c>
    </row>
    <row r="444" spans="1:8" x14ac:dyDescent="0.2">
      <c r="A444">
        <v>20309012320</v>
      </c>
      <c r="B444" t="s">
        <v>559</v>
      </c>
      <c r="C444">
        <v>39.1</v>
      </c>
      <c r="D444">
        <v>33</v>
      </c>
      <c r="E444">
        <v>26.197000000000003</v>
      </c>
      <c r="F444" t="s">
        <v>78</v>
      </c>
      <c r="G444" t="s">
        <v>79</v>
      </c>
      <c r="H444" t="str">
        <f>IF(COUNTIF(Sheet1!$A:$A,TEXT(A444,"0"))+COUNTIF(Sheet1!$A:$A,A444)&gt;0,"موجود","غير موجود")</f>
        <v>غير موجود</v>
      </c>
    </row>
    <row r="445" spans="1:8" x14ac:dyDescent="0.2">
      <c r="A445">
        <v>20309012321</v>
      </c>
      <c r="B445" t="s">
        <v>560</v>
      </c>
      <c r="C445">
        <v>39.1</v>
      </c>
      <c r="D445">
        <v>33</v>
      </c>
      <c r="E445">
        <v>26.197000000000003</v>
      </c>
      <c r="F445" t="s">
        <v>78</v>
      </c>
      <c r="G445" t="s">
        <v>79</v>
      </c>
      <c r="H445" t="str">
        <f>IF(COUNTIF(Sheet1!$A:$A,TEXT(A445,"0"))+COUNTIF(Sheet1!$A:$A,A445)&gt;0,"موجود","غير موجود")</f>
        <v>غير موجود</v>
      </c>
    </row>
    <row r="446" spans="1:8" x14ac:dyDescent="0.2">
      <c r="A446">
        <v>20309012322</v>
      </c>
      <c r="B446" t="s">
        <v>561</v>
      </c>
      <c r="C446">
        <v>39.1</v>
      </c>
      <c r="D446">
        <v>33</v>
      </c>
      <c r="E446">
        <v>26.197000000000003</v>
      </c>
      <c r="F446" t="s">
        <v>78</v>
      </c>
      <c r="G446" t="s">
        <v>79</v>
      </c>
      <c r="H446" t="str">
        <f>IF(COUNTIF(Sheet1!$A:$A,TEXT(A446,"0"))+COUNTIF(Sheet1!$A:$A,A446)&gt;0,"موجود","غير موجود")</f>
        <v>موجود</v>
      </c>
    </row>
    <row r="447" spans="1:8" x14ac:dyDescent="0.2">
      <c r="A447">
        <v>20309012323</v>
      </c>
      <c r="B447" t="s">
        <v>562</v>
      </c>
      <c r="C447">
        <v>39.1</v>
      </c>
      <c r="D447">
        <v>33</v>
      </c>
      <c r="E447">
        <v>26.197000000000003</v>
      </c>
      <c r="F447" t="s">
        <v>78</v>
      </c>
      <c r="G447" t="s">
        <v>79</v>
      </c>
      <c r="H447" t="str">
        <f>IF(COUNTIF(Sheet1!$A:$A,TEXT(A447,"0"))+COUNTIF(Sheet1!$A:$A,A447)&gt;0,"موجود","غير موجود")</f>
        <v>غير موجود</v>
      </c>
    </row>
    <row r="448" spans="1:8" x14ac:dyDescent="0.2">
      <c r="A448">
        <v>20309012324</v>
      </c>
      <c r="B448" t="s">
        <v>563</v>
      </c>
      <c r="C448">
        <v>39.1</v>
      </c>
      <c r="D448">
        <v>33</v>
      </c>
      <c r="E448">
        <v>26.197000000000003</v>
      </c>
      <c r="F448" t="s">
        <v>78</v>
      </c>
      <c r="G448" t="s">
        <v>79</v>
      </c>
      <c r="H448" t="str">
        <f>IF(COUNTIF(Sheet1!$A:$A,TEXT(A448,"0"))+COUNTIF(Sheet1!$A:$A,A448)&gt;0,"موجود","غير موجود")</f>
        <v>موجود</v>
      </c>
    </row>
    <row r="449" spans="1:8" x14ac:dyDescent="0.2">
      <c r="A449">
        <v>20309011882</v>
      </c>
      <c r="B449" t="s">
        <v>564</v>
      </c>
      <c r="C449">
        <v>65.22</v>
      </c>
      <c r="D449">
        <v>33</v>
      </c>
      <c r="E449">
        <v>43.697400000000002</v>
      </c>
      <c r="F449" t="s">
        <v>78</v>
      </c>
      <c r="G449" t="s">
        <v>79</v>
      </c>
      <c r="H449" t="str">
        <f>IF(COUNTIF(Sheet1!$A:$A,TEXT(A449,"0"))+COUNTIF(Sheet1!$A:$A,A449)&gt;0,"موجود","غير موجود")</f>
        <v>موجود</v>
      </c>
    </row>
    <row r="450" spans="1:8" x14ac:dyDescent="0.2">
      <c r="A450">
        <v>20309011883</v>
      </c>
      <c r="B450" t="s">
        <v>565</v>
      </c>
      <c r="C450">
        <v>65.22</v>
      </c>
      <c r="D450">
        <v>33</v>
      </c>
      <c r="E450">
        <v>43.697400000000002</v>
      </c>
      <c r="F450" t="s">
        <v>78</v>
      </c>
      <c r="G450" t="s">
        <v>79</v>
      </c>
      <c r="H450" t="str">
        <f>IF(COUNTIF(Sheet1!$A:$A,TEXT(A450,"0"))+COUNTIF(Sheet1!$A:$A,A450)&gt;0,"موجود","غير موجود")</f>
        <v>موجود</v>
      </c>
    </row>
    <row r="451" spans="1:8" x14ac:dyDescent="0.2">
      <c r="A451">
        <v>20309011885</v>
      </c>
      <c r="B451" t="s">
        <v>566</v>
      </c>
      <c r="C451">
        <v>26.38</v>
      </c>
      <c r="D451">
        <v>33</v>
      </c>
      <c r="E451">
        <v>17.674599999999998</v>
      </c>
      <c r="F451" t="s">
        <v>78</v>
      </c>
      <c r="G451" t="s">
        <v>79</v>
      </c>
      <c r="H451" t="str">
        <f>IF(COUNTIF(Sheet1!$A:$A,TEXT(A451,"0"))+COUNTIF(Sheet1!$A:$A,A451)&gt;0,"موجود","غير موجود")</f>
        <v>غير موجود</v>
      </c>
    </row>
    <row r="452" spans="1:8" x14ac:dyDescent="0.2">
      <c r="A452">
        <v>20309011886</v>
      </c>
      <c r="B452" t="s">
        <v>567</v>
      </c>
      <c r="C452">
        <v>230.4</v>
      </c>
      <c r="D452">
        <v>33</v>
      </c>
      <c r="E452">
        <v>154.36799999999999</v>
      </c>
      <c r="F452" t="s">
        <v>78</v>
      </c>
      <c r="G452" t="s">
        <v>79</v>
      </c>
      <c r="H452" t="str">
        <f>IF(COUNTIF(Sheet1!$A:$A,TEXT(A452,"0"))+COUNTIF(Sheet1!$A:$A,A452)&gt;0,"موجود","غير موجود")</f>
        <v>غير موجود</v>
      </c>
    </row>
    <row r="453" spans="1:8" x14ac:dyDescent="0.2">
      <c r="A453">
        <v>20309011887</v>
      </c>
      <c r="B453" t="s">
        <v>568</v>
      </c>
      <c r="C453">
        <v>65.22</v>
      </c>
      <c r="D453">
        <v>33</v>
      </c>
      <c r="E453">
        <v>43.697400000000002</v>
      </c>
      <c r="F453" t="s">
        <v>78</v>
      </c>
      <c r="G453" t="s">
        <v>79</v>
      </c>
      <c r="H453" t="str">
        <f>IF(COUNTIF(Sheet1!$A:$A,TEXT(A453,"0"))+COUNTIF(Sheet1!$A:$A,A453)&gt;0,"موجود","غير موجود")</f>
        <v>موجود</v>
      </c>
    </row>
    <row r="454" spans="1:8" x14ac:dyDescent="0.2">
      <c r="A454">
        <v>20309011888</v>
      </c>
      <c r="B454" t="s">
        <v>569</v>
      </c>
      <c r="C454">
        <v>65.22</v>
      </c>
      <c r="D454">
        <v>33</v>
      </c>
      <c r="E454">
        <v>43.697400000000002</v>
      </c>
      <c r="F454" t="s">
        <v>78</v>
      </c>
      <c r="G454" t="s">
        <v>79</v>
      </c>
      <c r="H454" t="str">
        <f>IF(COUNTIF(Sheet1!$A:$A,TEXT(A454,"0"))+COUNTIF(Sheet1!$A:$A,A454)&gt;0,"موجود","غير موجود")</f>
        <v>غير موجود</v>
      </c>
    </row>
    <row r="455" spans="1:8" x14ac:dyDescent="0.2">
      <c r="A455">
        <v>20309011889</v>
      </c>
      <c r="B455" t="s">
        <v>570</v>
      </c>
      <c r="C455">
        <v>65.22</v>
      </c>
      <c r="D455">
        <v>33</v>
      </c>
      <c r="E455">
        <v>43.697400000000002</v>
      </c>
      <c r="F455" t="s">
        <v>78</v>
      </c>
      <c r="G455" t="s">
        <v>79</v>
      </c>
      <c r="H455" t="str">
        <f>IF(COUNTIF(Sheet1!$A:$A,TEXT(A455,"0"))+COUNTIF(Sheet1!$A:$A,A455)&gt;0,"موجود","غير موجود")</f>
        <v>غير موجود</v>
      </c>
    </row>
    <row r="456" spans="1:8" x14ac:dyDescent="0.2">
      <c r="A456">
        <v>20309011893</v>
      </c>
      <c r="B456" t="s">
        <v>571</v>
      </c>
      <c r="C456">
        <v>65.22</v>
      </c>
      <c r="D456">
        <v>33</v>
      </c>
      <c r="E456">
        <v>43.697400000000002</v>
      </c>
      <c r="F456" t="s">
        <v>78</v>
      </c>
      <c r="G456" t="s">
        <v>79</v>
      </c>
      <c r="H456" t="str">
        <f>IF(COUNTIF(Sheet1!$A:$A,TEXT(A456,"0"))+COUNTIF(Sheet1!$A:$A,A456)&gt;0,"موجود","غير موجود")</f>
        <v>موجود</v>
      </c>
    </row>
    <row r="457" spans="1:8" x14ac:dyDescent="0.2">
      <c r="A457">
        <v>20715010034</v>
      </c>
      <c r="B457" t="s">
        <v>572</v>
      </c>
      <c r="C457">
        <v>40</v>
      </c>
      <c r="D457">
        <v>7.5</v>
      </c>
      <c r="E457">
        <v>37</v>
      </c>
      <c r="F457" t="s">
        <v>78</v>
      </c>
      <c r="G457" t="s">
        <v>83</v>
      </c>
      <c r="H457" t="str">
        <f>IF(COUNTIF(Sheet1!$A:$A,TEXT(A457,"0"))+COUNTIF(Sheet1!$A:$A,A457)&gt;0,"موجود","غير موجود")</f>
        <v>موجود</v>
      </c>
    </row>
    <row r="458" spans="1:8" x14ac:dyDescent="0.2">
      <c r="A458">
        <v>20715010035</v>
      </c>
      <c r="B458" t="s">
        <v>573</v>
      </c>
      <c r="C458">
        <v>37</v>
      </c>
      <c r="D458">
        <v>7.5</v>
      </c>
      <c r="E458">
        <v>34.225000000000001</v>
      </c>
      <c r="F458" t="s">
        <v>78</v>
      </c>
      <c r="G458" t="s">
        <v>83</v>
      </c>
      <c r="H458" t="str">
        <f>IF(COUNTIF(Sheet1!$A:$A,TEXT(A458,"0"))+COUNTIF(Sheet1!$A:$A,A458)&gt;0,"موجود","غير موجود")</f>
        <v>موجود</v>
      </c>
    </row>
    <row r="459" spans="1:8" x14ac:dyDescent="0.2">
      <c r="A459">
        <v>20715010036</v>
      </c>
      <c r="B459" t="s">
        <v>574</v>
      </c>
      <c r="C459">
        <v>40</v>
      </c>
      <c r="D459">
        <v>7.5</v>
      </c>
      <c r="E459">
        <v>37</v>
      </c>
      <c r="F459" t="s">
        <v>78</v>
      </c>
      <c r="G459" t="s">
        <v>83</v>
      </c>
      <c r="H459" t="str">
        <f>IF(COUNTIF(Sheet1!$A:$A,TEXT(A459,"0"))+COUNTIF(Sheet1!$A:$A,A459)&gt;0,"موجود","غير موجود")</f>
        <v>موجود</v>
      </c>
    </row>
    <row r="460" spans="1:8" x14ac:dyDescent="0.2">
      <c r="A460">
        <v>20715010447</v>
      </c>
      <c r="B460" t="s">
        <v>575</v>
      </c>
      <c r="C460">
        <v>78</v>
      </c>
      <c r="D460">
        <v>10</v>
      </c>
      <c r="E460">
        <v>64.8</v>
      </c>
      <c r="F460" t="s">
        <v>78</v>
      </c>
      <c r="G460" t="s">
        <v>83</v>
      </c>
      <c r="H460" t="str">
        <f>IF(COUNTIF(Sheet1!$A:$A,TEXT(A460,"0"))+COUNTIF(Sheet1!$A:$A,A460)&gt;0,"موجود","غير موجود")</f>
        <v>موجود</v>
      </c>
    </row>
    <row r="461" spans="1:8" x14ac:dyDescent="0.2">
      <c r="A461">
        <v>20715010448</v>
      </c>
      <c r="B461" t="s">
        <v>576</v>
      </c>
      <c r="C461">
        <v>78</v>
      </c>
      <c r="D461">
        <v>10</v>
      </c>
      <c r="E461">
        <v>64.8</v>
      </c>
      <c r="F461" t="s">
        <v>78</v>
      </c>
      <c r="G461" t="s">
        <v>83</v>
      </c>
      <c r="H461" t="str">
        <f>IF(COUNTIF(Sheet1!$A:$A,TEXT(A461,"0"))+COUNTIF(Sheet1!$A:$A,A461)&gt;0,"موجود","غير موجود")</f>
        <v>موجود</v>
      </c>
    </row>
    <row r="462" spans="1:8" x14ac:dyDescent="0.2">
      <c r="A462">
        <v>20715010446</v>
      </c>
      <c r="B462" t="s">
        <v>577</v>
      </c>
      <c r="C462">
        <v>78</v>
      </c>
      <c r="D462">
        <v>10</v>
      </c>
      <c r="E462">
        <v>64.8</v>
      </c>
      <c r="F462" t="s">
        <v>78</v>
      </c>
      <c r="G462" t="s">
        <v>83</v>
      </c>
      <c r="H462" t="str">
        <f>IF(COUNTIF(Sheet1!$A:$A,TEXT(A462,"0"))+COUNTIF(Sheet1!$A:$A,A462)&gt;0,"موجود","غير موجود")</f>
        <v>موجود</v>
      </c>
    </row>
    <row r="463" spans="1:8" x14ac:dyDescent="0.2">
      <c r="A463">
        <v>20715010541</v>
      </c>
      <c r="B463" t="s">
        <v>578</v>
      </c>
      <c r="C463">
        <v>42</v>
      </c>
      <c r="D463">
        <v>7.5</v>
      </c>
      <c r="E463">
        <v>37.799999999999997</v>
      </c>
      <c r="F463" t="s">
        <v>78</v>
      </c>
      <c r="G463" t="s">
        <v>83</v>
      </c>
      <c r="H463" t="str">
        <f>IF(COUNTIF(Sheet1!$A:$A,TEXT(A463,"0"))+COUNTIF(Sheet1!$A:$A,A463)&gt;0,"موجود","غير موجود")</f>
        <v>غير موجود</v>
      </c>
    </row>
    <row r="464" spans="1:8" x14ac:dyDescent="0.2">
      <c r="A464">
        <v>20715010540</v>
      </c>
      <c r="B464" t="s">
        <v>579</v>
      </c>
      <c r="C464">
        <v>42</v>
      </c>
      <c r="D464">
        <v>7.5</v>
      </c>
      <c r="E464">
        <v>37.799999999999997</v>
      </c>
      <c r="F464" t="s">
        <v>78</v>
      </c>
      <c r="G464" t="s">
        <v>83</v>
      </c>
      <c r="H464" t="str">
        <f>IF(COUNTIF(Sheet1!$A:$A,TEXT(A464,"0"))+COUNTIF(Sheet1!$A:$A,A464)&gt;0,"موجود","غير موجود")</f>
        <v>غير موجود</v>
      </c>
    </row>
    <row r="465" spans="1:8" x14ac:dyDescent="0.2">
      <c r="A465">
        <v>20715010539</v>
      </c>
      <c r="B465" t="s">
        <v>580</v>
      </c>
      <c r="C465">
        <v>42</v>
      </c>
      <c r="D465">
        <v>7.5</v>
      </c>
      <c r="E465">
        <v>37.799999999999997</v>
      </c>
      <c r="F465" t="s">
        <v>78</v>
      </c>
      <c r="G465" t="s">
        <v>83</v>
      </c>
      <c r="H465" t="str">
        <f>IF(COUNTIF(Sheet1!$A:$A,TEXT(A465,"0"))+COUNTIF(Sheet1!$A:$A,A465)&gt;0,"موجود","غير موجود")</f>
        <v>غير موجود</v>
      </c>
    </row>
    <row r="466" spans="1:8" x14ac:dyDescent="0.2">
      <c r="A466">
        <v>20715010199</v>
      </c>
      <c r="B466" t="s">
        <v>581</v>
      </c>
      <c r="C466">
        <v>40</v>
      </c>
      <c r="D466">
        <v>25</v>
      </c>
      <c r="E466">
        <v>30</v>
      </c>
      <c r="F466" t="s">
        <v>78</v>
      </c>
      <c r="G466" t="s">
        <v>83</v>
      </c>
      <c r="H466" t="str">
        <f>IF(COUNTIF(Sheet1!$A:$A,TEXT(A466,"0"))+COUNTIF(Sheet1!$A:$A,A466)&gt;0,"موجود","غير موجود")</f>
        <v>موجود</v>
      </c>
    </row>
    <row r="467" spans="1:8" x14ac:dyDescent="0.2">
      <c r="A467">
        <v>20715010200</v>
      </c>
      <c r="B467" t="s">
        <v>582</v>
      </c>
      <c r="C467">
        <v>40</v>
      </c>
      <c r="D467">
        <v>25</v>
      </c>
      <c r="E467">
        <v>30</v>
      </c>
      <c r="F467" t="s">
        <v>78</v>
      </c>
      <c r="G467" t="s">
        <v>83</v>
      </c>
      <c r="H467" t="str">
        <f>IF(COUNTIF(Sheet1!$A:$A,TEXT(A467,"0"))+COUNTIF(Sheet1!$A:$A,A467)&gt;0,"موجود","غير موجود")</f>
        <v>موجود</v>
      </c>
    </row>
    <row r="468" spans="1:8" x14ac:dyDescent="0.2">
      <c r="A468">
        <v>20715010201</v>
      </c>
      <c r="B468" t="s">
        <v>583</v>
      </c>
      <c r="C468">
        <v>39</v>
      </c>
      <c r="D468">
        <v>25</v>
      </c>
      <c r="E468">
        <v>29.25</v>
      </c>
      <c r="F468" t="s">
        <v>78</v>
      </c>
      <c r="G468" t="s">
        <v>83</v>
      </c>
      <c r="H468" t="str">
        <f>IF(COUNTIF(Sheet1!$A:$A,TEXT(A468,"0"))+COUNTIF(Sheet1!$A:$A,A468)&gt;0,"موجود","غير موجود")</f>
        <v>موجود</v>
      </c>
    </row>
    <row r="469" spans="1:8" x14ac:dyDescent="0.2">
      <c r="A469">
        <v>20715010275</v>
      </c>
      <c r="B469" t="s">
        <v>584</v>
      </c>
      <c r="C469">
        <v>93.6</v>
      </c>
      <c r="D469">
        <v>10</v>
      </c>
      <c r="E469">
        <v>84.24</v>
      </c>
      <c r="F469" t="s">
        <v>78</v>
      </c>
      <c r="G469" t="s">
        <v>83</v>
      </c>
      <c r="H469" t="str">
        <f>IF(COUNTIF(Sheet1!$A:$A,TEXT(A469,"0"))+COUNTIF(Sheet1!$A:$A,A469)&gt;0,"موجود","غير موجود")</f>
        <v>موجود</v>
      </c>
    </row>
    <row r="470" spans="1:8" x14ac:dyDescent="0.2">
      <c r="A470">
        <v>20715010276</v>
      </c>
      <c r="B470" t="s">
        <v>585</v>
      </c>
      <c r="C470">
        <v>93.55</v>
      </c>
      <c r="D470">
        <v>10</v>
      </c>
      <c r="E470">
        <v>84.194999999999993</v>
      </c>
      <c r="F470" t="s">
        <v>78</v>
      </c>
      <c r="G470" t="s">
        <v>83</v>
      </c>
      <c r="H470" t="str">
        <f>IF(COUNTIF(Sheet1!$A:$A,TEXT(A470,"0"))+COUNTIF(Sheet1!$A:$A,A470)&gt;0,"موجود","غير موجود")</f>
        <v>موجود</v>
      </c>
    </row>
    <row r="471" spans="1:8" x14ac:dyDescent="0.2">
      <c r="A471">
        <v>20715010373</v>
      </c>
      <c r="B471" t="s">
        <v>586</v>
      </c>
      <c r="C471">
        <v>87.62</v>
      </c>
      <c r="D471">
        <v>10</v>
      </c>
      <c r="E471">
        <v>78.858000000000004</v>
      </c>
      <c r="F471" t="s">
        <v>78</v>
      </c>
      <c r="G471" t="s">
        <v>83</v>
      </c>
      <c r="H471" t="str">
        <f>IF(COUNTIF(Sheet1!$A:$A,TEXT(A471,"0"))+COUNTIF(Sheet1!$A:$A,A471)&gt;0,"موجود","غير موجود")</f>
        <v>موجود</v>
      </c>
    </row>
    <row r="472" spans="1:8" x14ac:dyDescent="0.2">
      <c r="A472">
        <v>20715010456</v>
      </c>
      <c r="B472" t="s">
        <v>587</v>
      </c>
      <c r="C472">
        <v>180</v>
      </c>
      <c r="D472">
        <v>10</v>
      </c>
      <c r="E472">
        <v>162</v>
      </c>
      <c r="F472" t="s">
        <v>78</v>
      </c>
      <c r="G472" t="s">
        <v>83</v>
      </c>
      <c r="H472" t="str">
        <f>IF(COUNTIF(Sheet1!$A:$A,TEXT(A472,"0"))+COUNTIF(Sheet1!$A:$A,A472)&gt;0,"موجود","غير موجود")</f>
        <v>موجود</v>
      </c>
    </row>
    <row r="473" spans="1:8" x14ac:dyDescent="0.2">
      <c r="A473">
        <v>20715010376</v>
      </c>
      <c r="B473" t="s">
        <v>588</v>
      </c>
      <c r="C473">
        <v>180</v>
      </c>
      <c r="D473">
        <v>10</v>
      </c>
      <c r="E473">
        <v>162</v>
      </c>
      <c r="F473" t="s">
        <v>78</v>
      </c>
      <c r="G473" t="s">
        <v>83</v>
      </c>
      <c r="H473" t="str">
        <f>IF(COUNTIF(Sheet1!$A:$A,TEXT(A473,"0"))+COUNTIF(Sheet1!$A:$A,A473)&gt;0,"موجود","غير موجود")</f>
        <v>موجود</v>
      </c>
    </row>
    <row r="474" spans="1:8" x14ac:dyDescent="0.2">
      <c r="A474">
        <v>20715010377</v>
      </c>
      <c r="B474" t="s">
        <v>589</v>
      </c>
      <c r="C474">
        <v>174.6</v>
      </c>
      <c r="D474">
        <v>10</v>
      </c>
      <c r="E474">
        <v>157.13999999999999</v>
      </c>
      <c r="F474" t="s">
        <v>78</v>
      </c>
      <c r="G474" t="s">
        <v>83</v>
      </c>
      <c r="H474" t="str">
        <f>IF(COUNTIF(Sheet1!$A:$A,TEXT(A474,"0"))+COUNTIF(Sheet1!$A:$A,A474)&gt;0,"موجود","غير موجود")</f>
        <v>موجود</v>
      </c>
    </row>
    <row r="475" spans="1:8" x14ac:dyDescent="0.2">
      <c r="A475">
        <v>20309021280</v>
      </c>
      <c r="B475" t="s">
        <v>590</v>
      </c>
      <c r="C475">
        <v>18.8</v>
      </c>
      <c r="D475">
        <v>33</v>
      </c>
      <c r="E475">
        <v>12.596</v>
      </c>
      <c r="F475" t="s">
        <v>78</v>
      </c>
      <c r="G475" t="s">
        <v>79</v>
      </c>
      <c r="H475" t="str">
        <f>IF(COUNTIF(Sheet1!$A:$A,TEXT(A475,"0"))+COUNTIF(Sheet1!$A:$A,A475)&gt;0,"موجود","غير موجود")</f>
        <v>موجود</v>
      </c>
    </row>
    <row r="476" spans="1:8" x14ac:dyDescent="0.2">
      <c r="A476">
        <v>20309021281</v>
      </c>
      <c r="B476" t="s">
        <v>591</v>
      </c>
      <c r="C476">
        <v>31.75</v>
      </c>
      <c r="D476">
        <v>33</v>
      </c>
      <c r="E476">
        <v>21.272500000000001</v>
      </c>
      <c r="F476" t="s">
        <v>78</v>
      </c>
      <c r="G476" t="s">
        <v>79</v>
      </c>
      <c r="H476" t="str">
        <f>IF(COUNTIF(Sheet1!$A:$A,TEXT(A476,"0"))+COUNTIF(Sheet1!$A:$A,A476)&gt;0,"موجود","غير موجود")</f>
        <v>موجود</v>
      </c>
    </row>
    <row r="477" spans="1:8" x14ac:dyDescent="0.2">
      <c r="A477">
        <v>20309501650</v>
      </c>
      <c r="B477" t="s">
        <v>592</v>
      </c>
      <c r="C477">
        <v>18.8</v>
      </c>
      <c r="D477">
        <v>33</v>
      </c>
      <c r="E477">
        <v>12.596</v>
      </c>
      <c r="F477" t="s">
        <v>78</v>
      </c>
      <c r="G477" t="s">
        <v>79</v>
      </c>
      <c r="H477" t="str">
        <f>IF(COUNTIF(Sheet1!$A:$A,TEXT(A477,"0"))+COUNTIF(Sheet1!$A:$A,A477)&gt;0,"موجود","غير موجود")</f>
        <v>موجود</v>
      </c>
    </row>
    <row r="478" spans="1:8" x14ac:dyDescent="0.2">
      <c r="A478">
        <v>20309501651</v>
      </c>
      <c r="B478" t="s">
        <v>593</v>
      </c>
      <c r="C478">
        <v>18.8</v>
      </c>
      <c r="D478">
        <v>33</v>
      </c>
      <c r="E478">
        <v>12.596</v>
      </c>
      <c r="F478" t="s">
        <v>78</v>
      </c>
      <c r="G478" t="s">
        <v>79</v>
      </c>
      <c r="H478" t="str">
        <f>IF(COUNTIF(Sheet1!$A:$A,TEXT(A478,"0"))+COUNTIF(Sheet1!$A:$A,A478)&gt;0,"موجود","غير موجود")</f>
        <v>موجود</v>
      </c>
    </row>
    <row r="479" spans="1:8" x14ac:dyDescent="0.2">
      <c r="A479">
        <v>20309501652</v>
      </c>
      <c r="B479" t="s">
        <v>594</v>
      </c>
      <c r="C479">
        <v>18.8</v>
      </c>
      <c r="D479">
        <v>33</v>
      </c>
      <c r="E479">
        <v>12.596</v>
      </c>
      <c r="F479" t="s">
        <v>78</v>
      </c>
      <c r="G479" t="s">
        <v>79</v>
      </c>
      <c r="H479" t="str">
        <f>IF(COUNTIF(Sheet1!$A:$A,TEXT(A479,"0"))+COUNTIF(Sheet1!$A:$A,A479)&gt;0,"موجود","غير موجود")</f>
        <v>موجود</v>
      </c>
    </row>
    <row r="480" spans="1:8" x14ac:dyDescent="0.2">
      <c r="A480">
        <v>20309501655</v>
      </c>
      <c r="B480" t="s">
        <v>595</v>
      </c>
      <c r="C480">
        <v>31.75</v>
      </c>
      <c r="D480">
        <v>33</v>
      </c>
      <c r="E480">
        <v>21.272500000000001</v>
      </c>
      <c r="F480" t="s">
        <v>78</v>
      </c>
      <c r="G480" t="s">
        <v>79</v>
      </c>
      <c r="H480" t="str">
        <f>IF(COUNTIF(Sheet1!$A:$A,TEXT(A480,"0"))+COUNTIF(Sheet1!$A:$A,A480)&gt;0,"موجود","غير موجود")</f>
        <v>موجود</v>
      </c>
    </row>
    <row r="481" spans="1:8" x14ac:dyDescent="0.2">
      <c r="A481">
        <v>20309501656</v>
      </c>
      <c r="B481" t="s">
        <v>596</v>
      </c>
      <c r="C481">
        <v>31.75</v>
      </c>
      <c r="D481">
        <v>33</v>
      </c>
      <c r="E481">
        <v>21.272500000000001</v>
      </c>
      <c r="F481" t="s">
        <v>78</v>
      </c>
      <c r="G481" t="s">
        <v>79</v>
      </c>
      <c r="H481" t="str">
        <f>IF(COUNTIF(Sheet1!$A:$A,TEXT(A481,"0"))+COUNTIF(Sheet1!$A:$A,A481)&gt;0,"موجود","غير موجود")</f>
        <v>غير موجود</v>
      </c>
    </row>
    <row r="482" spans="1:8" x14ac:dyDescent="0.2">
      <c r="A482">
        <v>20309502784</v>
      </c>
      <c r="B482" t="s">
        <v>597</v>
      </c>
      <c r="C482">
        <v>21.75</v>
      </c>
      <c r="D482">
        <v>33</v>
      </c>
      <c r="E482">
        <v>14.5725</v>
      </c>
      <c r="F482" t="s">
        <v>78</v>
      </c>
      <c r="G482" t="s">
        <v>79</v>
      </c>
      <c r="H482" t="str">
        <f>IF(COUNTIF(Sheet1!$A:$A,TEXT(A482,"0"))+COUNTIF(Sheet1!$A:$A,A482)&gt;0,"موجود","غير موجود")</f>
        <v>موجود</v>
      </c>
    </row>
    <row r="483" spans="1:8" x14ac:dyDescent="0.2">
      <c r="A483">
        <v>20309502785</v>
      </c>
      <c r="B483" t="s">
        <v>598</v>
      </c>
      <c r="C483">
        <v>21.75</v>
      </c>
      <c r="D483">
        <v>33</v>
      </c>
      <c r="E483">
        <v>14.5725</v>
      </c>
      <c r="F483" t="s">
        <v>78</v>
      </c>
      <c r="G483" t="s">
        <v>79</v>
      </c>
      <c r="H483" t="str">
        <f>IF(COUNTIF(Sheet1!$A:$A,TEXT(A483,"0"))+COUNTIF(Sheet1!$A:$A,A483)&gt;0,"موجود","غير موجود")</f>
        <v>غير موجود</v>
      </c>
    </row>
    <row r="484" spans="1:8" x14ac:dyDescent="0.2">
      <c r="A484">
        <v>20309502786</v>
      </c>
      <c r="B484" t="s">
        <v>599</v>
      </c>
      <c r="C484">
        <v>21.75</v>
      </c>
      <c r="D484">
        <v>33</v>
      </c>
      <c r="E484">
        <v>14.5725</v>
      </c>
      <c r="F484" t="s">
        <v>78</v>
      </c>
      <c r="G484" t="s">
        <v>79</v>
      </c>
      <c r="H484" t="str">
        <f>IF(COUNTIF(Sheet1!$A:$A,TEXT(A484,"0"))+COUNTIF(Sheet1!$A:$A,A484)&gt;0,"موجود","غير موجود")</f>
        <v>غير موجود</v>
      </c>
    </row>
    <row r="485" spans="1:8" x14ac:dyDescent="0.2">
      <c r="A485">
        <v>20715010192</v>
      </c>
      <c r="B485" t="s">
        <v>600</v>
      </c>
      <c r="C485">
        <v>85.5</v>
      </c>
      <c r="D485">
        <v>12.5</v>
      </c>
      <c r="E485">
        <v>74.8125</v>
      </c>
      <c r="F485" t="s">
        <v>78</v>
      </c>
      <c r="G485" t="s">
        <v>83</v>
      </c>
      <c r="H485" t="str">
        <f>IF(COUNTIF(Sheet1!$A:$A,TEXT(A485,"0"))+COUNTIF(Sheet1!$A:$A,A485)&gt;0,"موجود","غير موجود")</f>
        <v>موجود</v>
      </c>
    </row>
    <row r="486" spans="1:8" x14ac:dyDescent="0.2">
      <c r="A486">
        <v>20715010166</v>
      </c>
      <c r="B486" t="s">
        <v>601</v>
      </c>
      <c r="C486">
        <v>85.5</v>
      </c>
      <c r="D486">
        <v>12.5</v>
      </c>
      <c r="E486">
        <v>74.8125</v>
      </c>
      <c r="F486" t="s">
        <v>78</v>
      </c>
      <c r="G486" t="s">
        <v>83</v>
      </c>
      <c r="H486" t="str">
        <f>IF(COUNTIF(Sheet1!$A:$A,TEXT(A486,"0"))+COUNTIF(Sheet1!$A:$A,A486)&gt;0,"موجود","غير موجود")</f>
        <v>موجود</v>
      </c>
    </row>
    <row r="487" spans="1:8" x14ac:dyDescent="0.2">
      <c r="A487">
        <v>20715010168</v>
      </c>
      <c r="B487" t="s">
        <v>602</v>
      </c>
      <c r="C487">
        <v>85.5</v>
      </c>
      <c r="D487">
        <v>12.5</v>
      </c>
      <c r="E487">
        <v>74.8125</v>
      </c>
      <c r="F487" t="s">
        <v>78</v>
      </c>
      <c r="G487" t="s">
        <v>83</v>
      </c>
      <c r="H487" t="str">
        <f>IF(COUNTIF(Sheet1!$A:$A,TEXT(A487,"0"))+COUNTIF(Sheet1!$A:$A,A487)&gt;0,"موجود","غير موجود")</f>
        <v>موجود</v>
      </c>
    </row>
    <row r="488" spans="1:8" x14ac:dyDescent="0.2">
      <c r="A488">
        <v>20715010233</v>
      </c>
      <c r="B488" t="s">
        <v>603</v>
      </c>
      <c r="C488">
        <v>170.9</v>
      </c>
      <c r="D488">
        <v>12.5</v>
      </c>
      <c r="E488">
        <v>149.53749999999999</v>
      </c>
      <c r="F488" t="s">
        <v>78</v>
      </c>
      <c r="G488" t="s">
        <v>83</v>
      </c>
      <c r="H488" t="str">
        <f>IF(COUNTIF(Sheet1!$A:$A,TEXT(A488,"0"))+COUNTIF(Sheet1!$A:$A,A488)&gt;0,"موجود","غير موجود")</f>
        <v>موجود</v>
      </c>
    </row>
    <row r="489" spans="1:8" x14ac:dyDescent="0.2">
      <c r="A489">
        <v>20715010234</v>
      </c>
      <c r="B489" t="s">
        <v>604</v>
      </c>
      <c r="C489">
        <v>170.9</v>
      </c>
      <c r="D489">
        <v>12.5</v>
      </c>
      <c r="E489">
        <v>149.53749999999999</v>
      </c>
      <c r="F489" t="s">
        <v>78</v>
      </c>
      <c r="G489" t="s">
        <v>83</v>
      </c>
      <c r="H489" t="str">
        <f>IF(COUNTIF(Sheet1!$A:$A,TEXT(A489,"0"))+COUNTIF(Sheet1!$A:$A,A489)&gt;0,"موجود","غير موجود")</f>
        <v>موجود</v>
      </c>
    </row>
    <row r="490" spans="1:8" x14ac:dyDescent="0.2">
      <c r="A490">
        <v>20715010169</v>
      </c>
      <c r="B490" t="s">
        <v>605</v>
      </c>
      <c r="C490">
        <v>40.700000000000003</v>
      </c>
      <c r="D490">
        <v>7.5</v>
      </c>
      <c r="E490">
        <v>37.647500000000001</v>
      </c>
      <c r="F490" t="s">
        <v>78</v>
      </c>
      <c r="G490" t="s">
        <v>83</v>
      </c>
      <c r="H490" t="str">
        <f>IF(COUNTIF(Sheet1!$A:$A,TEXT(A490,"0"))+COUNTIF(Sheet1!$A:$A,A490)&gt;0,"موجود","غير موجود")</f>
        <v>موجود</v>
      </c>
    </row>
    <row r="491" spans="1:8" x14ac:dyDescent="0.2">
      <c r="A491">
        <v>20715010167</v>
      </c>
      <c r="B491" t="s">
        <v>606</v>
      </c>
      <c r="C491">
        <v>40.700000000000003</v>
      </c>
      <c r="D491">
        <v>7.5</v>
      </c>
      <c r="E491">
        <v>37.647500000000001</v>
      </c>
      <c r="F491" t="s">
        <v>78</v>
      </c>
      <c r="G491" t="s">
        <v>83</v>
      </c>
      <c r="H491" t="str">
        <f>IF(COUNTIF(Sheet1!$A:$A,TEXT(A491,"0"))+COUNTIF(Sheet1!$A:$A,A491)&gt;0,"موجود","غير موجود")</f>
        <v>موجود</v>
      </c>
    </row>
    <row r="492" spans="1:8" x14ac:dyDescent="0.2">
      <c r="A492">
        <v>20715010164</v>
      </c>
      <c r="B492" t="s">
        <v>607</v>
      </c>
      <c r="C492">
        <v>40.700000000000003</v>
      </c>
      <c r="D492">
        <v>7.5</v>
      </c>
      <c r="E492">
        <v>37.647500000000001</v>
      </c>
      <c r="F492" t="s">
        <v>78</v>
      </c>
      <c r="G492" t="s">
        <v>83</v>
      </c>
      <c r="H492" t="str">
        <f>IF(COUNTIF(Sheet1!$A:$A,TEXT(A492,"0"))+COUNTIF(Sheet1!$A:$A,A492)&gt;0,"موجود","غير موجود")</f>
        <v>موجود</v>
      </c>
    </row>
    <row r="493" spans="1:8" x14ac:dyDescent="0.2">
      <c r="A493">
        <v>20715010220</v>
      </c>
      <c r="B493" t="s">
        <v>608</v>
      </c>
      <c r="C493">
        <v>88.4</v>
      </c>
      <c r="D493">
        <v>20</v>
      </c>
      <c r="E493">
        <v>70.72</v>
      </c>
      <c r="F493" t="s">
        <v>78</v>
      </c>
      <c r="G493" t="s">
        <v>83</v>
      </c>
      <c r="H493" t="str">
        <f>IF(COUNTIF(Sheet1!$A:$A,TEXT(A493,"0"))+COUNTIF(Sheet1!$A:$A,A493)&gt;0,"موجود","غير موجود")</f>
        <v>موجود</v>
      </c>
    </row>
    <row r="494" spans="1:8" x14ac:dyDescent="0.2">
      <c r="A494">
        <v>20715010221</v>
      </c>
      <c r="B494" t="s">
        <v>609</v>
      </c>
      <c r="C494">
        <v>88.4</v>
      </c>
      <c r="D494">
        <v>20</v>
      </c>
      <c r="E494">
        <v>70.72</v>
      </c>
      <c r="F494" t="s">
        <v>78</v>
      </c>
      <c r="G494" t="s">
        <v>83</v>
      </c>
      <c r="H494" t="str">
        <f>IF(COUNTIF(Sheet1!$A:$A,TEXT(A494,"0"))+COUNTIF(Sheet1!$A:$A,A494)&gt;0,"موجود","غير موجود")</f>
        <v>موجود</v>
      </c>
    </row>
    <row r="495" spans="1:8" x14ac:dyDescent="0.2">
      <c r="A495">
        <v>20715010246</v>
      </c>
      <c r="B495" t="s">
        <v>610</v>
      </c>
      <c r="C495">
        <v>86.1</v>
      </c>
      <c r="D495">
        <v>20</v>
      </c>
      <c r="E495">
        <v>68.88</v>
      </c>
      <c r="F495" t="s">
        <v>78</v>
      </c>
      <c r="G495" t="s">
        <v>83</v>
      </c>
      <c r="H495" t="str">
        <f>IF(COUNTIF(Sheet1!$A:$A,TEXT(A495,"0"))+COUNTIF(Sheet1!$A:$A,A495)&gt;0,"موجود","غير موجود")</f>
        <v>موجود</v>
      </c>
    </row>
    <row r="496" spans="1:8" x14ac:dyDescent="0.2">
      <c r="A496">
        <v>20715010217</v>
      </c>
      <c r="B496" t="s">
        <v>611</v>
      </c>
      <c r="C496">
        <v>41.7</v>
      </c>
      <c r="D496">
        <v>17.5</v>
      </c>
      <c r="E496">
        <v>33.795999999999999</v>
      </c>
      <c r="F496" t="s">
        <v>78</v>
      </c>
      <c r="G496" t="s">
        <v>83</v>
      </c>
      <c r="H496" t="str">
        <f>IF(COUNTIF(Sheet1!$A:$A,TEXT(A496,"0"))+COUNTIF(Sheet1!$A:$A,A496)&gt;0,"موجود","غير موجود")</f>
        <v>موجود</v>
      </c>
    </row>
    <row r="497" spans="1:8" x14ac:dyDescent="0.2">
      <c r="A497">
        <v>20715010218</v>
      </c>
      <c r="B497" t="s">
        <v>612</v>
      </c>
      <c r="C497">
        <v>41.7</v>
      </c>
      <c r="D497">
        <v>17.5</v>
      </c>
      <c r="E497">
        <v>33.762</v>
      </c>
      <c r="F497" t="s">
        <v>78</v>
      </c>
      <c r="G497" t="s">
        <v>83</v>
      </c>
      <c r="H497" t="str">
        <f>IF(COUNTIF(Sheet1!$A:$A,TEXT(A497,"0"))+COUNTIF(Sheet1!$A:$A,A497)&gt;0,"موجود","غير موجود")</f>
        <v>موجود</v>
      </c>
    </row>
    <row r="498" spans="1:8" x14ac:dyDescent="0.2">
      <c r="A498">
        <v>20715010219</v>
      </c>
      <c r="B498" t="s">
        <v>613</v>
      </c>
      <c r="C498">
        <v>38.6</v>
      </c>
      <c r="D498">
        <v>17.5</v>
      </c>
      <c r="E498">
        <v>32.81</v>
      </c>
      <c r="F498" t="s">
        <v>78</v>
      </c>
      <c r="G498" t="s">
        <v>83</v>
      </c>
      <c r="H498" t="str">
        <f>IF(COUNTIF(Sheet1!$A:$A,TEXT(A498,"0"))+COUNTIF(Sheet1!$A:$A,A498)&gt;0,"موجود","غير موجود")</f>
        <v>موجود</v>
      </c>
    </row>
    <row r="499" spans="1:8" x14ac:dyDescent="0.2">
      <c r="A499">
        <v>30420010576</v>
      </c>
      <c r="B499" t="s">
        <v>614</v>
      </c>
      <c r="C499">
        <v>200</v>
      </c>
      <c r="D499">
        <v>10</v>
      </c>
      <c r="E499">
        <v>180</v>
      </c>
      <c r="F499" t="s">
        <v>78</v>
      </c>
      <c r="G499" t="s">
        <v>79</v>
      </c>
      <c r="H499" t="str">
        <f>IF(COUNTIF(Sheet1!$A:$A,TEXT(A499,"0"))+COUNTIF(Sheet1!$A:$A,A499)&gt;0,"موجود","غير موجود")</f>
        <v>موجود</v>
      </c>
    </row>
    <row r="500" spans="1:8" x14ac:dyDescent="0.2">
      <c r="A500">
        <v>30420012852</v>
      </c>
      <c r="B500" t="s">
        <v>615</v>
      </c>
      <c r="C500">
        <v>342</v>
      </c>
      <c r="D500">
        <v>15</v>
      </c>
      <c r="E500">
        <v>290.7</v>
      </c>
      <c r="F500" t="s">
        <v>78</v>
      </c>
      <c r="G500" t="s">
        <v>79</v>
      </c>
      <c r="H500" t="str">
        <f>IF(COUNTIF(Sheet1!$A:$A,TEXT(A500,"0"))+COUNTIF(Sheet1!$A:$A,A500)&gt;0,"موجود","غير موجود")</f>
        <v>موجود</v>
      </c>
    </row>
    <row r="501" spans="1:8" x14ac:dyDescent="0.2">
      <c r="A501">
        <v>20309021593</v>
      </c>
      <c r="B501" t="s">
        <v>616</v>
      </c>
      <c r="C501">
        <v>36.299999999999997</v>
      </c>
      <c r="D501">
        <v>25</v>
      </c>
      <c r="E501">
        <v>27.224999999999998</v>
      </c>
      <c r="F501" t="s">
        <v>78</v>
      </c>
      <c r="G501" t="s">
        <v>79</v>
      </c>
      <c r="H501" t="str">
        <f>IF(COUNTIF(Sheet1!$A:$A,TEXT(A501,"0"))+COUNTIF(Sheet1!$A:$A,A501)&gt;0,"موجود","غير موجود")</f>
        <v>موجود</v>
      </c>
    </row>
    <row r="502" spans="1:8" x14ac:dyDescent="0.2">
      <c r="A502">
        <v>20309021594</v>
      </c>
      <c r="B502" t="s">
        <v>617</v>
      </c>
      <c r="C502">
        <v>59</v>
      </c>
      <c r="D502">
        <v>25</v>
      </c>
      <c r="E502">
        <v>44.25</v>
      </c>
      <c r="F502" t="s">
        <v>78</v>
      </c>
      <c r="G502" t="s">
        <v>79</v>
      </c>
      <c r="H502" t="str">
        <f>IF(COUNTIF(Sheet1!$A:$A,TEXT(A502,"0"))+COUNTIF(Sheet1!$A:$A,A502)&gt;0,"موجود","غير موجود")</f>
        <v>موجود</v>
      </c>
    </row>
    <row r="503" spans="1:8" x14ac:dyDescent="0.2">
      <c r="A503">
        <v>20309021595</v>
      </c>
      <c r="B503" t="s">
        <v>618</v>
      </c>
      <c r="C503">
        <v>55</v>
      </c>
      <c r="D503">
        <v>25</v>
      </c>
      <c r="E503">
        <v>41.25</v>
      </c>
      <c r="F503" t="s">
        <v>78</v>
      </c>
      <c r="G503" t="s">
        <v>79</v>
      </c>
      <c r="H503" t="str">
        <f>IF(COUNTIF(Sheet1!$A:$A,TEXT(A503,"0"))+COUNTIF(Sheet1!$A:$A,A503)&gt;0,"موجود","غير موجود")</f>
        <v>غير موجود</v>
      </c>
    </row>
    <row r="504" spans="1:8" x14ac:dyDescent="0.2">
      <c r="A504">
        <v>20309021596</v>
      </c>
      <c r="B504" t="s">
        <v>619</v>
      </c>
      <c r="C504">
        <v>120</v>
      </c>
      <c r="D504">
        <v>25</v>
      </c>
      <c r="E504">
        <v>90</v>
      </c>
      <c r="F504" t="s">
        <v>78</v>
      </c>
      <c r="G504" t="s">
        <v>79</v>
      </c>
      <c r="H504" t="str">
        <f>IF(COUNTIF(Sheet1!$A:$A,TEXT(A504,"0"))+COUNTIF(Sheet1!$A:$A,A504)&gt;0,"موجود","غير موجود")</f>
        <v>موجود</v>
      </c>
    </row>
    <row r="505" spans="1:8" x14ac:dyDescent="0.2">
      <c r="A505">
        <v>20309021597</v>
      </c>
      <c r="B505" t="s">
        <v>620</v>
      </c>
      <c r="C505">
        <v>65</v>
      </c>
      <c r="D505">
        <v>25</v>
      </c>
      <c r="E505">
        <v>48.75</v>
      </c>
      <c r="F505" t="s">
        <v>78</v>
      </c>
      <c r="G505" t="s">
        <v>79</v>
      </c>
      <c r="H505" t="str">
        <f>IF(COUNTIF(Sheet1!$A:$A,TEXT(A505,"0"))+COUNTIF(Sheet1!$A:$A,A505)&gt;0,"موجود","غير موجود")</f>
        <v>موجود</v>
      </c>
    </row>
    <row r="506" spans="1:8" x14ac:dyDescent="0.2">
      <c r="A506">
        <v>20309021598</v>
      </c>
      <c r="B506" t="s">
        <v>621</v>
      </c>
      <c r="C506">
        <v>65</v>
      </c>
      <c r="D506">
        <v>25</v>
      </c>
      <c r="E506">
        <v>48.75</v>
      </c>
      <c r="F506" t="s">
        <v>78</v>
      </c>
      <c r="G506" t="s">
        <v>79</v>
      </c>
      <c r="H506" t="str">
        <f>IF(COUNTIF(Sheet1!$A:$A,TEXT(A506,"0"))+COUNTIF(Sheet1!$A:$A,A506)&gt;0,"موجود","غير موجود")</f>
        <v>موجود</v>
      </c>
    </row>
    <row r="507" spans="1:8" x14ac:dyDescent="0.2">
      <c r="A507">
        <v>20309021599</v>
      </c>
      <c r="B507" t="s">
        <v>622</v>
      </c>
      <c r="C507">
        <v>120</v>
      </c>
      <c r="D507">
        <v>25</v>
      </c>
      <c r="E507">
        <v>90</v>
      </c>
      <c r="F507" t="s">
        <v>78</v>
      </c>
      <c r="G507" t="s">
        <v>79</v>
      </c>
      <c r="H507" t="str">
        <f>IF(COUNTIF(Sheet1!$A:$A,TEXT(A507,"0"))+COUNTIF(Sheet1!$A:$A,A507)&gt;0,"موجود","غير موجود")</f>
        <v>غير موجود</v>
      </c>
    </row>
    <row r="508" spans="1:8" x14ac:dyDescent="0.2">
      <c r="A508">
        <v>20309021600</v>
      </c>
      <c r="B508" t="s">
        <v>623</v>
      </c>
      <c r="C508">
        <v>59</v>
      </c>
      <c r="D508">
        <v>25</v>
      </c>
      <c r="E508">
        <v>44.25</v>
      </c>
      <c r="F508" t="s">
        <v>78</v>
      </c>
      <c r="G508" t="s">
        <v>79</v>
      </c>
      <c r="H508" t="str">
        <f>IF(COUNTIF(Sheet1!$A:$A,TEXT(A508,"0"))+COUNTIF(Sheet1!$A:$A,A508)&gt;0,"موجود","غير موجود")</f>
        <v>غير موجود</v>
      </c>
    </row>
    <row r="509" spans="1:8" x14ac:dyDescent="0.2">
      <c r="A509">
        <v>20309021601</v>
      </c>
      <c r="B509" t="s">
        <v>624</v>
      </c>
      <c r="C509">
        <v>120</v>
      </c>
      <c r="D509">
        <v>25</v>
      </c>
      <c r="E509">
        <v>90</v>
      </c>
      <c r="F509" t="s">
        <v>78</v>
      </c>
      <c r="G509" t="s">
        <v>79</v>
      </c>
      <c r="H509" t="str">
        <f>IF(COUNTIF(Sheet1!$A:$A,TEXT(A509,"0"))+COUNTIF(Sheet1!$A:$A,A509)&gt;0,"موجود","غير موجود")</f>
        <v>غير موجود</v>
      </c>
    </row>
    <row r="510" spans="1:8" x14ac:dyDescent="0.2">
      <c r="A510">
        <v>20309021602</v>
      </c>
      <c r="B510" t="s">
        <v>625</v>
      </c>
      <c r="C510">
        <v>120</v>
      </c>
      <c r="D510">
        <v>25</v>
      </c>
      <c r="E510">
        <v>90</v>
      </c>
      <c r="F510" t="s">
        <v>78</v>
      </c>
      <c r="G510" t="s">
        <v>79</v>
      </c>
      <c r="H510" t="str">
        <f>IF(COUNTIF(Sheet1!$A:$A,TEXT(A510,"0"))+COUNTIF(Sheet1!$A:$A,A510)&gt;0,"موجود","غير موجود")</f>
        <v>غير موجود</v>
      </c>
    </row>
    <row r="511" spans="1:8" x14ac:dyDescent="0.2">
      <c r="A511">
        <v>20309070158</v>
      </c>
      <c r="B511" t="s">
        <v>626</v>
      </c>
      <c r="C511">
        <v>17.2</v>
      </c>
      <c r="D511">
        <v>25</v>
      </c>
      <c r="E511">
        <v>12.899999999999999</v>
      </c>
      <c r="F511" t="s">
        <v>78</v>
      </c>
      <c r="G511" t="s">
        <v>79</v>
      </c>
      <c r="H511" t="str">
        <f>IF(COUNTIF(Sheet1!$A:$A,TEXT(A511,"0"))+COUNTIF(Sheet1!$A:$A,A511)&gt;0,"موجود","غير موجود")</f>
        <v>موجود</v>
      </c>
    </row>
    <row r="512" spans="1:8" x14ac:dyDescent="0.2">
      <c r="A512">
        <v>20309070176</v>
      </c>
      <c r="B512" t="s">
        <v>627</v>
      </c>
      <c r="C512">
        <v>8.5</v>
      </c>
      <c r="D512">
        <v>20</v>
      </c>
      <c r="E512">
        <v>6.8</v>
      </c>
      <c r="F512" t="s">
        <v>78</v>
      </c>
      <c r="G512" t="s">
        <v>79</v>
      </c>
      <c r="H512" t="str">
        <f>IF(COUNTIF(Sheet1!$A:$A,TEXT(A512,"0"))+COUNTIF(Sheet1!$A:$A,A512)&gt;0,"موجود","غير موجود")</f>
        <v>غير موجود</v>
      </c>
    </row>
    <row r="513" spans="1:8" x14ac:dyDescent="0.2">
      <c r="A513">
        <v>20309500466</v>
      </c>
      <c r="B513" t="s">
        <v>628</v>
      </c>
      <c r="C513">
        <v>47.3</v>
      </c>
      <c r="D513">
        <v>25</v>
      </c>
      <c r="E513">
        <v>35.474999999999994</v>
      </c>
      <c r="F513" t="s">
        <v>78</v>
      </c>
      <c r="G513" t="s">
        <v>79</v>
      </c>
      <c r="H513" t="str">
        <f>IF(COUNTIF(Sheet1!$A:$A,TEXT(A513,"0"))+COUNTIF(Sheet1!$A:$A,A513)&gt;0,"موجود","غير موجود")</f>
        <v>موجود</v>
      </c>
    </row>
    <row r="514" spans="1:8" x14ac:dyDescent="0.2">
      <c r="A514">
        <v>20309500867</v>
      </c>
      <c r="B514" t="s">
        <v>629</v>
      </c>
      <c r="C514">
        <v>22.69</v>
      </c>
      <c r="D514">
        <v>20</v>
      </c>
      <c r="E514">
        <v>18.152000000000001</v>
      </c>
      <c r="F514" t="s">
        <v>78</v>
      </c>
      <c r="G514" t="s">
        <v>79</v>
      </c>
      <c r="H514" t="str">
        <f>IF(COUNTIF(Sheet1!$A:$A,TEXT(A514,"0"))+COUNTIF(Sheet1!$A:$A,A514)&gt;0,"موجود","غير موجود")</f>
        <v>غير موجود</v>
      </c>
    </row>
    <row r="515" spans="1:8" x14ac:dyDescent="0.2">
      <c r="A515">
        <v>20309500868</v>
      </c>
      <c r="B515" t="s">
        <v>630</v>
      </c>
      <c r="C515">
        <v>13.61</v>
      </c>
      <c r="D515">
        <v>20</v>
      </c>
      <c r="E515">
        <v>10.888</v>
      </c>
      <c r="F515" t="s">
        <v>78</v>
      </c>
      <c r="G515" t="s">
        <v>79</v>
      </c>
      <c r="H515" t="str">
        <f>IF(COUNTIF(Sheet1!$A:$A,TEXT(A515,"0"))+COUNTIF(Sheet1!$A:$A,A515)&gt;0,"موجود","غير موجود")</f>
        <v>غير موجود</v>
      </c>
    </row>
    <row r="516" spans="1:8" x14ac:dyDescent="0.2">
      <c r="A516">
        <v>20309500869</v>
      </c>
      <c r="B516" t="s">
        <v>631</v>
      </c>
      <c r="C516">
        <v>26.46</v>
      </c>
      <c r="D516">
        <v>20</v>
      </c>
      <c r="E516">
        <v>21.167999999999999</v>
      </c>
      <c r="F516" t="s">
        <v>78</v>
      </c>
      <c r="G516" t="s">
        <v>79</v>
      </c>
      <c r="H516" t="str">
        <f>IF(COUNTIF(Sheet1!$A:$A,TEXT(A516,"0"))+COUNTIF(Sheet1!$A:$A,A516)&gt;0,"موجود","غير موجود")</f>
        <v>غير موجود</v>
      </c>
    </row>
    <row r="517" spans="1:8" x14ac:dyDescent="0.2">
      <c r="A517">
        <v>20309500943</v>
      </c>
      <c r="B517" t="s">
        <v>632</v>
      </c>
      <c r="C517">
        <v>22.69</v>
      </c>
      <c r="D517">
        <v>20</v>
      </c>
      <c r="E517">
        <v>18.152000000000001</v>
      </c>
      <c r="F517" t="s">
        <v>78</v>
      </c>
      <c r="G517" t="s">
        <v>79</v>
      </c>
      <c r="H517" t="str">
        <f>IF(COUNTIF(Sheet1!$A:$A,TEXT(A517,"0"))+COUNTIF(Sheet1!$A:$A,A517)&gt;0,"موجود","غير موجود")</f>
        <v>غير موجود</v>
      </c>
    </row>
    <row r="518" spans="1:8" x14ac:dyDescent="0.2">
      <c r="A518">
        <v>20309500944</v>
      </c>
      <c r="B518" t="s">
        <v>633</v>
      </c>
      <c r="C518">
        <v>20.420000000000002</v>
      </c>
      <c r="D518">
        <v>20</v>
      </c>
      <c r="E518">
        <v>16.336000000000002</v>
      </c>
      <c r="F518" t="s">
        <v>78</v>
      </c>
      <c r="G518" t="s">
        <v>79</v>
      </c>
      <c r="H518" t="str">
        <f>IF(COUNTIF(Sheet1!$A:$A,TEXT(A518,"0"))+COUNTIF(Sheet1!$A:$A,A518)&gt;0,"موجود","غير موجود")</f>
        <v>غير موجود</v>
      </c>
    </row>
    <row r="519" spans="1:8" x14ac:dyDescent="0.2">
      <c r="A519">
        <v>20309500945</v>
      </c>
      <c r="B519" t="s">
        <v>634</v>
      </c>
      <c r="C519">
        <v>18.899999999999999</v>
      </c>
      <c r="D519">
        <v>20</v>
      </c>
      <c r="E519">
        <v>15.12</v>
      </c>
      <c r="F519" t="s">
        <v>78</v>
      </c>
      <c r="G519" t="s">
        <v>79</v>
      </c>
      <c r="H519" t="str">
        <f>IF(COUNTIF(Sheet1!$A:$A,TEXT(A519,"0"))+COUNTIF(Sheet1!$A:$A,A519)&gt;0,"موجود","غير موجود")</f>
        <v>غير موجود</v>
      </c>
    </row>
    <row r="520" spans="1:8" x14ac:dyDescent="0.2">
      <c r="A520">
        <v>20309500946</v>
      </c>
      <c r="B520" t="s">
        <v>635</v>
      </c>
      <c r="C520">
        <v>7.57</v>
      </c>
      <c r="D520">
        <v>20</v>
      </c>
      <c r="E520">
        <v>6.056</v>
      </c>
      <c r="F520" t="s">
        <v>78</v>
      </c>
      <c r="G520" t="s">
        <v>79</v>
      </c>
      <c r="H520" t="str">
        <f>IF(COUNTIF(Sheet1!$A:$A,TEXT(A520,"0"))+COUNTIF(Sheet1!$A:$A,A520)&gt;0,"موجود","غير موجود")</f>
        <v>غير موجود</v>
      </c>
    </row>
    <row r="521" spans="1:8" x14ac:dyDescent="0.2">
      <c r="A521">
        <v>20309500947</v>
      </c>
      <c r="B521" t="s">
        <v>636</v>
      </c>
      <c r="C521">
        <v>11.34</v>
      </c>
      <c r="D521">
        <v>20</v>
      </c>
      <c r="E521">
        <v>9.0719999999999992</v>
      </c>
      <c r="F521" t="s">
        <v>78</v>
      </c>
      <c r="G521" t="s">
        <v>79</v>
      </c>
      <c r="H521" t="str">
        <f>IF(COUNTIF(Sheet1!$A:$A,TEXT(A521,"0"))+COUNTIF(Sheet1!$A:$A,A521)&gt;0,"موجود","غير موجود")</f>
        <v>غير موجود</v>
      </c>
    </row>
    <row r="522" spans="1:8" x14ac:dyDescent="0.2">
      <c r="A522">
        <v>20309500948</v>
      </c>
      <c r="B522" t="s">
        <v>637</v>
      </c>
      <c r="C522">
        <v>12.85</v>
      </c>
      <c r="D522">
        <v>20</v>
      </c>
      <c r="E522">
        <v>10.28</v>
      </c>
      <c r="F522" t="s">
        <v>78</v>
      </c>
      <c r="G522" t="s">
        <v>79</v>
      </c>
      <c r="H522" t="str">
        <f>IF(COUNTIF(Sheet1!$A:$A,TEXT(A522,"0"))+COUNTIF(Sheet1!$A:$A,A522)&gt;0,"موجود","غير موجود")</f>
        <v>غير موجود</v>
      </c>
    </row>
    <row r="523" spans="1:8" x14ac:dyDescent="0.2">
      <c r="A523">
        <v>20309500949</v>
      </c>
      <c r="B523" t="s">
        <v>638</v>
      </c>
      <c r="C523">
        <v>22</v>
      </c>
      <c r="D523">
        <v>20</v>
      </c>
      <c r="E523">
        <v>17.600000000000001</v>
      </c>
      <c r="F523" t="s">
        <v>78</v>
      </c>
      <c r="G523" t="s">
        <v>79</v>
      </c>
      <c r="H523" t="str">
        <f>IF(COUNTIF(Sheet1!$A:$A,TEXT(A523,"0"))+COUNTIF(Sheet1!$A:$A,A523)&gt;0,"موجود","غير موجود")</f>
        <v>غير موجود</v>
      </c>
    </row>
    <row r="524" spans="1:8" x14ac:dyDescent="0.2">
      <c r="A524">
        <v>20309500950</v>
      </c>
      <c r="B524" t="s">
        <v>639</v>
      </c>
      <c r="C524">
        <v>14.37</v>
      </c>
      <c r="D524">
        <v>20</v>
      </c>
      <c r="E524">
        <v>11.495999999999999</v>
      </c>
      <c r="F524" t="s">
        <v>78</v>
      </c>
      <c r="G524" t="s">
        <v>79</v>
      </c>
      <c r="H524" t="str">
        <f>IF(COUNTIF(Sheet1!$A:$A,TEXT(A524,"0"))+COUNTIF(Sheet1!$A:$A,A524)&gt;0,"موجود","غير موجود")</f>
        <v>غير موجود</v>
      </c>
    </row>
    <row r="525" spans="1:8" x14ac:dyDescent="0.2">
      <c r="A525">
        <v>20309500951</v>
      </c>
      <c r="B525" t="s">
        <v>640</v>
      </c>
      <c r="C525">
        <v>12.85</v>
      </c>
      <c r="D525">
        <v>20</v>
      </c>
      <c r="E525">
        <v>10.28</v>
      </c>
      <c r="F525" t="s">
        <v>78</v>
      </c>
      <c r="G525" t="s">
        <v>79</v>
      </c>
      <c r="H525" t="str">
        <f>IF(COUNTIF(Sheet1!$A:$A,TEXT(A525,"0"))+COUNTIF(Sheet1!$A:$A,A525)&gt;0,"موجود","غير موجود")</f>
        <v>غير موجود</v>
      </c>
    </row>
    <row r="526" spans="1:8" x14ac:dyDescent="0.2">
      <c r="A526">
        <v>20309500953</v>
      </c>
      <c r="B526" t="s">
        <v>641</v>
      </c>
      <c r="C526">
        <v>14.37</v>
      </c>
      <c r="D526">
        <v>20</v>
      </c>
      <c r="E526">
        <v>11.495999999999999</v>
      </c>
      <c r="F526" t="s">
        <v>78</v>
      </c>
      <c r="G526" t="s">
        <v>79</v>
      </c>
      <c r="H526" t="str">
        <f>IF(COUNTIF(Sheet1!$A:$A,TEXT(A526,"0"))+COUNTIF(Sheet1!$A:$A,A526)&gt;0,"موجود","غير موجود")</f>
        <v>غير موجود</v>
      </c>
    </row>
    <row r="527" spans="1:8" x14ac:dyDescent="0.2">
      <c r="A527">
        <v>20309501185</v>
      </c>
      <c r="B527" t="s">
        <v>642</v>
      </c>
      <c r="C527">
        <v>18.899999999999999</v>
      </c>
      <c r="D527">
        <v>20</v>
      </c>
      <c r="E527">
        <v>15.12</v>
      </c>
      <c r="F527" t="s">
        <v>78</v>
      </c>
      <c r="G527" t="s">
        <v>79</v>
      </c>
      <c r="H527" t="str">
        <f>IF(COUNTIF(Sheet1!$A:$A,TEXT(A527,"0"))+COUNTIF(Sheet1!$A:$A,A527)&gt;0,"موجود","غير موجود")</f>
        <v>غير موجود</v>
      </c>
    </row>
    <row r="528" spans="1:8" x14ac:dyDescent="0.2">
      <c r="A528">
        <v>20309501186</v>
      </c>
      <c r="B528" t="s">
        <v>643</v>
      </c>
      <c r="C528">
        <v>12.85</v>
      </c>
      <c r="D528">
        <v>20</v>
      </c>
      <c r="E528">
        <v>10.28</v>
      </c>
      <c r="F528" t="s">
        <v>78</v>
      </c>
      <c r="G528" t="s">
        <v>79</v>
      </c>
      <c r="H528" t="str">
        <f>IF(COUNTIF(Sheet1!$A:$A,TEXT(A528,"0"))+COUNTIF(Sheet1!$A:$A,A528)&gt;0,"موجود","غير موجود")</f>
        <v>غير موجود</v>
      </c>
    </row>
    <row r="529" spans="1:8" x14ac:dyDescent="0.2">
      <c r="A529">
        <v>20309501187</v>
      </c>
      <c r="B529" t="s">
        <v>640</v>
      </c>
      <c r="C529">
        <v>12.85</v>
      </c>
      <c r="D529">
        <v>20</v>
      </c>
      <c r="E529">
        <v>10.28</v>
      </c>
      <c r="F529" t="s">
        <v>78</v>
      </c>
      <c r="G529" t="s">
        <v>79</v>
      </c>
      <c r="H529" t="str">
        <f>IF(COUNTIF(Sheet1!$A:$A,TEXT(A529,"0"))+COUNTIF(Sheet1!$A:$A,A529)&gt;0,"موجود","غير موجود")</f>
        <v>غير موجود</v>
      </c>
    </row>
    <row r="530" spans="1:8" x14ac:dyDescent="0.2">
      <c r="A530">
        <v>20309501188</v>
      </c>
      <c r="B530" t="s">
        <v>644</v>
      </c>
      <c r="C530">
        <v>12.85</v>
      </c>
      <c r="D530">
        <v>20</v>
      </c>
      <c r="E530">
        <v>10.28</v>
      </c>
      <c r="F530" t="s">
        <v>78</v>
      </c>
      <c r="G530" t="s">
        <v>79</v>
      </c>
      <c r="H530" t="str">
        <f>IF(COUNTIF(Sheet1!$A:$A,TEXT(A530,"0"))+COUNTIF(Sheet1!$A:$A,A530)&gt;0,"موجود","غير موجود")</f>
        <v>غير موجود</v>
      </c>
    </row>
    <row r="531" spans="1:8" x14ac:dyDescent="0.2">
      <c r="A531">
        <v>20309501189</v>
      </c>
      <c r="B531" t="s">
        <v>645</v>
      </c>
      <c r="C531">
        <v>17.39</v>
      </c>
      <c r="D531">
        <v>20</v>
      </c>
      <c r="E531">
        <v>13.912000000000001</v>
      </c>
      <c r="F531" t="s">
        <v>78</v>
      </c>
      <c r="G531" t="s">
        <v>79</v>
      </c>
      <c r="H531" t="str">
        <f>IF(COUNTIF(Sheet1!$A:$A,TEXT(A531,"0"))+COUNTIF(Sheet1!$A:$A,A531)&gt;0,"موجود","غير موجود")</f>
        <v>غير موجود</v>
      </c>
    </row>
    <row r="532" spans="1:8" x14ac:dyDescent="0.2">
      <c r="A532">
        <v>20309501190</v>
      </c>
      <c r="B532" t="s">
        <v>646</v>
      </c>
      <c r="C532">
        <v>17.39</v>
      </c>
      <c r="D532">
        <v>20</v>
      </c>
      <c r="E532">
        <v>13.912000000000001</v>
      </c>
      <c r="F532" t="s">
        <v>78</v>
      </c>
      <c r="G532" t="s">
        <v>79</v>
      </c>
      <c r="H532" t="str">
        <f>IF(COUNTIF(Sheet1!$A:$A,TEXT(A532,"0"))+COUNTIF(Sheet1!$A:$A,A532)&gt;0,"موجود","غير موجود")</f>
        <v>غير موجود</v>
      </c>
    </row>
    <row r="533" spans="1:8" x14ac:dyDescent="0.2">
      <c r="A533">
        <v>20309501191</v>
      </c>
      <c r="B533" t="s">
        <v>647</v>
      </c>
      <c r="C533">
        <v>12.1</v>
      </c>
      <c r="D533">
        <v>20</v>
      </c>
      <c r="E533">
        <v>9.68</v>
      </c>
      <c r="F533" t="s">
        <v>78</v>
      </c>
      <c r="G533" t="s">
        <v>79</v>
      </c>
      <c r="H533" t="str">
        <f>IF(COUNTIF(Sheet1!$A:$A,TEXT(A533,"0"))+COUNTIF(Sheet1!$A:$A,A533)&gt;0,"موجود","غير موجود")</f>
        <v>غير موجود</v>
      </c>
    </row>
    <row r="534" spans="1:8" x14ac:dyDescent="0.2">
      <c r="A534">
        <v>20309501192</v>
      </c>
      <c r="B534" t="s">
        <v>648</v>
      </c>
      <c r="C534">
        <v>10.58</v>
      </c>
      <c r="D534">
        <v>20</v>
      </c>
      <c r="E534">
        <v>8.4640000000000004</v>
      </c>
      <c r="F534" t="s">
        <v>78</v>
      </c>
      <c r="G534" t="s">
        <v>79</v>
      </c>
      <c r="H534" t="str">
        <f>IF(COUNTIF(Sheet1!$A:$A,TEXT(A534,"0"))+COUNTIF(Sheet1!$A:$A,A534)&gt;0,"موجود","غير موجود")</f>
        <v>غير موجود</v>
      </c>
    </row>
    <row r="535" spans="1:8" x14ac:dyDescent="0.2">
      <c r="A535">
        <v>20309501193</v>
      </c>
      <c r="B535" t="s">
        <v>649</v>
      </c>
      <c r="C535">
        <v>9.07</v>
      </c>
      <c r="D535">
        <v>20</v>
      </c>
      <c r="E535">
        <v>7.2560000000000002</v>
      </c>
      <c r="F535" t="s">
        <v>78</v>
      </c>
      <c r="G535" t="s">
        <v>79</v>
      </c>
      <c r="H535" t="str">
        <f>IF(COUNTIF(Sheet1!$A:$A,TEXT(A535,"0"))+COUNTIF(Sheet1!$A:$A,A535)&gt;0,"موجود","غير موجود")</f>
        <v>غير موجود</v>
      </c>
    </row>
    <row r="536" spans="1:8" x14ac:dyDescent="0.2">
      <c r="A536">
        <v>20309501194</v>
      </c>
      <c r="B536" t="s">
        <v>650</v>
      </c>
      <c r="C536">
        <v>12.1</v>
      </c>
      <c r="D536">
        <v>20</v>
      </c>
      <c r="E536">
        <v>9.68</v>
      </c>
      <c r="F536" t="s">
        <v>78</v>
      </c>
      <c r="G536" t="s">
        <v>79</v>
      </c>
      <c r="H536" t="str">
        <f>IF(COUNTIF(Sheet1!$A:$A,TEXT(A536,"0"))+COUNTIF(Sheet1!$A:$A,A536)&gt;0,"موجود","غير موجود")</f>
        <v>غير موجود</v>
      </c>
    </row>
    <row r="537" spans="1:8" x14ac:dyDescent="0.2">
      <c r="A537">
        <v>20309501195</v>
      </c>
      <c r="B537" t="s">
        <v>651</v>
      </c>
      <c r="C537">
        <v>7.57</v>
      </c>
      <c r="D537">
        <v>20</v>
      </c>
      <c r="E537">
        <v>6.056</v>
      </c>
      <c r="F537" t="s">
        <v>78</v>
      </c>
      <c r="G537" t="s">
        <v>79</v>
      </c>
      <c r="H537" t="str">
        <f>IF(COUNTIF(Sheet1!$A:$A,TEXT(A537,"0"))+COUNTIF(Sheet1!$A:$A,A537)&gt;0,"موجود","غير موجود")</f>
        <v>غير موجود</v>
      </c>
    </row>
    <row r="538" spans="1:8" x14ac:dyDescent="0.2">
      <c r="A538">
        <v>20309501196</v>
      </c>
      <c r="B538" t="s">
        <v>652</v>
      </c>
      <c r="C538">
        <v>11.34</v>
      </c>
      <c r="D538">
        <v>20</v>
      </c>
      <c r="E538">
        <v>9.0719999999999992</v>
      </c>
      <c r="F538" t="s">
        <v>78</v>
      </c>
      <c r="G538" t="s">
        <v>79</v>
      </c>
      <c r="H538" t="str">
        <f>IF(COUNTIF(Sheet1!$A:$A,TEXT(A538,"0"))+COUNTIF(Sheet1!$A:$A,A538)&gt;0,"موجود","غير موجود")</f>
        <v>غير موجود</v>
      </c>
    </row>
    <row r="539" spans="1:8" x14ac:dyDescent="0.2">
      <c r="A539">
        <v>20309501197</v>
      </c>
      <c r="B539" t="s">
        <v>653</v>
      </c>
      <c r="C539">
        <v>11.34</v>
      </c>
      <c r="D539">
        <v>20</v>
      </c>
      <c r="E539">
        <v>9.0719999999999992</v>
      </c>
      <c r="F539" t="s">
        <v>78</v>
      </c>
      <c r="G539" t="s">
        <v>79</v>
      </c>
      <c r="H539" t="str">
        <f>IF(COUNTIF(Sheet1!$A:$A,TEXT(A539,"0"))+COUNTIF(Sheet1!$A:$A,A539)&gt;0,"موجود","غير موجود")</f>
        <v>غير موجود</v>
      </c>
    </row>
    <row r="540" spans="1:8" x14ac:dyDescent="0.2">
      <c r="A540">
        <v>20309502169</v>
      </c>
      <c r="B540" t="s">
        <v>654</v>
      </c>
      <c r="C540">
        <v>41.9</v>
      </c>
      <c r="D540">
        <v>25</v>
      </c>
      <c r="E540">
        <v>31.424999999999997</v>
      </c>
      <c r="F540" t="s">
        <v>78</v>
      </c>
      <c r="G540" t="s">
        <v>79</v>
      </c>
      <c r="H540" t="str">
        <f>IF(COUNTIF(Sheet1!$A:$A,TEXT(A540,"0"))+COUNTIF(Sheet1!$A:$A,A540)&gt;0,"موجود","غير موجود")</f>
        <v>غير موجود</v>
      </c>
    </row>
    <row r="541" spans="1:8" x14ac:dyDescent="0.2">
      <c r="A541">
        <v>20309502170</v>
      </c>
      <c r="B541" t="s">
        <v>655</v>
      </c>
      <c r="C541">
        <v>47.3</v>
      </c>
      <c r="D541">
        <v>25</v>
      </c>
      <c r="E541">
        <v>35.474999999999994</v>
      </c>
      <c r="F541" t="s">
        <v>78</v>
      </c>
      <c r="G541" t="s">
        <v>79</v>
      </c>
      <c r="H541" t="str">
        <f>IF(COUNTIF(Sheet1!$A:$A,TEXT(A541,"0"))+COUNTIF(Sheet1!$A:$A,A541)&gt;0,"موجود","غير موجود")</f>
        <v>غير موجود</v>
      </c>
    </row>
    <row r="542" spans="1:8" x14ac:dyDescent="0.2">
      <c r="A542">
        <v>20309502172</v>
      </c>
      <c r="B542" t="s">
        <v>656</v>
      </c>
      <c r="C542">
        <v>41.9</v>
      </c>
      <c r="D542">
        <v>25</v>
      </c>
      <c r="E542">
        <v>31.424999999999997</v>
      </c>
      <c r="F542" t="s">
        <v>78</v>
      </c>
      <c r="G542" t="s">
        <v>79</v>
      </c>
      <c r="H542" t="str">
        <f>IF(COUNTIF(Sheet1!$A:$A,TEXT(A542,"0"))+COUNTIF(Sheet1!$A:$A,A542)&gt;0,"موجود","غير موجود")</f>
        <v>غير موجود</v>
      </c>
    </row>
    <row r="543" spans="1:8" x14ac:dyDescent="0.2">
      <c r="A543">
        <v>20309502173</v>
      </c>
      <c r="B543" t="s">
        <v>657</v>
      </c>
      <c r="C543">
        <v>41.9</v>
      </c>
      <c r="D543">
        <v>25</v>
      </c>
      <c r="E543">
        <v>31.424999999999997</v>
      </c>
      <c r="F543" t="s">
        <v>78</v>
      </c>
      <c r="G543" t="s">
        <v>79</v>
      </c>
      <c r="H543" t="str">
        <f>IF(COUNTIF(Sheet1!$A:$A,TEXT(A543,"0"))+COUNTIF(Sheet1!$A:$A,A543)&gt;0,"موجود","غير موجود")</f>
        <v>غير موجود</v>
      </c>
    </row>
    <row r="544" spans="1:8" x14ac:dyDescent="0.2">
      <c r="A544">
        <v>20309502174</v>
      </c>
      <c r="B544" t="s">
        <v>658</v>
      </c>
      <c r="C544">
        <v>41.9</v>
      </c>
      <c r="D544">
        <v>25</v>
      </c>
      <c r="E544">
        <v>31.424999999999997</v>
      </c>
      <c r="F544" t="s">
        <v>78</v>
      </c>
      <c r="G544" t="s">
        <v>79</v>
      </c>
      <c r="H544" t="str">
        <f>IF(COUNTIF(Sheet1!$A:$A,TEXT(A544,"0"))+COUNTIF(Sheet1!$A:$A,A544)&gt;0,"موجود","غير موجود")</f>
        <v>غير موجود</v>
      </c>
    </row>
    <row r="545" spans="1:8" x14ac:dyDescent="0.2">
      <c r="A545">
        <v>20309502175</v>
      </c>
      <c r="B545" t="s">
        <v>659</v>
      </c>
      <c r="C545">
        <v>47.3</v>
      </c>
      <c r="D545">
        <v>25</v>
      </c>
      <c r="E545">
        <v>35.474999999999994</v>
      </c>
      <c r="F545" t="s">
        <v>78</v>
      </c>
      <c r="G545" t="s">
        <v>79</v>
      </c>
      <c r="H545" t="str">
        <f>IF(COUNTIF(Sheet1!$A:$A,TEXT(A545,"0"))+COUNTIF(Sheet1!$A:$A,A545)&gt;0,"موجود","غير موجود")</f>
        <v>غير موجود</v>
      </c>
    </row>
    <row r="546" spans="1:8" x14ac:dyDescent="0.2">
      <c r="A546">
        <v>20309502325</v>
      </c>
      <c r="B546" t="s">
        <v>660</v>
      </c>
      <c r="C546">
        <v>52.7</v>
      </c>
      <c r="D546">
        <v>25</v>
      </c>
      <c r="E546">
        <v>39.525000000000006</v>
      </c>
      <c r="F546" t="s">
        <v>78</v>
      </c>
      <c r="G546" t="s">
        <v>79</v>
      </c>
      <c r="H546" t="str">
        <f>IF(COUNTIF(Sheet1!$A:$A,TEXT(A546,"0"))+COUNTIF(Sheet1!$A:$A,A546)&gt;0,"موجود","غير موجود")</f>
        <v>غير موجود</v>
      </c>
    </row>
    <row r="547" spans="1:8" x14ac:dyDescent="0.2">
      <c r="A547">
        <v>20309502673</v>
      </c>
      <c r="B547" t="s">
        <v>661</v>
      </c>
      <c r="C547">
        <v>2.0499999999999998</v>
      </c>
      <c r="D547">
        <v>25</v>
      </c>
      <c r="E547">
        <v>1.5374999999999999</v>
      </c>
      <c r="F547" t="s">
        <v>78</v>
      </c>
      <c r="G547" t="s">
        <v>79</v>
      </c>
      <c r="H547" t="str">
        <f>IF(COUNTIF(Sheet1!$A:$A,TEXT(A547,"0"))+COUNTIF(Sheet1!$A:$A,A547)&gt;0,"موجود","غير موجود")</f>
        <v>غير موجود</v>
      </c>
    </row>
    <row r="548" spans="1:8" x14ac:dyDescent="0.2">
      <c r="A548">
        <v>20309502674</v>
      </c>
      <c r="B548" t="s">
        <v>662</v>
      </c>
      <c r="C548">
        <v>9.3000000000000007</v>
      </c>
      <c r="D548">
        <v>25</v>
      </c>
      <c r="E548">
        <v>6.9750000000000005</v>
      </c>
      <c r="F548" t="s">
        <v>78</v>
      </c>
      <c r="G548" t="s">
        <v>79</v>
      </c>
      <c r="H548" t="str">
        <f>IF(COUNTIF(Sheet1!$A:$A,TEXT(A548,"0"))+COUNTIF(Sheet1!$A:$A,A548)&gt;0,"موجود","غير موجود")</f>
        <v>غير موجود</v>
      </c>
    </row>
    <row r="549" spans="1:8" x14ac:dyDescent="0.2">
      <c r="A549">
        <v>20309502676</v>
      </c>
      <c r="B549" t="s">
        <v>663</v>
      </c>
      <c r="C549">
        <v>24.6</v>
      </c>
      <c r="D549">
        <v>25</v>
      </c>
      <c r="E549">
        <v>18.450000000000003</v>
      </c>
      <c r="F549" t="s">
        <v>78</v>
      </c>
      <c r="G549" t="s">
        <v>79</v>
      </c>
      <c r="H549" t="str">
        <f>IF(COUNTIF(Sheet1!$A:$A,TEXT(A549,"0"))+COUNTIF(Sheet1!$A:$A,A549)&gt;0,"موجود","غير موجود")</f>
        <v>غير موجود</v>
      </c>
    </row>
    <row r="550" spans="1:8" x14ac:dyDescent="0.2">
      <c r="A550">
        <v>20309502677</v>
      </c>
      <c r="B550" t="s">
        <v>664</v>
      </c>
      <c r="C550">
        <v>15.3</v>
      </c>
      <c r="D550">
        <v>25</v>
      </c>
      <c r="E550">
        <v>11.475000000000001</v>
      </c>
      <c r="F550" t="s">
        <v>78</v>
      </c>
      <c r="G550" t="s">
        <v>79</v>
      </c>
      <c r="H550" t="str">
        <f>IF(COUNTIF(Sheet1!$A:$A,TEXT(A550,"0"))+COUNTIF(Sheet1!$A:$A,A550)&gt;0,"موجود","غير موجود")</f>
        <v>غير موجود</v>
      </c>
    </row>
    <row r="551" spans="1:8" x14ac:dyDescent="0.2">
      <c r="A551">
        <v>20309502678</v>
      </c>
      <c r="B551" t="s">
        <v>665</v>
      </c>
      <c r="C551">
        <v>9.1999999999999993</v>
      </c>
      <c r="D551">
        <v>25</v>
      </c>
      <c r="E551">
        <v>6.8999999999999995</v>
      </c>
      <c r="F551" t="s">
        <v>78</v>
      </c>
      <c r="G551" t="s">
        <v>79</v>
      </c>
      <c r="H551" t="str">
        <f>IF(COUNTIF(Sheet1!$A:$A,TEXT(A551,"0"))+COUNTIF(Sheet1!$A:$A,A551)&gt;0,"موجود","غير موجود")</f>
        <v>موجود</v>
      </c>
    </row>
    <row r="552" spans="1:8" x14ac:dyDescent="0.2">
      <c r="A552">
        <v>20309502679</v>
      </c>
      <c r="B552" t="s">
        <v>666</v>
      </c>
      <c r="C552">
        <v>18.5</v>
      </c>
      <c r="D552">
        <v>25</v>
      </c>
      <c r="E552">
        <v>13.875</v>
      </c>
      <c r="F552" t="s">
        <v>78</v>
      </c>
      <c r="G552" t="s">
        <v>79</v>
      </c>
      <c r="H552" t="str">
        <f>IF(COUNTIF(Sheet1!$A:$A,TEXT(A552,"0"))+COUNTIF(Sheet1!$A:$A,A552)&gt;0,"موجود","غير موجود")</f>
        <v>موجود</v>
      </c>
    </row>
    <row r="553" spans="1:8" x14ac:dyDescent="0.2">
      <c r="A553">
        <v>20309502712</v>
      </c>
      <c r="B553" t="s">
        <v>667</v>
      </c>
      <c r="C553">
        <v>9.1999999999999993</v>
      </c>
      <c r="D553">
        <v>25</v>
      </c>
      <c r="E553">
        <v>6.8999999999999995</v>
      </c>
      <c r="F553" t="s">
        <v>78</v>
      </c>
      <c r="G553" t="s">
        <v>79</v>
      </c>
      <c r="H553" t="str">
        <f>IF(COUNTIF(Sheet1!$A:$A,TEXT(A553,"0"))+COUNTIF(Sheet1!$A:$A,A553)&gt;0,"موجود","غير موجود")</f>
        <v>غير موجود</v>
      </c>
    </row>
    <row r="554" spans="1:8" x14ac:dyDescent="0.2">
      <c r="A554">
        <v>20309502713</v>
      </c>
      <c r="B554" t="s">
        <v>668</v>
      </c>
      <c r="C554">
        <v>21.9</v>
      </c>
      <c r="D554">
        <v>25</v>
      </c>
      <c r="E554">
        <v>16.424999999999997</v>
      </c>
      <c r="F554" t="s">
        <v>78</v>
      </c>
      <c r="G554" t="s">
        <v>79</v>
      </c>
      <c r="H554" t="str">
        <f>IF(COUNTIF(Sheet1!$A:$A,TEXT(A554,"0"))+COUNTIF(Sheet1!$A:$A,A554)&gt;0,"موجود","غير موجود")</f>
        <v>موجود</v>
      </c>
    </row>
    <row r="555" spans="1:8" x14ac:dyDescent="0.2">
      <c r="A555">
        <v>20309502714</v>
      </c>
      <c r="B555" t="s">
        <v>669</v>
      </c>
      <c r="C555">
        <v>13</v>
      </c>
      <c r="D555">
        <v>25</v>
      </c>
      <c r="E555">
        <v>9.75</v>
      </c>
      <c r="F555" t="s">
        <v>78</v>
      </c>
      <c r="G555" t="s">
        <v>79</v>
      </c>
      <c r="H555" t="str">
        <f>IF(COUNTIF(Sheet1!$A:$A,TEXT(A555,"0"))+COUNTIF(Sheet1!$A:$A,A555)&gt;0,"موجود","غير موجود")</f>
        <v>غير موجود</v>
      </c>
    </row>
    <row r="556" spans="1:8" x14ac:dyDescent="0.2">
      <c r="A556">
        <v>20309502715</v>
      </c>
      <c r="B556" t="s">
        <v>669</v>
      </c>
      <c r="C556">
        <v>21.9</v>
      </c>
      <c r="D556">
        <v>25</v>
      </c>
      <c r="E556">
        <v>16.424999999999997</v>
      </c>
      <c r="F556" t="s">
        <v>78</v>
      </c>
      <c r="G556" t="s">
        <v>79</v>
      </c>
      <c r="H556" t="str">
        <f>IF(COUNTIF(Sheet1!$A:$A,TEXT(A556,"0"))+COUNTIF(Sheet1!$A:$A,A556)&gt;0,"موجود","غير موجود")</f>
        <v>موجود</v>
      </c>
    </row>
    <row r="557" spans="1:8" x14ac:dyDescent="0.2">
      <c r="A557">
        <v>20309502716</v>
      </c>
      <c r="B557" t="s">
        <v>670</v>
      </c>
      <c r="C557">
        <v>13</v>
      </c>
      <c r="D557">
        <v>25</v>
      </c>
      <c r="E557">
        <v>9.75</v>
      </c>
      <c r="F557" t="s">
        <v>78</v>
      </c>
      <c r="G557" t="s">
        <v>79</v>
      </c>
      <c r="H557" t="str">
        <f>IF(COUNTIF(Sheet1!$A:$A,TEXT(A557,"0"))+COUNTIF(Sheet1!$A:$A,A557)&gt;0,"موجود","غير موجود")</f>
        <v>غير موجود</v>
      </c>
    </row>
    <row r="558" spans="1:8" x14ac:dyDescent="0.2">
      <c r="A558">
        <v>20309502717</v>
      </c>
      <c r="B558" t="s">
        <v>671</v>
      </c>
      <c r="C558">
        <v>20.399999999999999</v>
      </c>
      <c r="D558">
        <v>25</v>
      </c>
      <c r="E558">
        <v>15.299999999999999</v>
      </c>
      <c r="F558" t="s">
        <v>78</v>
      </c>
      <c r="G558" t="s">
        <v>79</v>
      </c>
      <c r="H558" t="str">
        <f>IF(COUNTIF(Sheet1!$A:$A,TEXT(A558,"0"))+COUNTIF(Sheet1!$A:$A,A558)&gt;0,"موجود","غير موجود")</f>
        <v>موجود</v>
      </c>
    </row>
    <row r="559" spans="1:8" x14ac:dyDescent="0.2">
      <c r="A559">
        <v>20309502718</v>
      </c>
      <c r="B559" t="s">
        <v>671</v>
      </c>
      <c r="C559">
        <v>16.100000000000001</v>
      </c>
      <c r="D559">
        <v>25</v>
      </c>
      <c r="E559">
        <v>12.075000000000001</v>
      </c>
      <c r="F559" t="s">
        <v>78</v>
      </c>
      <c r="G559" t="s">
        <v>79</v>
      </c>
      <c r="H559" t="str">
        <f>IF(COUNTIF(Sheet1!$A:$A,TEXT(A559,"0"))+COUNTIF(Sheet1!$A:$A,A559)&gt;0,"موجود","غير موجود")</f>
        <v>موجود</v>
      </c>
    </row>
    <row r="560" spans="1:8" x14ac:dyDescent="0.2">
      <c r="A560">
        <v>20309502719</v>
      </c>
      <c r="B560" t="s">
        <v>672</v>
      </c>
      <c r="C560">
        <v>15</v>
      </c>
      <c r="D560">
        <v>25</v>
      </c>
      <c r="E560">
        <v>11.25</v>
      </c>
      <c r="F560" t="s">
        <v>78</v>
      </c>
      <c r="G560" t="s">
        <v>79</v>
      </c>
      <c r="H560" t="str">
        <f>IF(COUNTIF(Sheet1!$A:$A,TEXT(A560,"0"))+COUNTIF(Sheet1!$A:$A,A560)&gt;0,"موجود","غير موجود")</f>
        <v>غير موجود</v>
      </c>
    </row>
    <row r="561" spans="1:8" x14ac:dyDescent="0.2">
      <c r="A561">
        <v>20309502720</v>
      </c>
      <c r="B561" t="s">
        <v>673</v>
      </c>
      <c r="C561">
        <v>31.2</v>
      </c>
      <c r="D561">
        <v>25</v>
      </c>
      <c r="E561">
        <v>23.4</v>
      </c>
      <c r="F561" t="s">
        <v>78</v>
      </c>
      <c r="G561" t="s">
        <v>79</v>
      </c>
      <c r="H561" t="str">
        <f>IF(COUNTIF(Sheet1!$A:$A,TEXT(A561,"0"))+COUNTIF(Sheet1!$A:$A,A561)&gt;0,"موجود","غير موجود")</f>
        <v>موجود</v>
      </c>
    </row>
    <row r="562" spans="1:8" x14ac:dyDescent="0.2">
      <c r="A562">
        <v>20309502721</v>
      </c>
      <c r="B562" t="s">
        <v>674</v>
      </c>
      <c r="C562">
        <v>31.2</v>
      </c>
      <c r="D562">
        <v>25</v>
      </c>
      <c r="E562">
        <v>23.4</v>
      </c>
      <c r="F562" t="s">
        <v>78</v>
      </c>
      <c r="G562" t="s">
        <v>79</v>
      </c>
      <c r="H562" t="str">
        <f>IF(COUNTIF(Sheet1!$A:$A,TEXT(A562,"0"))+COUNTIF(Sheet1!$A:$A,A562)&gt;0,"موجود","غير موجود")</f>
        <v>غير موجود</v>
      </c>
    </row>
    <row r="563" spans="1:8" x14ac:dyDescent="0.2">
      <c r="A563">
        <v>20309502722</v>
      </c>
      <c r="B563" t="s">
        <v>675</v>
      </c>
      <c r="C563">
        <v>30.7</v>
      </c>
      <c r="D563">
        <v>25</v>
      </c>
      <c r="E563">
        <v>23.024999999999999</v>
      </c>
      <c r="F563" t="s">
        <v>78</v>
      </c>
      <c r="G563" t="s">
        <v>79</v>
      </c>
      <c r="H563" t="str">
        <f>IF(COUNTIF(Sheet1!$A:$A,TEXT(A563,"0"))+COUNTIF(Sheet1!$A:$A,A563)&gt;0,"موجود","غير موجود")</f>
        <v>غير موجود</v>
      </c>
    </row>
    <row r="564" spans="1:8" x14ac:dyDescent="0.2">
      <c r="A564">
        <v>20309502723</v>
      </c>
      <c r="B564" t="s">
        <v>676</v>
      </c>
      <c r="C564">
        <v>59.1</v>
      </c>
      <c r="D564">
        <v>25</v>
      </c>
      <c r="E564">
        <v>44.325000000000003</v>
      </c>
      <c r="F564" t="s">
        <v>78</v>
      </c>
      <c r="G564" t="s">
        <v>79</v>
      </c>
      <c r="H564" t="str">
        <f>IF(COUNTIF(Sheet1!$A:$A,TEXT(A564,"0"))+COUNTIF(Sheet1!$A:$A,A564)&gt;0,"موجود","غير موجود")</f>
        <v>غير موجود</v>
      </c>
    </row>
    <row r="565" spans="1:8" x14ac:dyDescent="0.2">
      <c r="A565">
        <v>20309502724</v>
      </c>
      <c r="B565" t="s">
        <v>677</v>
      </c>
      <c r="C565">
        <v>48.4</v>
      </c>
      <c r="D565">
        <v>25</v>
      </c>
      <c r="E565">
        <v>36.299999999999997</v>
      </c>
      <c r="F565" t="s">
        <v>78</v>
      </c>
      <c r="G565" t="s">
        <v>79</v>
      </c>
      <c r="H565" t="str">
        <f>IF(COUNTIF(Sheet1!$A:$A,TEXT(A565,"0"))+COUNTIF(Sheet1!$A:$A,A565)&gt;0,"موجود","غير موجود")</f>
        <v>غير موجود</v>
      </c>
    </row>
    <row r="566" spans="1:8" x14ac:dyDescent="0.2">
      <c r="A566">
        <v>20309502725</v>
      </c>
      <c r="B566" t="s">
        <v>678</v>
      </c>
      <c r="C566">
        <v>10.75</v>
      </c>
      <c r="D566">
        <v>25</v>
      </c>
      <c r="E566">
        <v>8.0625</v>
      </c>
      <c r="F566" t="s">
        <v>78</v>
      </c>
      <c r="G566" t="s">
        <v>79</v>
      </c>
      <c r="H566" t="str">
        <f>IF(COUNTIF(Sheet1!$A:$A,TEXT(A566,"0"))+COUNTIF(Sheet1!$A:$A,A566)&gt;0,"موجود","غير موجود")</f>
        <v>غير موجود</v>
      </c>
    </row>
    <row r="567" spans="1:8" x14ac:dyDescent="0.2">
      <c r="A567">
        <v>20309502732</v>
      </c>
      <c r="B567" t="s">
        <v>679</v>
      </c>
      <c r="C567">
        <v>28</v>
      </c>
      <c r="D567">
        <v>25</v>
      </c>
      <c r="E567">
        <v>21</v>
      </c>
      <c r="F567" t="s">
        <v>78</v>
      </c>
      <c r="G567" t="s">
        <v>79</v>
      </c>
      <c r="H567" t="str">
        <f>IF(COUNTIF(Sheet1!$A:$A,TEXT(A567,"0"))+COUNTIF(Sheet1!$A:$A,A567)&gt;0,"موجود","غير موجود")</f>
        <v>غير موجود</v>
      </c>
    </row>
    <row r="568" spans="1:8" x14ac:dyDescent="0.2">
      <c r="A568">
        <v>20309502775</v>
      </c>
      <c r="B568" t="s">
        <v>680</v>
      </c>
      <c r="C568">
        <v>9.1999999999999993</v>
      </c>
      <c r="D568">
        <v>25</v>
      </c>
      <c r="E568">
        <v>6.8999999999999995</v>
      </c>
      <c r="F568" t="s">
        <v>78</v>
      </c>
      <c r="G568" t="s">
        <v>79</v>
      </c>
      <c r="H568" t="str">
        <f>IF(COUNTIF(Sheet1!$A:$A,TEXT(A568,"0"))+COUNTIF(Sheet1!$A:$A,A568)&gt;0,"موجود","غير موجود")</f>
        <v>غير موجود</v>
      </c>
    </row>
    <row r="569" spans="1:8" x14ac:dyDescent="0.2">
      <c r="A569">
        <v>20309502776</v>
      </c>
      <c r="B569" t="s">
        <v>681</v>
      </c>
      <c r="C569">
        <v>24.5</v>
      </c>
      <c r="D569">
        <v>25</v>
      </c>
      <c r="E569">
        <v>18.375</v>
      </c>
      <c r="F569" t="s">
        <v>78</v>
      </c>
      <c r="G569" t="s">
        <v>79</v>
      </c>
      <c r="H569" t="str">
        <f>IF(COUNTIF(Sheet1!$A:$A,TEXT(A569,"0"))+COUNTIF(Sheet1!$A:$A,A569)&gt;0,"موجود","غير موجود")</f>
        <v>موجود</v>
      </c>
    </row>
    <row r="570" spans="1:8" x14ac:dyDescent="0.2">
      <c r="A570">
        <v>20309503699</v>
      </c>
      <c r="B570" t="s">
        <v>682</v>
      </c>
      <c r="C570">
        <v>9</v>
      </c>
      <c r="D570">
        <v>25</v>
      </c>
      <c r="E570">
        <v>6.75</v>
      </c>
      <c r="F570" t="s">
        <v>78</v>
      </c>
      <c r="G570" t="s">
        <v>79</v>
      </c>
      <c r="H570" t="str">
        <f>IF(COUNTIF(Sheet1!$A:$A,TEXT(A570,"0"))+COUNTIF(Sheet1!$A:$A,A570)&gt;0,"موجود","غير موجود")</f>
        <v>غير موجود</v>
      </c>
    </row>
    <row r="571" spans="1:8" x14ac:dyDescent="0.2">
      <c r="A571">
        <v>20309503818</v>
      </c>
      <c r="B571" t="s">
        <v>683</v>
      </c>
      <c r="C571">
        <v>28.57</v>
      </c>
      <c r="D571">
        <v>25</v>
      </c>
      <c r="E571">
        <v>21.427500000000002</v>
      </c>
      <c r="F571" t="s">
        <v>78</v>
      </c>
      <c r="G571" t="s">
        <v>79</v>
      </c>
      <c r="H571" t="str">
        <f>IF(COUNTIF(Sheet1!$A:$A,TEXT(A571,"0"))+COUNTIF(Sheet1!$A:$A,A571)&gt;0,"موجود","غير موجود")</f>
        <v>غير موجود</v>
      </c>
    </row>
    <row r="572" spans="1:8" x14ac:dyDescent="0.2">
      <c r="A572">
        <v>20309503844</v>
      </c>
      <c r="B572" t="s">
        <v>684</v>
      </c>
      <c r="C572">
        <v>5.7</v>
      </c>
      <c r="D572">
        <v>25</v>
      </c>
      <c r="E572">
        <v>4.2750000000000004</v>
      </c>
      <c r="F572" t="s">
        <v>78</v>
      </c>
      <c r="G572" t="s">
        <v>79</v>
      </c>
      <c r="H572" t="str">
        <f>IF(COUNTIF(Sheet1!$A:$A,TEXT(A572,"0"))+COUNTIF(Sheet1!$A:$A,A572)&gt;0,"موجود","غير موجود")</f>
        <v>غير موجود</v>
      </c>
    </row>
    <row r="573" spans="1:8" x14ac:dyDescent="0.2">
      <c r="A573">
        <v>20309503845</v>
      </c>
      <c r="B573" t="s">
        <v>685</v>
      </c>
      <c r="C573">
        <v>13</v>
      </c>
      <c r="D573">
        <v>25</v>
      </c>
      <c r="E573">
        <v>9.75</v>
      </c>
      <c r="F573" t="s">
        <v>78</v>
      </c>
      <c r="G573" t="s">
        <v>79</v>
      </c>
      <c r="H573" t="str">
        <f>IF(COUNTIF(Sheet1!$A:$A,TEXT(A573,"0"))+COUNTIF(Sheet1!$A:$A,A573)&gt;0,"موجود","غير موجود")</f>
        <v>غير موجود</v>
      </c>
    </row>
    <row r="574" spans="1:8" x14ac:dyDescent="0.2">
      <c r="A574">
        <v>20309503846</v>
      </c>
      <c r="B574" t="s">
        <v>686</v>
      </c>
      <c r="C574">
        <v>19</v>
      </c>
      <c r="D574">
        <v>25</v>
      </c>
      <c r="E574">
        <v>14.25</v>
      </c>
      <c r="F574" t="s">
        <v>78</v>
      </c>
      <c r="G574" t="s">
        <v>79</v>
      </c>
      <c r="H574" t="str">
        <f>IF(COUNTIF(Sheet1!$A:$A,TEXT(A574,"0"))+COUNTIF(Sheet1!$A:$A,A574)&gt;0,"موجود","غير موجود")</f>
        <v>غير موجود</v>
      </c>
    </row>
    <row r="575" spans="1:8" x14ac:dyDescent="0.2">
      <c r="A575">
        <v>20309503847</v>
      </c>
      <c r="B575" t="s">
        <v>687</v>
      </c>
      <c r="C575">
        <v>32</v>
      </c>
      <c r="D575">
        <v>25</v>
      </c>
      <c r="E575">
        <v>24</v>
      </c>
      <c r="F575" t="s">
        <v>78</v>
      </c>
      <c r="G575" t="s">
        <v>79</v>
      </c>
      <c r="H575" t="str">
        <f>IF(COUNTIF(Sheet1!$A:$A,TEXT(A575,"0"))+COUNTIF(Sheet1!$A:$A,A575)&gt;0,"موجود","غير موجود")</f>
        <v>غير موجود</v>
      </c>
    </row>
    <row r="576" spans="1:8" x14ac:dyDescent="0.2">
      <c r="A576">
        <v>20309503848</v>
      </c>
      <c r="B576" t="s">
        <v>688</v>
      </c>
      <c r="C576">
        <v>14</v>
      </c>
      <c r="D576">
        <v>25</v>
      </c>
      <c r="E576">
        <v>10.5</v>
      </c>
      <c r="F576" t="s">
        <v>78</v>
      </c>
      <c r="G576" t="s">
        <v>79</v>
      </c>
      <c r="H576" t="str">
        <f>IF(COUNTIF(Sheet1!$A:$A,TEXT(A576,"0"))+COUNTIF(Sheet1!$A:$A,A576)&gt;0,"موجود","غير موجود")</f>
        <v>غير موجود</v>
      </c>
    </row>
    <row r="577" spans="1:8" x14ac:dyDescent="0.2">
      <c r="A577">
        <v>20309503849</v>
      </c>
      <c r="B577" t="s">
        <v>689</v>
      </c>
      <c r="C577">
        <v>19.5</v>
      </c>
      <c r="D577">
        <v>25</v>
      </c>
      <c r="E577">
        <v>14.625</v>
      </c>
      <c r="F577" t="s">
        <v>78</v>
      </c>
      <c r="G577" t="s">
        <v>79</v>
      </c>
      <c r="H577" t="str">
        <f>IF(COUNTIF(Sheet1!$A:$A,TEXT(A577,"0"))+COUNTIF(Sheet1!$A:$A,A577)&gt;0,"موجود","غير موجود")</f>
        <v>غير موجود</v>
      </c>
    </row>
    <row r="578" spans="1:8" x14ac:dyDescent="0.2">
      <c r="A578">
        <v>20309503850</v>
      </c>
      <c r="B578" t="s">
        <v>690</v>
      </c>
      <c r="C578">
        <v>33.5</v>
      </c>
      <c r="D578">
        <v>25</v>
      </c>
      <c r="E578">
        <v>25.125</v>
      </c>
      <c r="F578" t="s">
        <v>78</v>
      </c>
      <c r="G578" t="s">
        <v>79</v>
      </c>
      <c r="H578" t="str">
        <f>IF(COUNTIF(Sheet1!$A:$A,TEXT(A578,"0"))+COUNTIF(Sheet1!$A:$A,A578)&gt;0,"موجود","غير موجود")</f>
        <v>غير موجود</v>
      </c>
    </row>
    <row r="579" spans="1:8" x14ac:dyDescent="0.2">
      <c r="A579">
        <v>20309503851</v>
      </c>
      <c r="B579" t="s">
        <v>691</v>
      </c>
      <c r="C579">
        <v>9</v>
      </c>
      <c r="D579">
        <v>25</v>
      </c>
      <c r="E579">
        <v>6.75</v>
      </c>
      <c r="F579" t="s">
        <v>78</v>
      </c>
      <c r="G579" t="s">
        <v>79</v>
      </c>
      <c r="H579" t="str">
        <f>IF(COUNTIF(Sheet1!$A:$A,TEXT(A579,"0"))+COUNTIF(Sheet1!$A:$A,A579)&gt;0,"موجود","غير موجود")</f>
        <v>غير موجود</v>
      </c>
    </row>
    <row r="580" spans="1:8" x14ac:dyDescent="0.2">
      <c r="A580">
        <v>20309503853</v>
      </c>
      <c r="B580" t="s">
        <v>692</v>
      </c>
      <c r="C580">
        <v>16.5</v>
      </c>
      <c r="D580">
        <v>25</v>
      </c>
      <c r="E580">
        <v>12.375</v>
      </c>
      <c r="F580" t="s">
        <v>78</v>
      </c>
      <c r="G580" t="s">
        <v>79</v>
      </c>
      <c r="H580" t="str">
        <f>IF(COUNTIF(Sheet1!$A:$A,TEXT(A580,"0"))+COUNTIF(Sheet1!$A:$A,A580)&gt;0,"موجود","غير موجود")</f>
        <v>غير موجود</v>
      </c>
    </row>
    <row r="581" spans="1:8" x14ac:dyDescent="0.2">
      <c r="A581">
        <v>20309503854</v>
      </c>
      <c r="B581" t="s">
        <v>693</v>
      </c>
      <c r="C581">
        <v>13.5</v>
      </c>
      <c r="D581">
        <v>25</v>
      </c>
      <c r="E581">
        <v>10.125</v>
      </c>
      <c r="F581" t="s">
        <v>78</v>
      </c>
      <c r="G581" t="s">
        <v>79</v>
      </c>
      <c r="H581" t="str">
        <f>IF(COUNTIF(Sheet1!$A:$A,TEXT(A581,"0"))+COUNTIF(Sheet1!$A:$A,A581)&gt;0,"موجود","غير موجود")</f>
        <v>غير موجود</v>
      </c>
    </row>
    <row r="582" spans="1:8" x14ac:dyDescent="0.2">
      <c r="A582">
        <v>20309503855</v>
      </c>
      <c r="B582" t="s">
        <v>694</v>
      </c>
      <c r="C582">
        <v>21</v>
      </c>
      <c r="D582">
        <v>25</v>
      </c>
      <c r="E582">
        <v>15.75</v>
      </c>
      <c r="F582" t="s">
        <v>78</v>
      </c>
      <c r="G582" t="s">
        <v>79</v>
      </c>
      <c r="H582" t="str">
        <f>IF(COUNTIF(Sheet1!$A:$A,TEXT(A582,"0"))+COUNTIF(Sheet1!$A:$A,A582)&gt;0,"موجود","غير موجود")</f>
        <v>غير موجود</v>
      </c>
    </row>
    <row r="583" spans="1:8" x14ac:dyDescent="0.2">
      <c r="A583">
        <v>20309503856</v>
      </c>
      <c r="B583" t="s">
        <v>695</v>
      </c>
      <c r="C583">
        <v>15</v>
      </c>
      <c r="D583">
        <v>25</v>
      </c>
      <c r="E583">
        <v>11.25</v>
      </c>
      <c r="F583" t="s">
        <v>78</v>
      </c>
      <c r="G583" t="s">
        <v>79</v>
      </c>
      <c r="H583" t="str">
        <f>IF(COUNTIF(Sheet1!$A:$A,TEXT(A583,"0"))+COUNTIF(Sheet1!$A:$A,A583)&gt;0,"موجود","غير موجود")</f>
        <v>غير موجود</v>
      </c>
    </row>
    <row r="584" spans="1:8" x14ac:dyDescent="0.2">
      <c r="A584">
        <v>20309503857</v>
      </c>
      <c r="B584" t="s">
        <v>696</v>
      </c>
      <c r="C584">
        <v>9.5</v>
      </c>
      <c r="D584">
        <v>25</v>
      </c>
      <c r="E584">
        <v>7.125</v>
      </c>
      <c r="F584" t="s">
        <v>78</v>
      </c>
      <c r="G584" t="s">
        <v>79</v>
      </c>
      <c r="H584" t="str">
        <f>IF(COUNTIF(Sheet1!$A:$A,TEXT(A584,"0"))+COUNTIF(Sheet1!$A:$A,A584)&gt;0,"موجود","غير موجود")</f>
        <v>غير موجود</v>
      </c>
    </row>
    <row r="585" spans="1:8" x14ac:dyDescent="0.2">
      <c r="A585">
        <v>20309503858</v>
      </c>
      <c r="B585" t="s">
        <v>697</v>
      </c>
      <c r="C585">
        <v>12.5</v>
      </c>
      <c r="D585">
        <v>25</v>
      </c>
      <c r="E585">
        <v>9.375</v>
      </c>
      <c r="F585" t="s">
        <v>78</v>
      </c>
      <c r="G585" t="s">
        <v>79</v>
      </c>
      <c r="H585" t="str">
        <f>IF(COUNTIF(Sheet1!$A:$A,TEXT(A585,"0"))+COUNTIF(Sheet1!$A:$A,A585)&gt;0,"موجود","غير موجود")</f>
        <v>غير موجود</v>
      </c>
    </row>
    <row r="586" spans="1:8" x14ac:dyDescent="0.2">
      <c r="A586">
        <v>20309503859</v>
      </c>
      <c r="B586" t="s">
        <v>698</v>
      </c>
      <c r="C586">
        <v>5.2</v>
      </c>
      <c r="D586">
        <v>25</v>
      </c>
      <c r="E586">
        <v>3.9000000000000004</v>
      </c>
      <c r="F586" t="s">
        <v>78</v>
      </c>
      <c r="G586" t="s">
        <v>79</v>
      </c>
      <c r="H586" t="str">
        <f>IF(COUNTIF(Sheet1!$A:$A,TEXT(A586,"0"))+COUNTIF(Sheet1!$A:$A,A586)&gt;0,"موجود","غير موجود")</f>
        <v>غير موجود</v>
      </c>
    </row>
    <row r="587" spans="1:8" x14ac:dyDescent="0.2">
      <c r="A587">
        <v>20309503860</v>
      </c>
      <c r="B587" t="s">
        <v>699</v>
      </c>
      <c r="C587">
        <v>5.2</v>
      </c>
      <c r="D587">
        <v>25</v>
      </c>
      <c r="E587">
        <v>3.9000000000000004</v>
      </c>
      <c r="F587" t="s">
        <v>78</v>
      </c>
      <c r="G587" t="s">
        <v>79</v>
      </c>
      <c r="H587" t="str">
        <f>IF(COUNTIF(Sheet1!$A:$A,TEXT(A587,"0"))+COUNTIF(Sheet1!$A:$A,A587)&gt;0,"موجود","غير موجود")</f>
        <v>غير موجود</v>
      </c>
    </row>
    <row r="588" spans="1:8" x14ac:dyDescent="0.2">
      <c r="A588">
        <v>20309504161</v>
      </c>
      <c r="B588" t="s">
        <v>700</v>
      </c>
      <c r="C588">
        <v>12</v>
      </c>
      <c r="D588">
        <v>25</v>
      </c>
      <c r="E588">
        <v>9</v>
      </c>
      <c r="F588" t="s">
        <v>78</v>
      </c>
      <c r="G588" t="s">
        <v>79</v>
      </c>
      <c r="H588" t="str">
        <f>IF(COUNTIF(Sheet1!$A:$A,TEXT(A588,"0"))+COUNTIF(Sheet1!$A:$A,A588)&gt;0,"موجود","غير موجود")</f>
        <v>غير موجود</v>
      </c>
    </row>
    <row r="589" spans="1:8" x14ac:dyDescent="0.2">
      <c r="A589">
        <v>20309504162</v>
      </c>
      <c r="B589" t="s">
        <v>701</v>
      </c>
      <c r="C589">
        <v>20</v>
      </c>
      <c r="D589">
        <v>25</v>
      </c>
      <c r="E589">
        <v>15</v>
      </c>
      <c r="F589" t="s">
        <v>78</v>
      </c>
      <c r="G589" t="s">
        <v>79</v>
      </c>
      <c r="H589" t="str">
        <f>IF(COUNTIF(Sheet1!$A:$A,TEXT(A589,"0"))+COUNTIF(Sheet1!$A:$A,A589)&gt;0,"موجود","غير موجود")</f>
        <v>غير موجود</v>
      </c>
    </row>
    <row r="590" spans="1:8" x14ac:dyDescent="0.2">
      <c r="A590">
        <v>20309504163</v>
      </c>
      <c r="B590" t="s">
        <v>702</v>
      </c>
      <c r="C590">
        <v>13.05</v>
      </c>
      <c r="D590">
        <v>25</v>
      </c>
      <c r="E590">
        <v>9.7875000000000014</v>
      </c>
      <c r="F590" t="s">
        <v>78</v>
      </c>
      <c r="G590" t="s">
        <v>79</v>
      </c>
      <c r="H590" t="str">
        <f>IF(COUNTIF(Sheet1!$A:$A,TEXT(A590,"0"))+COUNTIF(Sheet1!$A:$A,A590)&gt;0,"موجود","غير موجود")</f>
        <v>غير موجود</v>
      </c>
    </row>
    <row r="591" spans="1:8" x14ac:dyDescent="0.2">
      <c r="A591">
        <v>20309504164</v>
      </c>
      <c r="B591" t="s">
        <v>703</v>
      </c>
      <c r="C591">
        <v>21.75</v>
      </c>
      <c r="D591">
        <v>25</v>
      </c>
      <c r="E591">
        <v>16.3125</v>
      </c>
      <c r="F591" t="s">
        <v>78</v>
      </c>
      <c r="G591" t="s">
        <v>79</v>
      </c>
      <c r="H591" t="str">
        <f>IF(COUNTIF(Sheet1!$A:$A,TEXT(A591,"0"))+COUNTIF(Sheet1!$A:$A,A591)&gt;0,"موجود","غير موجود")</f>
        <v>غير موجود</v>
      </c>
    </row>
    <row r="592" spans="1:8" x14ac:dyDescent="0.2">
      <c r="A592">
        <v>20309504165</v>
      </c>
      <c r="B592" t="s">
        <v>704</v>
      </c>
      <c r="C592">
        <v>8.6999999999999993</v>
      </c>
      <c r="D592">
        <v>25</v>
      </c>
      <c r="E592">
        <v>6.5249999999999995</v>
      </c>
      <c r="F592" t="s">
        <v>78</v>
      </c>
      <c r="G592" t="s">
        <v>79</v>
      </c>
      <c r="H592" t="str">
        <f>IF(COUNTIF(Sheet1!$A:$A,TEXT(A592,"0"))+COUNTIF(Sheet1!$A:$A,A592)&gt;0,"موجود","غير موجود")</f>
        <v>غير موجود</v>
      </c>
    </row>
    <row r="593" spans="1:8" x14ac:dyDescent="0.2">
      <c r="A593">
        <v>20312050655</v>
      </c>
      <c r="B593" t="s">
        <v>705</v>
      </c>
      <c r="C593">
        <v>28.1</v>
      </c>
      <c r="D593">
        <v>30</v>
      </c>
      <c r="E593">
        <v>19.670000000000002</v>
      </c>
      <c r="F593" t="s">
        <v>78</v>
      </c>
      <c r="G593" t="s">
        <v>79</v>
      </c>
      <c r="H593" t="str">
        <f>IF(COUNTIF(Sheet1!$A:$A,TEXT(A593,"0"))+COUNTIF(Sheet1!$A:$A,A593)&gt;0,"موجود","غير موجود")</f>
        <v>غير موجود</v>
      </c>
    </row>
    <row r="594" spans="1:8" x14ac:dyDescent="0.2">
      <c r="A594">
        <v>20312050656</v>
      </c>
      <c r="B594" t="s">
        <v>706</v>
      </c>
      <c r="C594">
        <v>15.4</v>
      </c>
      <c r="D594">
        <v>30</v>
      </c>
      <c r="E594">
        <v>10.780000000000001</v>
      </c>
      <c r="F594" t="s">
        <v>78</v>
      </c>
      <c r="G594" t="s">
        <v>79</v>
      </c>
      <c r="H594" t="str">
        <f>IF(COUNTIF(Sheet1!$A:$A,TEXT(A594,"0"))+COUNTIF(Sheet1!$A:$A,A594)&gt;0,"موجود","غير موجود")</f>
        <v>موجود</v>
      </c>
    </row>
    <row r="595" spans="1:8" x14ac:dyDescent="0.2">
      <c r="A595">
        <v>20312050657</v>
      </c>
      <c r="B595" t="s">
        <v>707</v>
      </c>
      <c r="C595">
        <v>30.93</v>
      </c>
      <c r="D595">
        <v>30</v>
      </c>
      <c r="E595">
        <v>21.651</v>
      </c>
      <c r="F595" t="s">
        <v>78</v>
      </c>
      <c r="G595" t="s">
        <v>79</v>
      </c>
      <c r="H595" t="str">
        <f>IF(COUNTIF(Sheet1!$A:$A,TEXT(A595,"0"))+COUNTIF(Sheet1!$A:$A,A595)&gt;0,"موجود","غير موجود")</f>
        <v>موجود</v>
      </c>
    </row>
    <row r="596" spans="1:8" x14ac:dyDescent="0.2">
      <c r="A596">
        <v>20312050658</v>
      </c>
      <c r="B596" t="s">
        <v>708</v>
      </c>
      <c r="C596">
        <v>30.93</v>
      </c>
      <c r="D596">
        <v>30</v>
      </c>
      <c r="E596">
        <v>21.651</v>
      </c>
      <c r="F596" t="s">
        <v>78</v>
      </c>
      <c r="G596" t="s">
        <v>79</v>
      </c>
      <c r="H596" t="str">
        <f>IF(COUNTIF(Sheet1!$A:$A,TEXT(A596,"0"))+COUNTIF(Sheet1!$A:$A,A596)&gt;0,"موجود","غير موجود")</f>
        <v>موجود</v>
      </c>
    </row>
    <row r="597" spans="1:8" x14ac:dyDescent="0.2">
      <c r="A597">
        <v>20312050659</v>
      </c>
      <c r="B597" t="s">
        <v>709</v>
      </c>
      <c r="C597">
        <v>32.25</v>
      </c>
      <c r="D597">
        <v>30</v>
      </c>
      <c r="E597">
        <v>22.574999999999999</v>
      </c>
      <c r="F597" t="s">
        <v>78</v>
      </c>
      <c r="G597" t="s">
        <v>79</v>
      </c>
      <c r="H597" t="str">
        <f>IF(COUNTIF(Sheet1!$A:$A,TEXT(A597,"0"))+COUNTIF(Sheet1!$A:$A,A597)&gt;0,"موجود","غير موجود")</f>
        <v>موجود</v>
      </c>
    </row>
    <row r="598" spans="1:8" x14ac:dyDescent="0.2">
      <c r="A598">
        <v>20312050661</v>
      </c>
      <c r="B598" t="s">
        <v>710</v>
      </c>
      <c r="C598">
        <v>30</v>
      </c>
      <c r="D598">
        <v>30</v>
      </c>
      <c r="E598">
        <v>21</v>
      </c>
      <c r="F598" t="s">
        <v>78</v>
      </c>
      <c r="G598" t="s">
        <v>79</v>
      </c>
      <c r="H598" t="str">
        <f>IF(COUNTIF(Sheet1!$A:$A,TEXT(A598,"0"))+COUNTIF(Sheet1!$A:$A,A598)&gt;0,"موجود","غير موجود")</f>
        <v>موجود</v>
      </c>
    </row>
    <row r="599" spans="1:8" x14ac:dyDescent="0.2">
      <c r="A599">
        <v>20312050662</v>
      </c>
      <c r="B599" t="s">
        <v>711</v>
      </c>
      <c r="C599">
        <v>28.1</v>
      </c>
      <c r="D599">
        <v>30</v>
      </c>
      <c r="E599">
        <v>19.670000000000002</v>
      </c>
      <c r="F599" t="s">
        <v>78</v>
      </c>
      <c r="G599" t="s">
        <v>79</v>
      </c>
      <c r="H599" t="str">
        <f>IF(COUNTIF(Sheet1!$A:$A,TEXT(A599,"0"))+COUNTIF(Sheet1!$A:$A,A599)&gt;0,"موجود","غير موجود")</f>
        <v>موجود</v>
      </c>
    </row>
    <row r="600" spans="1:8" x14ac:dyDescent="0.2">
      <c r="A600">
        <v>20312050663</v>
      </c>
      <c r="B600" t="s">
        <v>712</v>
      </c>
      <c r="C600">
        <v>28.1</v>
      </c>
      <c r="D600">
        <v>30</v>
      </c>
      <c r="E600">
        <v>19.670000000000002</v>
      </c>
      <c r="F600" t="s">
        <v>78</v>
      </c>
      <c r="G600" t="s">
        <v>79</v>
      </c>
      <c r="H600" t="str">
        <f>IF(COUNTIF(Sheet1!$A:$A,TEXT(A600,"0"))+COUNTIF(Sheet1!$A:$A,A600)&gt;0,"موجود","غير موجود")</f>
        <v>غير موجود</v>
      </c>
    </row>
    <row r="601" spans="1:8" x14ac:dyDescent="0.2">
      <c r="A601">
        <v>20312050664</v>
      </c>
      <c r="B601" t="s">
        <v>713</v>
      </c>
      <c r="C601">
        <v>28.1</v>
      </c>
      <c r="D601">
        <v>30</v>
      </c>
      <c r="E601">
        <v>19.670000000000002</v>
      </c>
      <c r="F601" t="s">
        <v>78</v>
      </c>
      <c r="G601" t="s">
        <v>79</v>
      </c>
      <c r="H601" t="str">
        <f>IF(COUNTIF(Sheet1!$A:$A,TEXT(A601,"0"))+COUNTIF(Sheet1!$A:$A,A601)&gt;0,"موجود","غير موجود")</f>
        <v>موجود</v>
      </c>
    </row>
    <row r="602" spans="1:8" x14ac:dyDescent="0.2">
      <c r="A602">
        <v>20312050665</v>
      </c>
      <c r="B602" t="s">
        <v>714</v>
      </c>
      <c r="C602">
        <v>28.1</v>
      </c>
      <c r="D602">
        <v>30</v>
      </c>
      <c r="E602">
        <v>19.670000000000002</v>
      </c>
      <c r="F602" t="s">
        <v>78</v>
      </c>
      <c r="G602" t="s">
        <v>79</v>
      </c>
      <c r="H602" t="str">
        <f>IF(COUNTIF(Sheet1!$A:$A,TEXT(A602,"0"))+COUNTIF(Sheet1!$A:$A,A602)&gt;0,"موجود","غير موجود")</f>
        <v>موجود</v>
      </c>
    </row>
    <row r="603" spans="1:8" x14ac:dyDescent="0.2">
      <c r="A603">
        <v>20312050666</v>
      </c>
      <c r="B603" t="s">
        <v>715</v>
      </c>
      <c r="C603">
        <v>28.1</v>
      </c>
      <c r="D603">
        <v>30</v>
      </c>
      <c r="E603">
        <v>19.670000000000002</v>
      </c>
      <c r="F603" t="s">
        <v>78</v>
      </c>
      <c r="G603" t="s">
        <v>79</v>
      </c>
      <c r="H603" t="str">
        <f>IF(COUNTIF(Sheet1!$A:$A,TEXT(A603,"0"))+COUNTIF(Sheet1!$A:$A,A603)&gt;0,"موجود","غير موجود")</f>
        <v>موجود</v>
      </c>
    </row>
    <row r="604" spans="1:8" x14ac:dyDescent="0.2">
      <c r="A604">
        <v>20312051306</v>
      </c>
      <c r="B604" t="s">
        <v>716</v>
      </c>
      <c r="C604">
        <v>16.100000000000001</v>
      </c>
      <c r="D604">
        <v>30</v>
      </c>
      <c r="E604">
        <v>11.27</v>
      </c>
      <c r="F604" t="s">
        <v>78</v>
      </c>
      <c r="G604" t="s">
        <v>79</v>
      </c>
      <c r="H604" t="str">
        <f>IF(COUNTIF(Sheet1!$A:$A,TEXT(A604,"0"))+COUNTIF(Sheet1!$A:$A,A604)&gt;0,"موجود","غير موجود")</f>
        <v>غير موجود</v>
      </c>
    </row>
    <row r="605" spans="1:8" x14ac:dyDescent="0.2">
      <c r="A605">
        <v>20312051410</v>
      </c>
      <c r="B605" t="s">
        <v>717</v>
      </c>
      <c r="C605">
        <v>33.909999999999997</v>
      </c>
      <c r="D605">
        <v>30</v>
      </c>
      <c r="E605">
        <v>23.736999999999995</v>
      </c>
      <c r="F605" t="s">
        <v>78</v>
      </c>
      <c r="G605" t="s">
        <v>79</v>
      </c>
      <c r="H605" t="str">
        <f>IF(COUNTIF(Sheet1!$A:$A,TEXT(A605,"0"))+COUNTIF(Sheet1!$A:$A,A605)&gt;0,"موجود","غير موجود")</f>
        <v>موجود</v>
      </c>
    </row>
    <row r="606" spans="1:8" x14ac:dyDescent="0.2">
      <c r="A606">
        <v>20312051411</v>
      </c>
      <c r="B606" t="s">
        <v>718</v>
      </c>
      <c r="C606">
        <v>33.909999999999997</v>
      </c>
      <c r="D606">
        <v>30</v>
      </c>
      <c r="E606">
        <v>23.736999999999995</v>
      </c>
      <c r="F606" t="s">
        <v>78</v>
      </c>
      <c r="G606" t="s">
        <v>79</v>
      </c>
      <c r="H606" t="str">
        <f>IF(COUNTIF(Sheet1!$A:$A,TEXT(A606,"0"))+COUNTIF(Sheet1!$A:$A,A606)&gt;0,"موجود","غير موجود")</f>
        <v>موجود</v>
      </c>
    </row>
    <row r="607" spans="1:8" x14ac:dyDescent="0.2">
      <c r="A607">
        <v>20312051412</v>
      </c>
      <c r="B607" t="s">
        <v>719</v>
      </c>
      <c r="C607">
        <v>33.909999999999997</v>
      </c>
      <c r="D607">
        <v>30</v>
      </c>
      <c r="E607">
        <v>23.736999999999995</v>
      </c>
      <c r="F607" t="s">
        <v>78</v>
      </c>
      <c r="G607" t="s">
        <v>79</v>
      </c>
      <c r="H607" t="str">
        <f>IF(COUNTIF(Sheet1!$A:$A,TEXT(A607,"0"))+COUNTIF(Sheet1!$A:$A,A607)&gt;0,"موجود","غير موجود")</f>
        <v>موجود</v>
      </c>
    </row>
    <row r="608" spans="1:8" x14ac:dyDescent="0.2">
      <c r="A608">
        <v>20312051413</v>
      </c>
      <c r="B608" t="s">
        <v>720</v>
      </c>
      <c r="C608">
        <v>33.909999999999997</v>
      </c>
      <c r="D608">
        <v>30</v>
      </c>
      <c r="E608">
        <v>23.736999999999995</v>
      </c>
      <c r="F608" t="s">
        <v>78</v>
      </c>
      <c r="G608" t="s">
        <v>79</v>
      </c>
      <c r="H608" t="str">
        <f>IF(COUNTIF(Sheet1!$A:$A,TEXT(A608,"0"))+COUNTIF(Sheet1!$A:$A,A608)&gt;0,"موجود","غير موجود")</f>
        <v>موجود</v>
      </c>
    </row>
    <row r="609" spans="1:8" x14ac:dyDescent="0.2">
      <c r="A609">
        <v>20312051414</v>
      </c>
      <c r="B609" t="s">
        <v>721</v>
      </c>
      <c r="C609">
        <v>33.909999999999997</v>
      </c>
      <c r="D609">
        <v>30</v>
      </c>
      <c r="E609">
        <v>23.736999999999995</v>
      </c>
      <c r="F609" t="s">
        <v>78</v>
      </c>
      <c r="G609" t="s">
        <v>79</v>
      </c>
      <c r="H609" t="str">
        <f>IF(COUNTIF(Sheet1!$A:$A,TEXT(A609,"0"))+COUNTIF(Sheet1!$A:$A,A609)&gt;0,"موجود","غير موجود")</f>
        <v>موجود</v>
      </c>
    </row>
    <row r="610" spans="1:8" x14ac:dyDescent="0.2">
      <c r="A610">
        <v>20312051415</v>
      </c>
      <c r="B610" t="s">
        <v>722</v>
      </c>
      <c r="C610">
        <v>33.909999999999997</v>
      </c>
      <c r="D610">
        <v>30</v>
      </c>
      <c r="E610">
        <v>23.736999999999995</v>
      </c>
      <c r="F610" t="s">
        <v>78</v>
      </c>
      <c r="G610" t="s">
        <v>79</v>
      </c>
      <c r="H610" t="str">
        <f>IF(COUNTIF(Sheet1!$A:$A,TEXT(A610,"0"))+COUNTIF(Sheet1!$A:$A,A610)&gt;0,"موجود","غير موجود")</f>
        <v>غير موجود</v>
      </c>
    </row>
    <row r="611" spans="1:8" x14ac:dyDescent="0.2">
      <c r="A611">
        <v>20312051416</v>
      </c>
      <c r="B611" t="s">
        <v>723</v>
      </c>
      <c r="C611">
        <v>60</v>
      </c>
      <c r="D611">
        <v>30</v>
      </c>
      <c r="E611">
        <v>42</v>
      </c>
      <c r="F611" t="s">
        <v>78</v>
      </c>
      <c r="G611" t="s">
        <v>79</v>
      </c>
      <c r="H611" t="str">
        <f>IF(COUNTIF(Sheet1!$A:$A,TEXT(A611,"0"))+COUNTIF(Sheet1!$A:$A,A611)&gt;0,"موجود","غير موجود")</f>
        <v>موجود</v>
      </c>
    </row>
    <row r="612" spans="1:8" x14ac:dyDescent="0.2">
      <c r="A612">
        <v>30420013267</v>
      </c>
      <c r="B612" t="s">
        <v>724</v>
      </c>
      <c r="C612">
        <v>44</v>
      </c>
      <c r="D612">
        <v>25</v>
      </c>
      <c r="E612">
        <v>33</v>
      </c>
      <c r="F612" t="s">
        <v>78</v>
      </c>
      <c r="G612" t="s">
        <v>79</v>
      </c>
      <c r="H612" t="str">
        <f>IF(COUNTIF(Sheet1!$A:$A,TEXT(A612,"0"))+COUNTIF(Sheet1!$A:$A,A612)&gt;0,"موجود","غير موجود")</f>
        <v>غير موجود</v>
      </c>
    </row>
    <row r="613" spans="1:8" x14ac:dyDescent="0.2">
      <c r="A613">
        <v>30420013268</v>
      </c>
      <c r="B613" t="s">
        <v>725</v>
      </c>
      <c r="C613">
        <v>44</v>
      </c>
      <c r="D613">
        <v>25</v>
      </c>
      <c r="E613">
        <v>33</v>
      </c>
      <c r="F613" t="s">
        <v>78</v>
      </c>
      <c r="G613" t="s">
        <v>79</v>
      </c>
      <c r="H613" t="str">
        <f>IF(COUNTIF(Sheet1!$A:$A,TEXT(A613,"0"))+COUNTIF(Sheet1!$A:$A,A613)&gt;0,"موجود","غير موجود")</f>
        <v>غير موجود</v>
      </c>
    </row>
    <row r="614" spans="1:8" x14ac:dyDescent="0.2">
      <c r="A614">
        <v>30420013269</v>
      </c>
      <c r="B614" t="s">
        <v>726</v>
      </c>
      <c r="C614">
        <v>44</v>
      </c>
      <c r="D614">
        <v>25</v>
      </c>
      <c r="E614">
        <v>33</v>
      </c>
      <c r="F614" t="s">
        <v>78</v>
      </c>
      <c r="G614" t="s">
        <v>79</v>
      </c>
      <c r="H614" t="str">
        <f>IF(COUNTIF(Sheet1!$A:$A,TEXT(A614,"0"))+COUNTIF(Sheet1!$A:$A,A614)&gt;0,"موجود","غير موجود")</f>
        <v>موجود</v>
      </c>
    </row>
    <row r="615" spans="1:8" x14ac:dyDescent="0.2">
      <c r="A615">
        <v>30420013270</v>
      </c>
      <c r="B615" t="s">
        <v>727</v>
      </c>
      <c r="C615">
        <v>44</v>
      </c>
      <c r="D615">
        <v>25</v>
      </c>
      <c r="E615">
        <v>33</v>
      </c>
      <c r="F615" t="s">
        <v>78</v>
      </c>
      <c r="G615" t="s">
        <v>79</v>
      </c>
      <c r="H615" t="str">
        <f>IF(COUNTIF(Sheet1!$A:$A,TEXT(A615,"0"))+COUNTIF(Sheet1!$A:$A,A615)&gt;0,"موجود","غير موجود")</f>
        <v>غير موجود</v>
      </c>
    </row>
    <row r="616" spans="1:8" x14ac:dyDescent="0.2">
      <c r="A616">
        <v>30420013720</v>
      </c>
      <c r="B616" t="s">
        <v>728</v>
      </c>
      <c r="C616">
        <v>34</v>
      </c>
      <c r="D616">
        <v>30</v>
      </c>
      <c r="E616">
        <v>23.8</v>
      </c>
      <c r="F616" t="s">
        <v>78</v>
      </c>
      <c r="G616" t="s">
        <v>79</v>
      </c>
      <c r="H616" t="str">
        <f>IF(COUNTIF(Sheet1!$A:$A,TEXT(A616,"0"))+COUNTIF(Sheet1!$A:$A,A616)&gt;0,"موجود","غير موجود")</f>
        <v>موجود</v>
      </c>
    </row>
    <row r="617" spans="1:8" x14ac:dyDescent="0.2">
      <c r="A617">
        <v>20715010546</v>
      </c>
      <c r="B617" t="s">
        <v>729</v>
      </c>
      <c r="C617">
        <v>39.130000000000003</v>
      </c>
      <c r="D617">
        <v>15</v>
      </c>
      <c r="E617">
        <v>33.2605</v>
      </c>
      <c r="F617" t="s">
        <v>78</v>
      </c>
      <c r="G617" t="s">
        <v>83</v>
      </c>
      <c r="H617" t="str">
        <f>IF(COUNTIF(Sheet1!$A:$A,TEXT(A617,"0"))+COUNTIF(Sheet1!$A:$A,A617)&gt;0,"موجود","غير موجود")</f>
        <v>غير موجود</v>
      </c>
    </row>
    <row r="618" spans="1:8" x14ac:dyDescent="0.2">
      <c r="A618">
        <v>20715010547</v>
      </c>
      <c r="B618" t="s">
        <v>730</v>
      </c>
      <c r="C618">
        <v>39.130000000000003</v>
      </c>
      <c r="D618">
        <v>15</v>
      </c>
      <c r="E618">
        <v>33.2605</v>
      </c>
      <c r="F618" t="s">
        <v>78</v>
      </c>
      <c r="G618" t="s">
        <v>83</v>
      </c>
      <c r="H618" t="str">
        <f>IF(COUNTIF(Sheet1!$A:$A,TEXT(A618,"0"))+COUNTIF(Sheet1!$A:$A,A618)&gt;0,"موجود","غير موجود")</f>
        <v>موجود</v>
      </c>
    </row>
    <row r="619" spans="1:8" x14ac:dyDescent="0.2">
      <c r="A619">
        <v>20715010548</v>
      </c>
      <c r="B619" t="s">
        <v>731</v>
      </c>
      <c r="C619">
        <v>38.26</v>
      </c>
      <c r="D619">
        <v>15</v>
      </c>
      <c r="E619">
        <v>32.521000000000001</v>
      </c>
      <c r="F619" t="s">
        <v>78</v>
      </c>
      <c r="G619" t="s">
        <v>83</v>
      </c>
      <c r="H619" t="str">
        <f>IF(COUNTIF(Sheet1!$A:$A,TEXT(A619,"0"))+COUNTIF(Sheet1!$A:$A,A619)&gt;0,"موجود","غير موجود")</f>
        <v>غير موجود</v>
      </c>
    </row>
    <row r="620" spans="1:8" x14ac:dyDescent="0.2">
      <c r="A620">
        <v>20715010551</v>
      </c>
      <c r="B620" t="s">
        <v>732</v>
      </c>
      <c r="C620">
        <v>47.83</v>
      </c>
      <c r="D620">
        <v>15</v>
      </c>
      <c r="E620">
        <v>40.655499999999996</v>
      </c>
      <c r="F620" t="s">
        <v>78</v>
      </c>
      <c r="G620" t="s">
        <v>83</v>
      </c>
      <c r="H620" t="str">
        <f>IF(COUNTIF(Sheet1!$A:$A,TEXT(A620,"0"))+COUNTIF(Sheet1!$A:$A,A620)&gt;0,"موجود","غير موجود")</f>
        <v>غير موجود</v>
      </c>
    </row>
    <row r="621" spans="1:8" x14ac:dyDescent="0.2">
      <c r="A621">
        <v>20309011779</v>
      </c>
      <c r="B621" t="s">
        <v>733</v>
      </c>
      <c r="C621">
        <v>87</v>
      </c>
      <c r="D621">
        <v>25</v>
      </c>
      <c r="E621">
        <v>65.25</v>
      </c>
      <c r="F621" t="s">
        <v>78</v>
      </c>
      <c r="G621" t="s">
        <v>79</v>
      </c>
      <c r="H621" t="str">
        <f>IF(COUNTIF(Sheet1!$A:$A,TEXT(A621,"0"))+COUNTIF(Sheet1!$A:$A,A621)&gt;0,"موجود","غير موجود")</f>
        <v>موجود</v>
      </c>
    </row>
    <row r="622" spans="1:8" x14ac:dyDescent="0.2">
      <c r="A622">
        <v>30420012881</v>
      </c>
      <c r="B622" t="s">
        <v>734</v>
      </c>
      <c r="C622">
        <v>182</v>
      </c>
      <c r="D622">
        <v>25</v>
      </c>
      <c r="E622">
        <v>136.5</v>
      </c>
      <c r="F622" t="s">
        <v>78</v>
      </c>
      <c r="G622" t="s">
        <v>79</v>
      </c>
      <c r="H622" t="str">
        <f>IF(COUNTIF(Sheet1!$A:$A,TEXT(A622,"0"))+COUNTIF(Sheet1!$A:$A,A622)&gt;0,"موجود","غير موجود")</f>
        <v>موجود</v>
      </c>
    </row>
    <row r="623" spans="1:8" x14ac:dyDescent="0.2">
      <c r="A623">
        <v>30420012883</v>
      </c>
      <c r="B623" t="s">
        <v>735</v>
      </c>
      <c r="C623">
        <v>182</v>
      </c>
      <c r="D623">
        <v>25</v>
      </c>
      <c r="E623">
        <v>136.5</v>
      </c>
      <c r="F623" t="s">
        <v>78</v>
      </c>
      <c r="G623" t="s">
        <v>79</v>
      </c>
      <c r="H623" t="str">
        <f>IF(COUNTIF(Sheet1!$A:$A,TEXT(A623,"0"))+COUNTIF(Sheet1!$A:$A,A623)&gt;0,"موجود","غير موجود")</f>
        <v>غير موجود</v>
      </c>
    </row>
    <row r="624" spans="1:8" x14ac:dyDescent="0.2">
      <c r="A624">
        <v>30420012884</v>
      </c>
      <c r="B624" t="s">
        <v>736</v>
      </c>
      <c r="C624">
        <v>182</v>
      </c>
      <c r="D624">
        <v>25</v>
      </c>
      <c r="E624">
        <v>136.5</v>
      </c>
      <c r="F624" t="s">
        <v>78</v>
      </c>
      <c r="G624" t="s">
        <v>79</v>
      </c>
      <c r="H624" t="str">
        <f>IF(COUNTIF(Sheet1!$A:$A,TEXT(A624,"0"))+COUNTIF(Sheet1!$A:$A,A624)&gt;0,"موجود","غير موجود")</f>
        <v>غير موجود</v>
      </c>
    </row>
    <row r="625" spans="1:8" x14ac:dyDescent="0.2">
      <c r="A625">
        <v>30420012886</v>
      </c>
      <c r="B625" t="s">
        <v>737</v>
      </c>
      <c r="C625">
        <v>182</v>
      </c>
      <c r="D625">
        <v>25</v>
      </c>
      <c r="E625">
        <v>136.5</v>
      </c>
      <c r="F625" t="s">
        <v>78</v>
      </c>
      <c r="G625" t="s">
        <v>79</v>
      </c>
      <c r="H625" t="str">
        <f>IF(COUNTIF(Sheet1!$A:$A,TEXT(A625,"0"))+COUNTIF(Sheet1!$A:$A,A625)&gt;0,"موجود","غير موجود")</f>
        <v>موجود</v>
      </c>
    </row>
    <row r="626" spans="1:8" x14ac:dyDescent="0.2">
      <c r="A626">
        <v>30420013272</v>
      </c>
      <c r="B626" t="s">
        <v>738</v>
      </c>
      <c r="C626">
        <v>28</v>
      </c>
      <c r="D626">
        <v>25</v>
      </c>
      <c r="E626">
        <v>21</v>
      </c>
      <c r="F626" t="s">
        <v>78</v>
      </c>
      <c r="G626" t="s">
        <v>79</v>
      </c>
      <c r="H626" t="str">
        <f>IF(COUNTIF(Sheet1!$A:$A,TEXT(A626,"0"))+COUNTIF(Sheet1!$A:$A,A626)&gt;0,"موجود","غير موجود")</f>
        <v>غير موجود</v>
      </c>
    </row>
    <row r="627" spans="1:8" x14ac:dyDescent="0.2">
      <c r="A627">
        <v>30420013274</v>
      </c>
      <c r="B627" t="s">
        <v>739</v>
      </c>
      <c r="C627">
        <v>14</v>
      </c>
      <c r="D627">
        <v>25</v>
      </c>
      <c r="E627">
        <v>10.5</v>
      </c>
      <c r="F627" t="s">
        <v>78</v>
      </c>
      <c r="G627" t="s">
        <v>79</v>
      </c>
      <c r="H627" t="str">
        <f>IF(COUNTIF(Sheet1!$A:$A,TEXT(A627,"0"))+COUNTIF(Sheet1!$A:$A,A627)&gt;0,"موجود","غير موجود")</f>
        <v>غير موجود</v>
      </c>
    </row>
    <row r="628" spans="1:8" x14ac:dyDescent="0.2">
      <c r="A628">
        <v>30420013276</v>
      </c>
      <c r="B628" t="s">
        <v>740</v>
      </c>
      <c r="C628">
        <v>14</v>
      </c>
      <c r="D628">
        <v>25</v>
      </c>
      <c r="E628">
        <v>10.5</v>
      </c>
      <c r="F628" t="s">
        <v>78</v>
      </c>
      <c r="G628" t="s">
        <v>79</v>
      </c>
      <c r="H628" t="str">
        <f>IF(COUNTIF(Sheet1!$A:$A,TEXT(A628,"0"))+COUNTIF(Sheet1!$A:$A,A628)&gt;0,"موجود","غير موجود")</f>
        <v>غير موجود</v>
      </c>
    </row>
    <row r="629" spans="1:8" x14ac:dyDescent="0.2">
      <c r="A629">
        <v>30420013288</v>
      </c>
      <c r="B629" t="s">
        <v>741</v>
      </c>
      <c r="C629">
        <v>14</v>
      </c>
      <c r="D629">
        <v>25</v>
      </c>
      <c r="E629">
        <v>10.5</v>
      </c>
      <c r="F629" t="s">
        <v>78</v>
      </c>
      <c r="G629" t="s">
        <v>79</v>
      </c>
      <c r="H629" t="str">
        <f>IF(COUNTIF(Sheet1!$A:$A,TEXT(A629,"0"))+COUNTIF(Sheet1!$A:$A,A629)&gt;0,"موجود","غير موجود")</f>
        <v>موجود</v>
      </c>
    </row>
    <row r="630" spans="1:8" x14ac:dyDescent="0.2">
      <c r="A630">
        <v>30420013289</v>
      </c>
      <c r="B630" t="s">
        <v>742</v>
      </c>
      <c r="C630">
        <v>14</v>
      </c>
      <c r="D630">
        <v>25</v>
      </c>
      <c r="E630">
        <v>10.5</v>
      </c>
      <c r="F630" t="s">
        <v>78</v>
      </c>
      <c r="G630" t="s">
        <v>79</v>
      </c>
      <c r="H630" t="str">
        <f>IF(COUNTIF(Sheet1!$A:$A,TEXT(A630,"0"))+COUNTIF(Sheet1!$A:$A,A630)&gt;0,"موجود","غير موجود")</f>
        <v>موجود</v>
      </c>
    </row>
    <row r="631" spans="1:8" x14ac:dyDescent="0.2">
      <c r="A631">
        <v>30420013290</v>
      </c>
      <c r="B631" t="s">
        <v>743</v>
      </c>
      <c r="C631">
        <v>14</v>
      </c>
      <c r="D631">
        <v>25</v>
      </c>
      <c r="E631">
        <v>10.5</v>
      </c>
      <c r="F631" t="s">
        <v>78</v>
      </c>
      <c r="G631" t="s">
        <v>79</v>
      </c>
      <c r="H631" t="str">
        <f>IF(COUNTIF(Sheet1!$A:$A,TEXT(A631,"0"))+COUNTIF(Sheet1!$A:$A,A631)&gt;0,"موجود","غير موجود")</f>
        <v>موجود</v>
      </c>
    </row>
    <row r="632" spans="1:8" x14ac:dyDescent="0.2">
      <c r="A632">
        <v>30420013291</v>
      </c>
      <c r="B632" t="s">
        <v>744</v>
      </c>
      <c r="C632">
        <v>14</v>
      </c>
      <c r="D632">
        <v>25</v>
      </c>
      <c r="E632">
        <v>10.5</v>
      </c>
      <c r="F632" t="s">
        <v>78</v>
      </c>
      <c r="G632" t="s">
        <v>79</v>
      </c>
      <c r="H632" t="str">
        <f>IF(COUNTIF(Sheet1!$A:$A,TEXT(A632,"0"))+COUNTIF(Sheet1!$A:$A,A632)&gt;0,"موجود","غير موجود")</f>
        <v>غير موجود</v>
      </c>
    </row>
    <row r="633" spans="1:8" x14ac:dyDescent="0.2">
      <c r="A633">
        <v>20309012373</v>
      </c>
      <c r="B633" t="s">
        <v>745</v>
      </c>
      <c r="C633">
        <v>23.1</v>
      </c>
      <c r="D633">
        <v>0.2</v>
      </c>
      <c r="E633">
        <v>18.48</v>
      </c>
      <c r="F633" t="s">
        <v>78</v>
      </c>
      <c r="G633" t="s">
        <v>283</v>
      </c>
      <c r="H633" t="str">
        <f>IF(COUNTIF(Sheet1!$A:$A,TEXT(A633,"0"))+COUNTIF(Sheet1!$A:$A,A633)&gt;0,"موجود","غير موجود")</f>
        <v>غير موجود</v>
      </c>
    </row>
    <row r="634" spans="1:8" x14ac:dyDescent="0.2">
      <c r="A634">
        <v>20309012374</v>
      </c>
      <c r="B634" t="s">
        <v>746</v>
      </c>
      <c r="C634">
        <v>23.1</v>
      </c>
      <c r="D634">
        <v>0.2</v>
      </c>
      <c r="E634">
        <v>18.48</v>
      </c>
      <c r="F634" t="s">
        <v>78</v>
      </c>
      <c r="G634" t="s">
        <v>283</v>
      </c>
      <c r="H634" t="str">
        <f>IF(COUNTIF(Sheet1!$A:$A,TEXT(A634,"0"))+COUNTIF(Sheet1!$A:$A,A634)&gt;0,"موجود","غير موجود")</f>
        <v>غير موجود</v>
      </c>
    </row>
    <row r="635" spans="1:8" x14ac:dyDescent="0.2">
      <c r="A635">
        <v>20309012375</v>
      </c>
      <c r="B635" t="s">
        <v>747</v>
      </c>
      <c r="C635">
        <v>23.1</v>
      </c>
      <c r="D635">
        <v>0.2</v>
      </c>
      <c r="E635">
        <v>18.48</v>
      </c>
      <c r="F635" t="s">
        <v>78</v>
      </c>
      <c r="G635" t="s">
        <v>283</v>
      </c>
      <c r="H635" t="str">
        <f>IF(COUNTIF(Sheet1!$A:$A,TEXT(A635,"0"))+COUNTIF(Sheet1!$A:$A,A635)&gt;0,"موجود","غير موجود")</f>
        <v>غير موجود</v>
      </c>
    </row>
    <row r="636" spans="1:8" x14ac:dyDescent="0.2">
      <c r="A636">
        <v>20309012376</v>
      </c>
      <c r="B636" t="s">
        <v>748</v>
      </c>
      <c r="C636">
        <v>23.1</v>
      </c>
      <c r="D636">
        <v>0.2</v>
      </c>
      <c r="E636">
        <v>18.48</v>
      </c>
      <c r="F636" t="s">
        <v>78</v>
      </c>
      <c r="G636" t="s">
        <v>283</v>
      </c>
      <c r="H636" t="str">
        <f>IF(COUNTIF(Sheet1!$A:$A,TEXT(A636,"0"))+COUNTIF(Sheet1!$A:$A,A636)&gt;0,"موجود","غير موجود")</f>
        <v>غير موجود</v>
      </c>
    </row>
    <row r="637" spans="1:8" x14ac:dyDescent="0.2">
      <c r="A637">
        <v>20309012377</v>
      </c>
      <c r="B637" t="s">
        <v>749</v>
      </c>
      <c r="C637">
        <v>23.1</v>
      </c>
      <c r="D637">
        <v>0.2</v>
      </c>
      <c r="E637">
        <v>18.48</v>
      </c>
      <c r="F637" t="s">
        <v>78</v>
      </c>
      <c r="G637" t="s">
        <v>283</v>
      </c>
      <c r="H637" t="str">
        <f>IF(COUNTIF(Sheet1!$A:$A,TEXT(A637,"0"))+COUNTIF(Sheet1!$A:$A,A637)&gt;0,"موجود","غير موجود")</f>
        <v>غير موجود</v>
      </c>
    </row>
    <row r="638" spans="1:8" x14ac:dyDescent="0.2">
      <c r="A638">
        <v>20309012378</v>
      </c>
      <c r="B638" t="s">
        <v>750</v>
      </c>
      <c r="C638">
        <v>23.1</v>
      </c>
      <c r="D638">
        <v>0.2</v>
      </c>
      <c r="E638">
        <v>18.48</v>
      </c>
      <c r="F638" t="s">
        <v>78</v>
      </c>
      <c r="G638" t="s">
        <v>283</v>
      </c>
      <c r="H638" t="str">
        <f>IF(COUNTIF(Sheet1!$A:$A,TEXT(A638,"0"))+COUNTIF(Sheet1!$A:$A,A638)&gt;0,"موجود","غير موجود")</f>
        <v>غير موجود</v>
      </c>
    </row>
    <row r="639" spans="1:8" x14ac:dyDescent="0.2">
      <c r="A639">
        <v>20309012379</v>
      </c>
      <c r="B639" t="s">
        <v>751</v>
      </c>
      <c r="C639">
        <v>23.1</v>
      </c>
      <c r="D639">
        <v>0.2</v>
      </c>
      <c r="E639">
        <v>18.48</v>
      </c>
      <c r="F639" t="s">
        <v>78</v>
      </c>
      <c r="G639" t="s">
        <v>283</v>
      </c>
      <c r="H639" t="str">
        <f>IF(COUNTIF(Sheet1!$A:$A,TEXT(A639,"0"))+COUNTIF(Sheet1!$A:$A,A639)&gt;0,"موجود","غير موجود")</f>
        <v>غير موجود</v>
      </c>
    </row>
    <row r="640" spans="1:8" x14ac:dyDescent="0.2">
      <c r="A640">
        <v>20309012380</v>
      </c>
      <c r="B640" t="s">
        <v>752</v>
      </c>
      <c r="C640">
        <v>23.1</v>
      </c>
      <c r="D640">
        <v>0.2</v>
      </c>
      <c r="E640">
        <v>18.48</v>
      </c>
      <c r="F640" t="s">
        <v>78</v>
      </c>
      <c r="G640" t="s">
        <v>283</v>
      </c>
      <c r="H640" t="str">
        <f>IF(COUNTIF(Sheet1!$A:$A,TEXT(A640,"0"))+COUNTIF(Sheet1!$A:$A,A640)&gt;0,"موجود","غير موجود")</f>
        <v>غير موجود</v>
      </c>
    </row>
    <row r="641" spans="1:8" x14ac:dyDescent="0.2">
      <c r="A641">
        <v>20309060795</v>
      </c>
      <c r="B641" t="s">
        <v>753</v>
      </c>
      <c r="C641">
        <v>23.1</v>
      </c>
      <c r="D641">
        <v>0.2</v>
      </c>
      <c r="E641">
        <v>18.48</v>
      </c>
      <c r="F641" t="s">
        <v>78</v>
      </c>
      <c r="G641" t="s">
        <v>283</v>
      </c>
      <c r="H641" t="str">
        <f>IF(COUNTIF(Sheet1!$A:$A,TEXT(A641,"0"))+COUNTIF(Sheet1!$A:$A,A641)&gt;0,"موجود","غير موجود")</f>
        <v>غير موجود</v>
      </c>
    </row>
    <row r="642" spans="1:8" x14ac:dyDescent="0.2">
      <c r="A642">
        <v>20309060796</v>
      </c>
      <c r="B642" t="s">
        <v>754</v>
      </c>
      <c r="C642">
        <v>23.1</v>
      </c>
      <c r="D642">
        <v>0.2</v>
      </c>
      <c r="E642">
        <v>18.48</v>
      </c>
      <c r="F642" t="s">
        <v>78</v>
      </c>
      <c r="G642" t="s">
        <v>283</v>
      </c>
      <c r="H642" t="str">
        <f>IF(COUNTIF(Sheet1!$A:$A,TEXT(A642,"0"))+COUNTIF(Sheet1!$A:$A,A642)&gt;0,"موجود","غير موجود")</f>
        <v>غير موجود</v>
      </c>
    </row>
    <row r="643" spans="1:8" x14ac:dyDescent="0.2">
      <c r="A643">
        <v>20309060797</v>
      </c>
      <c r="B643" t="s">
        <v>755</v>
      </c>
      <c r="C643">
        <v>23.1</v>
      </c>
      <c r="D643">
        <v>0.2</v>
      </c>
      <c r="E643">
        <v>18.48</v>
      </c>
      <c r="F643" t="s">
        <v>78</v>
      </c>
      <c r="G643" t="s">
        <v>283</v>
      </c>
      <c r="H643" t="str">
        <f>IF(COUNTIF(Sheet1!$A:$A,TEXT(A643,"0"))+COUNTIF(Sheet1!$A:$A,A643)&gt;0,"موجود","غير موجود")</f>
        <v>غير موجود</v>
      </c>
    </row>
    <row r="644" spans="1:8" x14ac:dyDescent="0.2">
      <c r="A644">
        <v>20309060798</v>
      </c>
      <c r="B644" t="s">
        <v>756</v>
      </c>
      <c r="C644">
        <v>23.1</v>
      </c>
      <c r="D644">
        <v>0.2</v>
      </c>
      <c r="E644">
        <v>18.48</v>
      </c>
      <c r="F644" t="s">
        <v>78</v>
      </c>
      <c r="G644" t="s">
        <v>283</v>
      </c>
      <c r="H644" t="str">
        <f>IF(COUNTIF(Sheet1!$A:$A,TEXT(A644,"0"))+COUNTIF(Sheet1!$A:$A,A644)&gt;0,"موجود","غير موجود")</f>
        <v>غير موجود</v>
      </c>
    </row>
    <row r="645" spans="1:8" x14ac:dyDescent="0.2">
      <c r="A645">
        <v>20309060799</v>
      </c>
      <c r="B645" t="s">
        <v>757</v>
      </c>
      <c r="C645">
        <v>23.1</v>
      </c>
      <c r="D645">
        <v>0.2</v>
      </c>
      <c r="E645">
        <v>18.48</v>
      </c>
      <c r="F645" t="s">
        <v>78</v>
      </c>
      <c r="G645" t="s">
        <v>283</v>
      </c>
      <c r="H645" t="str">
        <f>IF(COUNTIF(Sheet1!$A:$A,TEXT(A645,"0"))+COUNTIF(Sheet1!$A:$A,A645)&gt;0,"موجود","غير موجود")</f>
        <v>غير موجود</v>
      </c>
    </row>
    <row r="646" spans="1:8" x14ac:dyDescent="0.2">
      <c r="A646" t="s">
        <v>4</v>
      </c>
      <c r="B646" t="s">
        <v>758</v>
      </c>
      <c r="C646">
        <v>150</v>
      </c>
      <c r="D646">
        <v>0.4</v>
      </c>
      <c r="E646">
        <v>90</v>
      </c>
      <c r="F646" t="s">
        <v>78</v>
      </c>
      <c r="G646" t="s">
        <v>283</v>
      </c>
      <c r="H646" t="str">
        <f>IF(COUNTIF(Sheet1!$A:$A,TEXT(A646,"0"))+COUNTIF(Sheet1!$A:$A,A646)&gt;0,"موجود","غير موجود")</f>
        <v>موجود</v>
      </c>
    </row>
    <row r="647" spans="1:8" x14ac:dyDescent="0.2">
      <c r="A647" t="s">
        <v>3</v>
      </c>
      <c r="B647" t="s">
        <v>759</v>
      </c>
      <c r="C647">
        <v>28.5</v>
      </c>
      <c r="D647">
        <v>0.2</v>
      </c>
      <c r="E647">
        <v>22.8</v>
      </c>
      <c r="F647" t="s">
        <v>78</v>
      </c>
      <c r="G647" t="s">
        <v>283</v>
      </c>
      <c r="H647" t="str">
        <f>IF(COUNTIF(Sheet1!$A:$A,TEXT(A647,"0"))+COUNTIF(Sheet1!$A:$A,A647)&gt;0,"موجود","غير موجود")</f>
        <v>موجود</v>
      </c>
    </row>
    <row r="648" spans="1:8" x14ac:dyDescent="0.2">
      <c r="A648" t="s">
        <v>6</v>
      </c>
      <c r="B648" t="s">
        <v>760</v>
      </c>
      <c r="C648">
        <v>19.5</v>
      </c>
      <c r="D648">
        <v>0.25</v>
      </c>
      <c r="E648">
        <v>14.625</v>
      </c>
      <c r="F648" t="s">
        <v>78</v>
      </c>
      <c r="G648" t="s">
        <v>283</v>
      </c>
      <c r="H648" t="str">
        <f>IF(COUNTIF(Sheet1!$A:$A,TEXT(A648,"0"))+COUNTIF(Sheet1!$A:$A,A648)&gt;0,"موجود","غير موجود")</f>
        <v>موجود</v>
      </c>
    </row>
    <row r="649" spans="1:8" x14ac:dyDescent="0.2">
      <c r="A649" t="s">
        <v>761</v>
      </c>
      <c r="B649" t="s">
        <v>762</v>
      </c>
      <c r="C649">
        <v>25</v>
      </c>
      <c r="D649">
        <v>0.25</v>
      </c>
      <c r="E649">
        <v>18.75</v>
      </c>
      <c r="F649" t="s">
        <v>78</v>
      </c>
      <c r="G649" t="s">
        <v>283</v>
      </c>
      <c r="H649" t="str">
        <f>IF(COUNTIF(Sheet1!$A:$A,TEXT(A649,"0"))+COUNTIF(Sheet1!$A:$A,A649)&gt;0,"موجود","غير موجود")</f>
        <v>غير موجود</v>
      </c>
    </row>
    <row r="650" spans="1:8" x14ac:dyDescent="0.2">
      <c r="A650" t="s">
        <v>5</v>
      </c>
      <c r="B650" t="s">
        <v>763</v>
      </c>
      <c r="C650">
        <v>80.5</v>
      </c>
      <c r="D650">
        <v>0.4</v>
      </c>
      <c r="E650">
        <v>48.3</v>
      </c>
      <c r="F650" t="s">
        <v>78</v>
      </c>
      <c r="G650" t="s">
        <v>283</v>
      </c>
      <c r="H650" t="str">
        <f>IF(COUNTIF(Sheet1!$A:$A,TEXT(A650,"0"))+COUNTIF(Sheet1!$A:$A,A650)&gt;0,"موجود","غير موجود")</f>
        <v>موجود</v>
      </c>
    </row>
    <row r="651" spans="1:8" x14ac:dyDescent="0.2">
      <c r="A651" t="s">
        <v>7</v>
      </c>
      <c r="B651" t="s">
        <v>764</v>
      </c>
      <c r="C651">
        <v>40</v>
      </c>
      <c r="D651">
        <v>0.25</v>
      </c>
      <c r="E651">
        <v>30</v>
      </c>
      <c r="F651" t="s">
        <v>78</v>
      </c>
      <c r="G651" t="s">
        <v>283</v>
      </c>
      <c r="H651" t="str">
        <f>IF(COUNTIF(Sheet1!$A:$A,TEXT(A651,"0"))+COUNTIF(Sheet1!$A:$A,A651)&gt;0,"موجود","غير موجود")</f>
        <v>موجود</v>
      </c>
    </row>
    <row r="652" spans="1:8" x14ac:dyDescent="0.2">
      <c r="A652" t="s">
        <v>8</v>
      </c>
      <c r="B652" t="s">
        <v>765</v>
      </c>
      <c r="C652">
        <v>57.5</v>
      </c>
      <c r="D652">
        <v>0.25</v>
      </c>
      <c r="E652">
        <v>43.125</v>
      </c>
      <c r="F652" t="s">
        <v>78</v>
      </c>
      <c r="G652" t="s">
        <v>283</v>
      </c>
      <c r="H652" t="str">
        <f>IF(COUNTIF(Sheet1!$A:$A,TEXT(A652,"0"))+COUNTIF(Sheet1!$A:$A,A652)&gt;0,"موجود","غير موجود")</f>
        <v>موجود</v>
      </c>
    </row>
    <row r="653" spans="1:8" x14ac:dyDescent="0.2">
      <c r="A653" t="s">
        <v>9</v>
      </c>
      <c r="B653" t="s">
        <v>766</v>
      </c>
      <c r="C653">
        <v>85</v>
      </c>
      <c r="D653">
        <v>0.33</v>
      </c>
      <c r="E653">
        <v>56.95</v>
      </c>
      <c r="F653" t="s">
        <v>78</v>
      </c>
      <c r="G653" t="s">
        <v>283</v>
      </c>
      <c r="H653" t="str">
        <f>IF(COUNTIF(Sheet1!$A:$A,TEXT(A653,"0"))+COUNTIF(Sheet1!$A:$A,A653)&gt;0,"موجود","غير موجود")</f>
        <v>موجود</v>
      </c>
    </row>
    <row r="654" spans="1:8" x14ac:dyDescent="0.2">
      <c r="A654" t="s">
        <v>767</v>
      </c>
      <c r="B654" t="s">
        <v>768</v>
      </c>
      <c r="C654">
        <v>20</v>
      </c>
      <c r="D654">
        <v>0.25</v>
      </c>
      <c r="E654">
        <v>15</v>
      </c>
      <c r="F654" t="s">
        <v>78</v>
      </c>
      <c r="G654" t="s">
        <v>283</v>
      </c>
      <c r="H654" t="str">
        <f>IF(COUNTIF(Sheet1!$A:$A,TEXT(A654,"0"))+COUNTIF(Sheet1!$A:$A,A654)&gt;0,"موجود","غير موجود")</f>
        <v>غير موجود</v>
      </c>
    </row>
    <row r="655" spans="1:8" x14ac:dyDescent="0.2">
      <c r="A655" t="s">
        <v>30</v>
      </c>
      <c r="B655" t="s">
        <v>769</v>
      </c>
      <c r="C655">
        <v>86.67</v>
      </c>
      <c r="D655">
        <v>25</v>
      </c>
      <c r="E655">
        <v>65.002499999999998</v>
      </c>
      <c r="F655" t="s">
        <v>78</v>
      </c>
      <c r="G655" t="s">
        <v>283</v>
      </c>
      <c r="H655" t="str">
        <f>IF(COUNTIF(Sheet1!$A:$A,TEXT(A655,"0"))+COUNTIF(Sheet1!$A:$A,A655)&gt;0,"موجود","غير موجود")</f>
        <v>موجود</v>
      </c>
    </row>
    <row r="656" spans="1:8" x14ac:dyDescent="0.2">
      <c r="A656" t="s">
        <v>28</v>
      </c>
      <c r="B656" t="s">
        <v>770</v>
      </c>
      <c r="C656">
        <v>75.459999999999994</v>
      </c>
      <c r="D656">
        <v>20</v>
      </c>
      <c r="E656">
        <v>60.367999999999995</v>
      </c>
      <c r="F656" t="s">
        <v>78</v>
      </c>
      <c r="G656" t="s">
        <v>283</v>
      </c>
      <c r="H656" t="str">
        <f>IF(COUNTIF(Sheet1!$A:$A,TEXT(A656,"0"))+COUNTIF(Sheet1!$A:$A,A656)&gt;0,"موجود","غير موجود")</f>
        <v>موجود</v>
      </c>
    </row>
    <row r="657" spans="1:8" x14ac:dyDescent="0.2">
      <c r="A657" t="s">
        <v>24</v>
      </c>
      <c r="B657" t="s">
        <v>771</v>
      </c>
      <c r="C657">
        <v>73.92</v>
      </c>
      <c r="D657">
        <v>20</v>
      </c>
      <c r="E657">
        <v>59.136000000000003</v>
      </c>
      <c r="F657" t="s">
        <v>78</v>
      </c>
      <c r="G657" t="s">
        <v>283</v>
      </c>
      <c r="H657" t="str">
        <f>IF(COUNTIF(Sheet1!$A:$A,TEXT(A657,"0"))+COUNTIF(Sheet1!$A:$A,A657)&gt;0,"موجود","غير موجود")</f>
        <v>موجود</v>
      </c>
    </row>
    <row r="658" spans="1:8" x14ac:dyDescent="0.2">
      <c r="A658" t="s">
        <v>65</v>
      </c>
      <c r="B658" t="s">
        <v>772</v>
      </c>
      <c r="C658">
        <v>73.92</v>
      </c>
      <c r="D658">
        <v>20</v>
      </c>
      <c r="E658">
        <v>59.136000000000003</v>
      </c>
      <c r="F658" t="s">
        <v>78</v>
      </c>
      <c r="G658" t="s">
        <v>283</v>
      </c>
      <c r="H658" t="str">
        <f>IF(COUNTIF(Sheet1!$A:$A,TEXT(A658,"0"))+COUNTIF(Sheet1!$A:$A,A658)&gt;0,"موجود","غير موجود")</f>
        <v>موجود</v>
      </c>
    </row>
    <row r="659" spans="1:8" x14ac:dyDescent="0.2">
      <c r="A659" t="s">
        <v>32</v>
      </c>
      <c r="B659" t="s">
        <v>773</v>
      </c>
      <c r="C659">
        <v>43.12</v>
      </c>
      <c r="D659">
        <v>20</v>
      </c>
      <c r="E659">
        <v>34.495999999999995</v>
      </c>
      <c r="F659" t="s">
        <v>78</v>
      </c>
      <c r="G659" t="s">
        <v>283</v>
      </c>
      <c r="H659" t="str">
        <f>IF(COUNTIF(Sheet1!$A:$A,TEXT(A659,"0"))+COUNTIF(Sheet1!$A:$A,A659)&gt;0,"موجود","غير موجود")</f>
        <v>موجود</v>
      </c>
    </row>
    <row r="660" spans="1:8" x14ac:dyDescent="0.2">
      <c r="A660" t="s">
        <v>31</v>
      </c>
      <c r="B660" t="s">
        <v>774</v>
      </c>
      <c r="C660">
        <v>75.459999999999994</v>
      </c>
      <c r="D660">
        <v>20</v>
      </c>
      <c r="E660">
        <v>60.367999999999995</v>
      </c>
      <c r="F660" t="s">
        <v>78</v>
      </c>
      <c r="G660" t="s">
        <v>283</v>
      </c>
      <c r="H660" t="str">
        <f>IF(COUNTIF(Sheet1!$A:$A,TEXT(A660,"0"))+COUNTIF(Sheet1!$A:$A,A660)&gt;0,"موجود","غير موجود")</f>
        <v>موجود</v>
      </c>
    </row>
    <row r="661" spans="1:8" x14ac:dyDescent="0.2">
      <c r="A661" t="s">
        <v>68</v>
      </c>
      <c r="B661" t="s">
        <v>775</v>
      </c>
      <c r="C661">
        <v>83</v>
      </c>
      <c r="D661">
        <v>15</v>
      </c>
      <c r="E661">
        <v>70.55</v>
      </c>
      <c r="F661" t="s">
        <v>78</v>
      </c>
      <c r="G661" t="s">
        <v>283</v>
      </c>
      <c r="H661" t="str">
        <f>IF(COUNTIF(Sheet1!$A:$A,TEXT(A661,"0"))+COUNTIF(Sheet1!$A:$A,A661)&gt;0,"موجود","غير موجود")</f>
        <v>موجود</v>
      </c>
    </row>
    <row r="662" spans="1:8" x14ac:dyDescent="0.2">
      <c r="A662">
        <v>20715010542</v>
      </c>
      <c r="B662" t="s">
        <v>776</v>
      </c>
      <c r="C662">
        <v>42.61</v>
      </c>
      <c r="D662">
        <v>10</v>
      </c>
      <c r="E662">
        <v>38.348999999999997</v>
      </c>
      <c r="F662" t="s">
        <v>78</v>
      </c>
      <c r="G662" t="s">
        <v>83</v>
      </c>
      <c r="H662" t="str">
        <f>IF(COUNTIF(Sheet1!$A:$A,TEXT(A662,"0"))+COUNTIF(Sheet1!$A:$A,A662)&gt;0,"موجود","غير موجود")</f>
        <v>موجود</v>
      </c>
    </row>
    <row r="663" spans="1:8" x14ac:dyDescent="0.2">
      <c r="A663">
        <v>20715010543</v>
      </c>
      <c r="B663" t="s">
        <v>777</v>
      </c>
      <c r="C663">
        <v>42.61</v>
      </c>
      <c r="D663">
        <v>10</v>
      </c>
      <c r="E663">
        <v>38.348999999999997</v>
      </c>
      <c r="F663" t="s">
        <v>78</v>
      </c>
      <c r="G663" t="s">
        <v>83</v>
      </c>
      <c r="H663" t="str">
        <f>IF(COUNTIF(Sheet1!$A:$A,TEXT(A663,"0"))+COUNTIF(Sheet1!$A:$A,A663)&gt;0,"موجود","غير موجود")</f>
        <v>موجود</v>
      </c>
    </row>
    <row r="664" spans="1:8" x14ac:dyDescent="0.2">
      <c r="A664">
        <v>20715010544</v>
      </c>
      <c r="B664" t="s">
        <v>778</v>
      </c>
      <c r="C664">
        <v>42.61</v>
      </c>
      <c r="D664">
        <v>10</v>
      </c>
      <c r="E664">
        <v>38.348999999999997</v>
      </c>
      <c r="F664" t="s">
        <v>78</v>
      </c>
      <c r="G664" t="s">
        <v>83</v>
      </c>
      <c r="H664" t="str">
        <f>IF(COUNTIF(Sheet1!$A:$A,TEXT(A664,"0"))+COUNTIF(Sheet1!$A:$A,A664)&gt;0,"موجود","غير موجود")</f>
        <v>موجود</v>
      </c>
    </row>
    <row r="665" spans="1:8" x14ac:dyDescent="0.2">
      <c r="A665">
        <v>20309070173</v>
      </c>
      <c r="B665" t="s">
        <v>779</v>
      </c>
      <c r="C665">
        <v>80</v>
      </c>
      <c r="D665">
        <v>15</v>
      </c>
      <c r="E665">
        <v>68</v>
      </c>
      <c r="F665" t="s">
        <v>78</v>
      </c>
      <c r="G665" t="s">
        <v>79</v>
      </c>
      <c r="H665" t="str">
        <f>IF(COUNTIF(Sheet1!$A:$A,TEXT(A665,"0"))+COUNTIF(Sheet1!$A:$A,A665)&gt;0,"موجود","غير موجود")</f>
        <v>موجود</v>
      </c>
    </row>
    <row r="666" spans="1:8" x14ac:dyDescent="0.2">
      <c r="A666">
        <v>20309503835</v>
      </c>
      <c r="B666" t="s">
        <v>780</v>
      </c>
      <c r="C666">
        <v>41.75</v>
      </c>
      <c r="D666">
        <v>15</v>
      </c>
      <c r="E666">
        <v>35.487499999999997</v>
      </c>
      <c r="F666" t="s">
        <v>78</v>
      </c>
      <c r="G666" t="s">
        <v>79</v>
      </c>
      <c r="H666" t="str">
        <f>IF(COUNTIF(Sheet1!$A:$A,TEXT(A666,"0"))+COUNTIF(Sheet1!$A:$A,A666)&gt;0,"موجود","غير موجود")</f>
        <v>موجود</v>
      </c>
    </row>
    <row r="667" spans="1:8" x14ac:dyDescent="0.2">
      <c r="A667">
        <v>20309503836</v>
      </c>
      <c r="B667" t="s">
        <v>781</v>
      </c>
      <c r="C667">
        <v>41.75</v>
      </c>
      <c r="D667">
        <v>15</v>
      </c>
      <c r="E667">
        <v>35.487499999999997</v>
      </c>
      <c r="F667" t="s">
        <v>78</v>
      </c>
      <c r="G667" t="s">
        <v>79</v>
      </c>
      <c r="H667" t="str">
        <f>IF(COUNTIF(Sheet1!$A:$A,TEXT(A667,"0"))+COUNTIF(Sheet1!$A:$A,A667)&gt;0,"موجود","غير موجود")</f>
        <v>موجود</v>
      </c>
    </row>
    <row r="668" spans="1:8" x14ac:dyDescent="0.2">
      <c r="A668">
        <v>20309503890</v>
      </c>
      <c r="B668" t="s">
        <v>782</v>
      </c>
      <c r="C668">
        <v>41.75</v>
      </c>
      <c r="D668">
        <v>15</v>
      </c>
      <c r="E668">
        <v>35.487499999999997</v>
      </c>
      <c r="F668" t="s">
        <v>78</v>
      </c>
      <c r="G668" t="s">
        <v>79</v>
      </c>
      <c r="H668" t="str">
        <f>IF(COUNTIF(Sheet1!$A:$A,TEXT(A668,"0"))+COUNTIF(Sheet1!$A:$A,A668)&gt;0,"موجود","غير موجود")</f>
        <v>موجود</v>
      </c>
    </row>
    <row r="669" spans="1:8" x14ac:dyDescent="0.2">
      <c r="A669">
        <v>20309503891</v>
      </c>
      <c r="B669" t="s">
        <v>783</v>
      </c>
      <c r="C669">
        <v>54.8</v>
      </c>
      <c r="D669">
        <v>15</v>
      </c>
      <c r="E669">
        <v>46.58</v>
      </c>
      <c r="F669" t="s">
        <v>78</v>
      </c>
      <c r="G669" t="s">
        <v>79</v>
      </c>
      <c r="H669" t="str">
        <f>IF(COUNTIF(Sheet1!$A:$A,TEXT(A669,"0"))+COUNTIF(Sheet1!$A:$A,A669)&gt;0,"موجود","غير موجود")</f>
        <v>موجود</v>
      </c>
    </row>
    <row r="670" spans="1:8" x14ac:dyDescent="0.2">
      <c r="A670">
        <v>20309503892</v>
      </c>
      <c r="B670" t="s">
        <v>784</v>
      </c>
      <c r="C670">
        <v>73.92</v>
      </c>
      <c r="D670">
        <v>15</v>
      </c>
      <c r="E670">
        <v>62.832000000000001</v>
      </c>
      <c r="F670" t="s">
        <v>78</v>
      </c>
      <c r="G670" t="s">
        <v>79</v>
      </c>
      <c r="H670" t="str">
        <f>IF(COUNTIF(Sheet1!$A:$A,TEXT(A670,"0"))+COUNTIF(Sheet1!$A:$A,A670)&gt;0,"موجود","غير موجود")</f>
        <v>موجود</v>
      </c>
    </row>
    <row r="671" spans="1:8" x14ac:dyDescent="0.2">
      <c r="A671">
        <v>20309503893</v>
      </c>
      <c r="B671" t="s">
        <v>785</v>
      </c>
      <c r="C671">
        <v>66.959999999999994</v>
      </c>
      <c r="D671">
        <v>15</v>
      </c>
      <c r="E671">
        <v>56.915999999999997</v>
      </c>
      <c r="F671" t="s">
        <v>78</v>
      </c>
      <c r="G671" t="s">
        <v>79</v>
      </c>
      <c r="H671" t="str">
        <f>IF(COUNTIF(Sheet1!$A:$A,TEXT(A671,"0"))+COUNTIF(Sheet1!$A:$A,A671)&gt;0,"موجود","غير موجود")</f>
        <v>موجود</v>
      </c>
    </row>
    <row r="672" spans="1:8" x14ac:dyDescent="0.2">
      <c r="A672">
        <v>20309503894</v>
      </c>
      <c r="B672" t="s">
        <v>786</v>
      </c>
      <c r="C672">
        <v>66.959999999999994</v>
      </c>
      <c r="D672">
        <v>15</v>
      </c>
      <c r="E672">
        <v>56.915999999999997</v>
      </c>
      <c r="F672" t="s">
        <v>78</v>
      </c>
      <c r="G672" t="s">
        <v>79</v>
      </c>
      <c r="H672" t="str">
        <f>IF(COUNTIF(Sheet1!$A:$A,TEXT(A672,"0"))+COUNTIF(Sheet1!$A:$A,A672)&gt;0,"موجود","غير موجود")</f>
        <v>موجود</v>
      </c>
    </row>
    <row r="673" spans="1:8" x14ac:dyDescent="0.2">
      <c r="A673">
        <v>20309503895</v>
      </c>
      <c r="B673" t="s">
        <v>787</v>
      </c>
      <c r="C673">
        <v>41.75</v>
      </c>
      <c r="D673">
        <v>15</v>
      </c>
      <c r="E673">
        <v>35.487499999999997</v>
      </c>
      <c r="F673" t="s">
        <v>78</v>
      </c>
      <c r="G673" t="s">
        <v>79</v>
      </c>
      <c r="H673" t="str">
        <f>IF(COUNTIF(Sheet1!$A:$A,TEXT(A673,"0"))+COUNTIF(Sheet1!$A:$A,A673)&gt;0,"موجود","غير موجود")</f>
        <v>موجود</v>
      </c>
    </row>
    <row r="674" spans="1:8" x14ac:dyDescent="0.2">
      <c r="A674">
        <v>20309503896</v>
      </c>
      <c r="B674" t="s">
        <v>788</v>
      </c>
      <c r="C674">
        <v>41.75</v>
      </c>
      <c r="D674">
        <v>15</v>
      </c>
      <c r="E674">
        <v>35.487499999999997</v>
      </c>
      <c r="F674" t="s">
        <v>78</v>
      </c>
      <c r="G674" t="s">
        <v>79</v>
      </c>
      <c r="H674" t="str">
        <f>IF(COUNTIF(Sheet1!$A:$A,TEXT(A674,"0"))+COUNTIF(Sheet1!$A:$A,A674)&gt;0,"موجود","غير موجود")</f>
        <v>موجود</v>
      </c>
    </row>
    <row r="675" spans="1:8" x14ac:dyDescent="0.2">
      <c r="A675">
        <v>20309503897</v>
      </c>
      <c r="B675" t="s">
        <v>789</v>
      </c>
      <c r="C675">
        <v>38.28</v>
      </c>
      <c r="D675">
        <v>15</v>
      </c>
      <c r="E675">
        <v>32.537999999999997</v>
      </c>
      <c r="F675" t="s">
        <v>78</v>
      </c>
      <c r="G675" t="s">
        <v>79</v>
      </c>
      <c r="H675" t="str">
        <f>IF(COUNTIF(Sheet1!$A:$A,TEXT(A675,"0"))+COUNTIF(Sheet1!$A:$A,A675)&gt;0,"موجود","غير موجود")</f>
        <v>موجود</v>
      </c>
    </row>
    <row r="676" spans="1:8" x14ac:dyDescent="0.2">
      <c r="A676">
        <v>20309503898</v>
      </c>
      <c r="B676" t="s">
        <v>790</v>
      </c>
      <c r="C676">
        <v>49.57</v>
      </c>
      <c r="D676">
        <v>15</v>
      </c>
      <c r="E676">
        <v>42.134500000000003</v>
      </c>
      <c r="F676" t="s">
        <v>78</v>
      </c>
      <c r="G676" t="s">
        <v>79</v>
      </c>
      <c r="H676" t="str">
        <f>IF(COUNTIF(Sheet1!$A:$A,TEXT(A676,"0"))+COUNTIF(Sheet1!$A:$A,A676)&gt;0,"موجود","غير موجود")</f>
        <v>غير موجود</v>
      </c>
    </row>
    <row r="677" spans="1:8" x14ac:dyDescent="0.2">
      <c r="A677">
        <v>20315040002</v>
      </c>
      <c r="B677" t="s">
        <v>791</v>
      </c>
      <c r="C677">
        <v>78.27</v>
      </c>
      <c r="D677">
        <v>15</v>
      </c>
      <c r="E677">
        <v>66.529499999999999</v>
      </c>
      <c r="F677" t="s">
        <v>78</v>
      </c>
      <c r="G677" t="s">
        <v>79</v>
      </c>
      <c r="H677" t="str">
        <f>IF(COUNTIF(Sheet1!$A:$A,TEXT(A677,"0"))+COUNTIF(Sheet1!$A:$A,A677)&gt;0,"موجود","غير موجود")</f>
        <v>غير موجود</v>
      </c>
    </row>
    <row r="678" spans="1:8" x14ac:dyDescent="0.2">
      <c r="A678">
        <v>20315040005</v>
      </c>
      <c r="B678" t="s">
        <v>792</v>
      </c>
      <c r="C678">
        <v>51.5</v>
      </c>
      <c r="D678">
        <v>15</v>
      </c>
      <c r="E678">
        <v>43.774999999999999</v>
      </c>
      <c r="F678" t="s">
        <v>78</v>
      </c>
      <c r="G678" t="s">
        <v>79</v>
      </c>
      <c r="H678" t="str">
        <f>IF(COUNTIF(Sheet1!$A:$A,TEXT(A678,"0"))+COUNTIF(Sheet1!$A:$A,A678)&gt;0,"موجود","غير موجود")</f>
        <v>غير موجود</v>
      </c>
    </row>
    <row r="679" spans="1:8" x14ac:dyDescent="0.2">
      <c r="A679">
        <v>20315040006</v>
      </c>
      <c r="B679" t="s">
        <v>793</v>
      </c>
      <c r="C679">
        <v>49.57</v>
      </c>
      <c r="D679">
        <v>15</v>
      </c>
      <c r="E679">
        <v>42.134500000000003</v>
      </c>
      <c r="F679" t="s">
        <v>78</v>
      </c>
      <c r="G679" t="s">
        <v>79</v>
      </c>
      <c r="H679" t="str">
        <f>IF(COUNTIF(Sheet1!$A:$A,TEXT(A679,"0"))+COUNTIF(Sheet1!$A:$A,A679)&gt;0,"موجود","غير موجود")</f>
        <v>موجود</v>
      </c>
    </row>
    <row r="680" spans="1:8" x14ac:dyDescent="0.2">
      <c r="A680">
        <v>20315040010</v>
      </c>
      <c r="B680" t="s">
        <v>794</v>
      </c>
      <c r="C680">
        <v>51.5</v>
      </c>
      <c r="D680">
        <v>15</v>
      </c>
      <c r="E680">
        <v>43.774999999999999</v>
      </c>
      <c r="F680" t="s">
        <v>78</v>
      </c>
      <c r="G680" t="s">
        <v>79</v>
      </c>
      <c r="H680" t="str">
        <f>IF(COUNTIF(Sheet1!$A:$A,TEXT(A680,"0"))+COUNTIF(Sheet1!$A:$A,A680)&gt;0,"موجود","غير موجود")</f>
        <v>غير موجود</v>
      </c>
    </row>
    <row r="681" spans="1:8" x14ac:dyDescent="0.2">
      <c r="A681">
        <v>20315040065</v>
      </c>
      <c r="B681" t="s">
        <v>795</v>
      </c>
      <c r="C681">
        <v>68.7</v>
      </c>
      <c r="D681">
        <v>15</v>
      </c>
      <c r="E681">
        <v>58.395000000000003</v>
      </c>
      <c r="F681" t="s">
        <v>78</v>
      </c>
      <c r="G681" t="s">
        <v>79</v>
      </c>
      <c r="H681" t="str">
        <f>IF(COUNTIF(Sheet1!$A:$A,TEXT(A681,"0"))+COUNTIF(Sheet1!$A:$A,A681)&gt;0,"موجود","غير موجود")</f>
        <v>موجود</v>
      </c>
    </row>
    <row r="682" spans="1:8" x14ac:dyDescent="0.2">
      <c r="A682">
        <v>20315040136</v>
      </c>
      <c r="B682" t="s">
        <v>796</v>
      </c>
      <c r="C682">
        <v>76.53</v>
      </c>
      <c r="D682">
        <v>15</v>
      </c>
      <c r="E682">
        <v>65.0505</v>
      </c>
      <c r="F682" t="s">
        <v>78</v>
      </c>
      <c r="G682" t="s">
        <v>79</v>
      </c>
      <c r="H682" t="str">
        <f>IF(COUNTIF(Sheet1!$A:$A,TEXT(A682,"0"))+COUNTIF(Sheet1!$A:$A,A682)&gt;0,"موجود","غير موجود")</f>
        <v>موجود</v>
      </c>
    </row>
    <row r="683" spans="1:8" x14ac:dyDescent="0.2">
      <c r="A683">
        <v>20315040158</v>
      </c>
      <c r="B683" t="s">
        <v>797</v>
      </c>
      <c r="C683">
        <v>38.28</v>
      </c>
      <c r="D683">
        <v>15</v>
      </c>
      <c r="E683">
        <v>32.537999999999997</v>
      </c>
      <c r="F683" t="s">
        <v>78</v>
      </c>
      <c r="G683" t="s">
        <v>79</v>
      </c>
      <c r="H683" t="str">
        <f>IF(COUNTIF(Sheet1!$A:$A,TEXT(A683,"0"))+COUNTIF(Sheet1!$A:$A,A683)&gt;0,"موجود","غير موجود")</f>
        <v>موجود</v>
      </c>
    </row>
    <row r="684" spans="1:8" x14ac:dyDescent="0.2">
      <c r="A684">
        <v>20315040173</v>
      </c>
      <c r="B684" t="s">
        <v>798</v>
      </c>
      <c r="C684">
        <v>38.26</v>
      </c>
      <c r="D684">
        <v>15</v>
      </c>
      <c r="E684">
        <v>32.521000000000001</v>
      </c>
      <c r="F684" t="s">
        <v>78</v>
      </c>
      <c r="G684" t="s">
        <v>79</v>
      </c>
      <c r="H684" t="str">
        <f>IF(COUNTIF(Sheet1!$A:$A,TEXT(A684,"0"))+COUNTIF(Sheet1!$A:$A,A684)&gt;0,"موجود","غير موجود")</f>
        <v>غير موجود</v>
      </c>
    </row>
    <row r="685" spans="1:8" x14ac:dyDescent="0.2">
      <c r="A685">
        <v>20315040178</v>
      </c>
      <c r="B685" t="s">
        <v>799</v>
      </c>
      <c r="C685">
        <v>47.83</v>
      </c>
      <c r="D685">
        <v>15</v>
      </c>
      <c r="E685">
        <v>40.655499999999996</v>
      </c>
      <c r="F685" t="s">
        <v>78</v>
      </c>
      <c r="G685" t="s">
        <v>79</v>
      </c>
      <c r="H685" t="str">
        <f>IF(COUNTIF(Sheet1!$A:$A,TEXT(A685,"0"))+COUNTIF(Sheet1!$A:$A,A685)&gt;0,"موجود","غير موجود")</f>
        <v>موجود</v>
      </c>
    </row>
    <row r="686" spans="1:8" x14ac:dyDescent="0.2">
      <c r="A686">
        <v>20315040667</v>
      </c>
      <c r="B686" t="s">
        <v>800</v>
      </c>
      <c r="C686">
        <v>1449</v>
      </c>
      <c r="D686">
        <v>15</v>
      </c>
      <c r="E686">
        <v>1231.6500000000001</v>
      </c>
      <c r="F686" t="s">
        <v>78</v>
      </c>
      <c r="G686" t="s">
        <v>79</v>
      </c>
      <c r="H686" t="str">
        <f>IF(COUNTIF(Sheet1!$A:$A,TEXT(A686,"0"))+COUNTIF(Sheet1!$A:$A,A686)&gt;0,"موجود","غير موجود")</f>
        <v>غير موجود</v>
      </c>
    </row>
    <row r="687" spans="1:8" x14ac:dyDescent="0.2">
      <c r="A687">
        <v>20315040736</v>
      </c>
      <c r="B687" t="s">
        <v>801</v>
      </c>
      <c r="C687">
        <v>46.099999999999994</v>
      </c>
      <c r="D687">
        <v>15</v>
      </c>
      <c r="E687">
        <v>39.184999999999995</v>
      </c>
      <c r="F687" t="s">
        <v>78</v>
      </c>
      <c r="G687" t="s">
        <v>79</v>
      </c>
      <c r="H687" t="str">
        <f>IF(COUNTIF(Sheet1!$A:$A,TEXT(A687,"0"))+COUNTIF(Sheet1!$A:$A,A687)&gt;0,"موجود","غير موجود")</f>
        <v>موجود</v>
      </c>
    </row>
    <row r="688" spans="1:8" x14ac:dyDescent="0.2">
      <c r="A688">
        <v>20315040737</v>
      </c>
      <c r="B688" t="s">
        <v>802</v>
      </c>
      <c r="C688">
        <v>45.22</v>
      </c>
      <c r="D688">
        <v>15</v>
      </c>
      <c r="E688">
        <v>38.436999999999998</v>
      </c>
      <c r="F688" t="s">
        <v>78</v>
      </c>
      <c r="G688" t="s">
        <v>79</v>
      </c>
      <c r="H688" t="str">
        <f>IF(COUNTIF(Sheet1!$A:$A,TEXT(A688,"0"))+COUNTIF(Sheet1!$A:$A,A688)&gt;0,"موجود","غير موجود")</f>
        <v>موجود</v>
      </c>
    </row>
    <row r="689" spans="1:8" x14ac:dyDescent="0.2">
      <c r="A689">
        <v>20315040739</v>
      </c>
      <c r="B689" t="s">
        <v>803</v>
      </c>
      <c r="C689">
        <v>57.4</v>
      </c>
      <c r="D689">
        <v>15</v>
      </c>
      <c r="E689">
        <v>48.79</v>
      </c>
      <c r="F689" t="s">
        <v>78</v>
      </c>
      <c r="G689" t="s">
        <v>79</v>
      </c>
      <c r="H689" t="str">
        <f>IF(COUNTIF(Sheet1!$A:$A,TEXT(A689,"0"))+COUNTIF(Sheet1!$A:$A,A689)&gt;0,"موجود","غير موجود")</f>
        <v>غير موجود</v>
      </c>
    </row>
    <row r="690" spans="1:8" x14ac:dyDescent="0.2">
      <c r="A690">
        <v>20315040741</v>
      </c>
      <c r="B690" t="s">
        <v>804</v>
      </c>
      <c r="C690">
        <v>68.7</v>
      </c>
      <c r="D690">
        <v>15</v>
      </c>
      <c r="E690">
        <v>58.395000000000003</v>
      </c>
      <c r="F690" t="s">
        <v>78</v>
      </c>
      <c r="G690" t="s">
        <v>79</v>
      </c>
      <c r="H690" t="str">
        <f>IF(COUNTIF(Sheet1!$A:$A,TEXT(A690,"0"))+COUNTIF(Sheet1!$A:$A,A690)&gt;0,"موجود","غير موجود")</f>
        <v>موجود</v>
      </c>
    </row>
    <row r="691" spans="1:8" x14ac:dyDescent="0.2">
      <c r="A691">
        <v>20315040826</v>
      </c>
      <c r="B691" t="s">
        <v>805</v>
      </c>
      <c r="C691">
        <v>47.83</v>
      </c>
      <c r="D691">
        <v>15</v>
      </c>
      <c r="E691">
        <v>40.655499999999996</v>
      </c>
      <c r="F691" t="s">
        <v>78</v>
      </c>
      <c r="G691" t="s">
        <v>79</v>
      </c>
      <c r="H691" t="str">
        <f>IF(COUNTIF(Sheet1!$A:$A,TEXT(A691,"0"))+COUNTIF(Sheet1!$A:$A,A691)&gt;0,"موجود","غير موجود")</f>
        <v>موجود</v>
      </c>
    </row>
    <row r="692" spans="1:8" x14ac:dyDescent="0.2">
      <c r="A692">
        <v>20315040827</v>
      </c>
      <c r="B692" t="s">
        <v>806</v>
      </c>
      <c r="C692">
        <v>49.57</v>
      </c>
      <c r="D692">
        <v>15</v>
      </c>
      <c r="E692">
        <v>42.134500000000003</v>
      </c>
      <c r="F692" t="s">
        <v>78</v>
      </c>
      <c r="G692" t="s">
        <v>79</v>
      </c>
      <c r="H692" t="str">
        <f>IF(COUNTIF(Sheet1!$A:$A,TEXT(A692,"0"))+COUNTIF(Sheet1!$A:$A,A692)&gt;0,"موجود","غير موجود")</f>
        <v>موجود</v>
      </c>
    </row>
    <row r="693" spans="1:8" x14ac:dyDescent="0.2">
      <c r="A693">
        <v>20315040828</v>
      </c>
      <c r="B693" t="s">
        <v>807</v>
      </c>
      <c r="C693">
        <v>49.57</v>
      </c>
      <c r="D693">
        <v>15</v>
      </c>
      <c r="E693">
        <v>42.134500000000003</v>
      </c>
      <c r="F693" t="s">
        <v>78</v>
      </c>
      <c r="G693" t="s">
        <v>79</v>
      </c>
      <c r="H693" t="str">
        <f>IF(COUNTIF(Sheet1!$A:$A,TEXT(A693,"0"))+COUNTIF(Sheet1!$A:$A,A693)&gt;0,"موجود","غير موجود")</f>
        <v>غير موجود</v>
      </c>
    </row>
    <row r="694" spans="1:8" x14ac:dyDescent="0.2">
      <c r="A694">
        <v>20315040829</v>
      </c>
      <c r="B694" t="s">
        <v>808</v>
      </c>
      <c r="C694">
        <v>57.4</v>
      </c>
      <c r="D694">
        <v>15</v>
      </c>
      <c r="E694">
        <v>48.79</v>
      </c>
      <c r="F694" t="s">
        <v>78</v>
      </c>
      <c r="G694" t="s">
        <v>79</v>
      </c>
      <c r="H694" t="str">
        <f>IF(COUNTIF(Sheet1!$A:$A,TEXT(A694,"0"))+COUNTIF(Sheet1!$A:$A,A694)&gt;0,"موجود","غير موجود")</f>
        <v>موجود</v>
      </c>
    </row>
    <row r="695" spans="1:8" x14ac:dyDescent="0.2">
      <c r="A695">
        <v>20315040830</v>
      </c>
      <c r="B695" t="s">
        <v>809</v>
      </c>
      <c r="C695">
        <v>60</v>
      </c>
      <c r="D695">
        <v>15</v>
      </c>
      <c r="E695">
        <v>51</v>
      </c>
      <c r="F695" t="s">
        <v>78</v>
      </c>
      <c r="G695" t="s">
        <v>79</v>
      </c>
      <c r="H695" t="str">
        <f>IF(COUNTIF(Sheet1!$A:$A,TEXT(A695,"0"))+COUNTIF(Sheet1!$A:$A,A695)&gt;0,"موجود","غير موجود")</f>
        <v>موجود</v>
      </c>
    </row>
    <row r="696" spans="1:8" x14ac:dyDescent="0.2">
      <c r="A696">
        <v>20315040834</v>
      </c>
      <c r="B696" t="s">
        <v>810</v>
      </c>
      <c r="C696">
        <v>36</v>
      </c>
      <c r="D696">
        <v>15</v>
      </c>
      <c r="E696">
        <v>30.6</v>
      </c>
      <c r="F696" t="s">
        <v>78</v>
      </c>
      <c r="G696" t="s">
        <v>79</v>
      </c>
      <c r="H696" t="str">
        <f>IF(COUNTIF(Sheet1!$A:$A,TEXT(A696,"0"))+COUNTIF(Sheet1!$A:$A,A696)&gt;0,"موجود","غير موجود")</f>
        <v>غير موجود</v>
      </c>
    </row>
    <row r="697" spans="1:8" x14ac:dyDescent="0.2">
      <c r="A697">
        <v>20315040836</v>
      </c>
      <c r="B697" t="s">
        <v>811</v>
      </c>
      <c r="C697">
        <v>78.27</v>
      </c>
      <c r="D697">
        <v>15</v>
      </c>
      <c r="E697">
        <v>66.529499999999999</v>
      </c>
      <c r="F697" t="s">
        <v>78</v>
      </c>
      <c r="G697" t="s">
        <v>79</v>
      </c>
      <c r="H697" t="str">
        <f>IF(COUNTIF(Sheet1!$A:$A,TEXT(A697,"0"))+COUNTIF(Sheet1!$A:$A,A697)&gt;0,"موجود","غير موجود")</f>
        <v>موجود</v>
      </c>
    </row>
    <row r="698" spans="1:8" x14ac:dyDescent="0.2">
      <c r="A698">
        <v>20315040837</v>
      </c>
      <c r="B698" t="s">
        <v>807</v>
      </c>
      <c r="C698">
        <v>49.57</v>
      </c>
      <c r="D698">
        <v>15</v>
      </c>
      <c r="E698">
        <v>42.134500000000003</v>
      </c>
      <c r="F698" t="s">
        <v>78</v>
      </c>
      <c r="G698" t="s">
        <v>79</v>
      </c>
      <c r="H698" t="str">
        <f>IF(COUNTIF(Sheet1!$A:$A,TEXT(A698,"0"))+COUNTIF(Sheet1!$A:$A,A698)&gt;0,"موجود","غير موجود")</f>
        <v>غير موجود</v>
      </c>
    </row>
    <row r="699" spans="1:8" x14ac:dyDescent="0.2">
      <c r="A699">
        <v>20315040838</v>
      </c>
      <c r="B699" t="s">
        <v>812</v>
      </c>
      <c r="C699">
        <v>47.830000000000005</v>
      </c>
      <c r="D699">
        <v>15</v>
      </c>
      <c r="E699">
        <v>40.655500000000004</v>
      </c>
      <c r="F699" t="s">
        <v>78</v>
      </c>
      <c r="G699" t="s">
        <v>79</v>
      </c>
      <c r="H699" t="str">
        <f>IF(COUNTIF(Sheet1!$A:$A,TEXT(A699,"0"))+COUNTIF(Sheet1!$A:$A,A699)&gt;0,"موجود","غير موجود")</f>
        <v>غير موجود</v>
      </c>
    </row>
    <row r="700" spans="1:8" x14ac:dyDescent="0.2">
      <c r="A700">
        <v>20315040839</v>
      </c>
      <c r="B700" t="s">
        <v>813</v>
      </c>
      <c r="C700">
        <v>47.83</v>
      </c>
      <c r="D700">
        <v>15</v>
      </c>
      <c r="E700">
        <v>40.655499999999996</v>
      </c>
      <c r="F700" t="s">
        <v>78</v>
      </c>
      <c r="G700" t="s">
        <v>79</v>
      </c>
      <c r="H700" t="str">
        <f>IF(COUNTIF(Sheet1!$A:$A,TEXT(A700,"0"))+COUNTIF(Sheet1!$A:$A,A700)&gt;0,"موجود","غير موجود")</f>
        <v>غير موجود</v>
      </c>
    </row>
    <row r="701" spans="1:8" x14ac:dyDescent="0.2">
      <c r="A701">
        <v>20315040840</v>
      </c>
      <c r="B701" t="s">
        <v>814</v>
      </c>
      <c r="C701">
        <v>38.28</v>
      </c>
      <c r="D701">
        <v>15</v>
      </c>
      <c r="E701">
        <v>32.537999999999997</v>
      </c>
      <c r="F701" t="s">
        <v>78</v>
      </c>
      <c r="G701" t="s">
        <v>79</v>
      </c>
      <c r="H701" t="str">
        <f>IF(COUNTIF(Sheet1!$A:$A,TEXT(A701,"0"))+COUNTIF(Sheet1!$A:$A,A701)&gt;0,"موجود","غير موجود")</f>
        <v>غير موجود</v>
      </c>
    </row>
    <row r="702" spans="1:8" x14ac:dyDescent="0.2">
      <c r="A702">
        <v>20315040843</v>
      </c>
      <c r="B702" t="s">
        <v>815</v>
      </c>
      <c r="C702">
        <v>49.57</v>
      </c>
      <c r="D702">
        <v>15</v>
      </c>
      <c r="E702">
        <v>42.134500000000003</v>
      </c>
      <c r="F702" t="s">
        <v>78</v>
      </c>
      <c r="G702" t="s">
        <v>79</v>
      </c>
      <c r="H702" t="str">
        <f>IF(COUNTIF(Sheet1!$A:$A,TEXT(A702,"0"))+COUNTIF(Sheet1!$A:$A,A702)&gt;0,"موجود","غير موجود")</f>
        <v>موجود</v>
      </c>
    </row>
    <row r="703" spans="1:8" x14ac:dyDescent="0.2">
      <c r="A703">
        <v>20315041000</v>
      </c>
      <c r="B703" t="s">
        <v>816</v>
      </c>
      <c r="C703">
        <v>44.9</v>
      </c>
      <c r="D703">
        <v>15</v>
      </c>
      <c r="E703">
        <v>38.164999999999999</v>
      </c>
      <c r="F703" t="s">
        <v>78</v>
      </c>
      <c r="G703" t="s">
        <v>79</v>
      </c>
      <c r="H703" t="str">
        <f>IF(COUNTIF(Sheet1!$A:$A,TEXT(A703,"0"))+COUNTIF(Sheet1!$A:$A,A703)&gt;0,"موجود","غير موجود")</f>
        <v>غير موجود</v>
      </c>
    </row>
    <row r="704" spans="1:8" x14ac:dyDescent="0.2">
      <c r="A704">
        <v>20315041273</v>
      </c>
      <c r="B704" t="s">
        <v>817</v>
      </c>
      <c r="C704">
        <v>56.53</v>
      </c>
      <c r="D704">
        <v>15</v>
      </c>
      <c r="E704">
        <v>48.0505</v>
      </c>
      <c r="F704" t="s">
        <v>78</v>
      </c>
      <c r="G704" t="s">
        <v>79</v>
      </c>
      <c r="H704" t="str">
        <f>IF(COUNTIF(Sheet1!$A:$A,TEXT(A704,"0"))+COUNTIF(Sheet1!$A:$A,A704)&gt;0,"موجود","غير موجود")</f>
        <v>غير موجود</v>
      </c>
    </row>
    <row r="705" spans="1:8" x14ac:dyDescent="0.2">
      <c r="A705">
        <v>20315041274</v>
      </c>
      <c r="B705" t="s">
        <v>818</v>
      </c>
      <c r="C705">
        <v>47.83</v>
      </c>
      <c r="D705">
        <v>15</v>
      </c>
      <c r="E705">
        <v>40.655499999999996</v>
      </c>
      <c r="F705" t="s">
        <v>78</v>
      </c>
      <c r="G705" t="s">
        <v>79</v>
      </c>
      <c r="H705" t="str">
        <f>IF(COUNTIF(Sheet1!$A:$A,TEXT(A705,"0"))+COUNTIF(Sheet1!$A:$A,A705)&gt;0,"موجود","غير موجود")</f>
        <v>موجود</v>
      </c>
    </row>
    <row r="706" spans="1:8" x14ac:dyDescent="0.2">
      <c r="A706">
        <v>20315041275</v>
      </c>
      <c r="B706" t="s">
        <v>819</v>
      </c>
      <c r="C706">
        <v>44.9</v>
      </c>
      <c r="D706">
        <v>15</v>
      </c>
      <c r="E706">
        <v>38.164999999999999</v>
      </c>
      <c r="F706" t="s">
        <v>78</v>
      </c>
      <c r="G706" t="s">
        <v>79</v>
      </c>
      <c r="H706" t="str">
        <f>IF(COUNTIF(Sheet1!$A:$A,TEXT(A706,"0"))+COUNTIF(Sheet1!$A:$A,A706)&gt;0,"موجود","غير موجود")</f>
        <v>غير موجود</v>
      </c>
    </row>
    <row r="707" spans="1:8" x14ac:dyDescent="0.2">
      <c r="A707">
        <v>20315041329</v>
      </c>
      <c r="B707" t="s">
        <v>820</v>
      </c>
      <c r="C707">
        <v>56.53</v>
      </c>
      <c r="D707">
        <v>15</v>
      </c>
      <c r="E707">
        <v>48.0505</v>
      </c>
      <c r="F707" t="s">
        <v>78</v>
      </c>
      <c r="G707" t="s">
        <v>79</v>
      </c>
      <c r="H707" t="str">
        <f>IF(COUNTIF(Sheet1!$A:$A,TEXT(A707,"0"))+COUNTIF(Sheet1!$A:$A,A707)&gt;0,"موجود","غير موجود")</f>
        <v>موجود</v>
      </c>
    </row>
    <row r="708" spans="1:8" x14ac:dyDescent="0.2">
      <c r="A708">
        <v>20315041330</v>
      </c>
      <c r="B708" t="s">
        <v>821</v>
      </c>
      <c r="C708">
        <v>56.53</v>
      </c>
      <c r="D708">
        <v>15</v>
      </c>
      <c r="E708">
        <v>48.0505</v>
      </c>
      <c r="F708" t="s">
        <v>78</v>
      </c>
      <c r="G708" t="s">
        <v>79</v>
      </c>
      <c r="H708" t="str">
        <f>IF(COUNTIF(Sheet1!$A:$A,TEXT(A708,"0"))+COUNTIF(Sheet1!$A:$A,A708)&gt;0,"موجود","غير موجود")</f>
        <v>موجود</v>
      </c>
    </row>
    <row r="709" spans="1:8" x14ac:dyDescent="0.2">
      <c r="A709">
        <v>20315041331</v>
      </c>
      <c r="B709" t="s">
        <v>822</v>
      </c>
      <c r="C709">
        <v>56.529999999999994</v>
      </c>
      <c r="D709">
        <v>15</v>
      </c>
      <c r="E709">
        <v>48.050499999999992</v>
      </c>
      <c r="F709" t="s">
        <v>78</v>
      </c>
      <c r="G709" t="s">
        <v>79</v>
      </c>
      <c r="H709" t="str">
        <f>IF(COUNTIF(Sheet1!$A:$A,TEXT(A709,"0"))+COUNTIF(Sheet1!$A:$A,A709)&gt;0,"موجود","غير موجود")</f>
        <v>موجود</v>
      </c>
    </row>
    <row r="710" spans="1:8" x14ac:dyDescent="0.2">
      <c r="A710">
        <v>20315041332</v>
      </c>
      <c r="B710" t="s">
        <v>823</v>
      </c>
      <c r="C710">
        <v>56.529999999999994</v>
      </c>
      <c r="D710">
        <v>15</v>
      </c>
      <c r="E710">
        <v>48.050499999999992</v>
      </c>
      <c r="F710" t="s">
        <v>78</v>
      </c>
      <c r="G710" t="s">
        <v>79</v>
      </c>
      <c r="H710" t="str">
        <f>IF(COUNTIF(Sheet1!$A:$A,TEXT(A710,"0"))+COUNTIF(Sheet1!$A:$A,A710)&gt;0,"موجود","غير موجود")</f>
        <v>موجود</v>
      </c>
    </row>
    <row r="711" spans="1:8" x14ac:dyDescent="0.2">
      <c r="A711">
        <v>20315041333</v>
      </c>
      <c r="B711" t="s">
        <v>824</v>
      </c>
      <c r="C711">
        <v>49.57</v>
      </c>
      <c r="D711">
        <v>15</v>
      </c>
      <c r="E711">
        <v>42.134500000000003</v>
      </c>
      <c r="F711" t="s">
        <v>78</v>
      </c>
      <c r="G711" t="s">
        <v>79</v>
      </c>
      <c r="H711" t="str">
        <f>IF(COUNTIF(Sheet1!$A:$A,TEXT(A711,"0"))+COUNTIF(Sheet1!$A:$A,A711)&gt;0,"موجود","غير موجود")</f>
        <v>غير موجود</v>
      </c>
    </row>
    <row r="712" spans="1:8" x14ac:dyDescent="0.2">
      <c r="A712">
        <v>20715010250</v>
      </c>
      <c r="B712" t="s">
        <v>825</v>
      </c>
      <c r="C712">
        <v>93.5</v>
      </c>
      <c r="D712">
        <v>5</v>
      </c>
      <c r="E712">
        <v>88.825000000000003</v>
      </c>
      <c r="F712" t="s">
        <v>78</v>
      </c>
      <c r="G712" t="s">
        <v>83</v>
      </c>
      <c r="H712" t="str">
        <f>IF(COUNTIF(Sheet1!$A:$A,TEXT(A712,"0"))+COUNTIF(Sheet1!$A:$A,A712)&gt;0,"موجود","غير موجود")</f>
        <v>موجود</v>
      </c>
    </row>
    <row r="713" spans="1:8" x14ac:dyDescent="0.2">
      <c r="A713">
        <v>20715010372</v>
      </c>
      <c r="B713" t="s">
        <v>826</v>
      </c>
      <c r="C713">
        <v>172.1</v>
      </c>
      <c r="D713">
        <v>5</v>
      </c>
      <c r="E713">
        <v>163.495</v>
      </c>
      <c r="F713" t="s">
        <v>78</v>
      </c>
      <c r="G713" t="s">
        <v>83</v>
      </c>
      <c r="H713" t="str">
        <f>IF(COUNTIF(Sheet1!$A:$A,TEXT(A713,"0"))+COUNTIF(Sheet1!$A:$A,A713)&gt;0,"موجود","غير موجود")</f>
        <v>موجود</v>
      </c>
    </row>
    <row r="714" spans="1:8" x14ac:dyDescent="0.2">
      <c r="A714">
        <v>20715010371</v>
      </c>
      <c r="B714" t="s">
        <v>827</v>
      </c>
      <c r="C714">
        <v>186.96</v>
      </c>
      <c r="D714">
        <v>5</v>
      </c>
      <c r="E714">
        <v>177.61199999999999</v>
      </c>
      <c r="F714" t="s">
        <v>78</v>
      </c>
      <c r="G714" t="s">
        <v>83</v>
      </c>
      <c r="H714" t="str">
        <f>IF(COUNTIF(Sheet1!$A:$A,TEXT(A714,"0"))+COUNTIF(Sheet1!$A:$A,A714)&gt;0,"موجود","غير موجود")</f>
        <v>موجود</v>
      </c>
    </row>
    <row r="715" spans="1:8" x14ac:dyDescent="0.2">
      <c r="A715">
        <v>20715010154</v>
      </c>
      <c r="B715" t="s">
        <v>828</v>
      </c>
      <c r="C715">
        <v>169</v>
      </c>
      <c r="D715">
        <v>5</v>
      </c>
      <c r="E715">
        <v>160.55000000000001</v>
      </c>
      <c r="F715" t="s">
        <v>78</v>
      </c>
      <c r="G715" t="s">
        <v>83</v>
      </c>
      <c r="H715" t="str">
        <f>IF(COUNTIF(Sheet1!$A:$A,TEXT(A715,"0"))+COUNTIF(Sheet1!$A:$A,A715)&gt;0,"موجود","غير موجود")</f>
        <v>موجود</v>
      </c>
    </row>
    <row r="716" spans="1:8" x14ac:dyDescent="0.2">
      <c r="A716">
        <v>20715010248</v>
      </c>
      <c r="B716" t="s">
        <v>829</v>
      </c>
      <c r="C716">
        <v>88</v>
      </c>
      <c r="D716">
        <v>5</v>
      </c>
      <c r="E716">
        <v>83.6</v>
      </c>
      <c r="F716" t="s">
        <v>78</v>
      </c>
      <c r="G716" t="s">
        <v>83</v>
      </c>
      <c r="H716" t="str">
        <f>IF(COUNTIF(Sheet1!$A:$A,TEXT(A716,"0"))+COUNTIF(Sheet1!$A:$A,A716)&gt;0,"موجود","غير موجود")</f>
        <v>موجود</v>
      </c>
    </row>
    <row r="717" spans="1:8" x14ac:dyDescent="0.2">
      <c r="A717">
        <v>20715010178</v>
      </c>
      <c r="B717" t="s">
        <v>830</v>
      </c>
      <c r="C717">
        <v>93.1</v>
      </c>
      <c r="D717">
        <v>5</v>
      </c>
      <c r="E717">
        <v>88.444999999999993</v>
      </c>
      <c r="F717" t="s">
        <v>78</v>
      </c>
      <c r="G717" t="s">
        <v>83</v>
      </c>
      <c r="H717" t="str">
        <f>IF(COUNTIF(Sheet1!$A:$A,TEXT(A717,"0"))+COUNTIF(Sheet1!$A:$A,A717)&gt;0,"موجود","غير موجود")</f>
        <v>موجود</v>
      </c>
    </row>
    <row r="718" spans="1:8" x14ac:dyDescent="0.2">
      <c r="A718">
        <v>20715010160</v>
      </c>
      <c r="B718" t="s">
        <v>831</v>
      </c>
      <c r="C718">
        <v>85.02</v>
      </c>
      <c r="D718">
        <v>5</v>
      </c>
      <c r="E718">
        <v>80.768999999999991</v>
      </c>
      <c r="F718" t="s">
        <v>78</v>
      </c>
      <c r="G718" t="s">
        <v>83</v>
      </c>
      <c r="H718" t="str">
        <f>IF(COUNTIF(Sheet1!$A:$A,TEXT(A718,"0"))+COUNTIF(Sheet1!$A:$A,A718)&gt;0,"موجود","غير موجود")</f>
        <v>موجود</v>
      </c>
    </row>
    <row r="719" spans="1:8" x14ac:dyDescent="0.2">
      <c r="A719">
        <v>20715010103</v>
      </c>
      <c r="B719" t="s">
        <v>832</v>
      </c>
      <c r="C719">
        <v>81.5</v>
      </c>
      <c r="D719">
        <v>5</v>
      </c>
      <c r="E719">
        <v>77.424999999999997</v>
      </c>
      <c r="F719" t="s">
        <v>78</v>
      </c>
      <c r="G719" t="s">
        <v>83</v>
      </c>
      <c r="H719" t="str">
        <f>IF(COUNTIF(Sheet1!$A:$A,TEXT(A719,"0"))+COUNTIF(Sheet1!$A:$A,A719)&gt;0,"موجود","غير موجود")</f>
        <v>موجود</v>
      </c>
    </row>
    <row r="720" spans="1:8" x14ac:dyDescent="0.2">
      <c r="A720">
        <v>20715010157</v>
      </c>
      <c r="B720" t="s">
        <v>833</v>
      </c>
      <c r="C720">
        <v>79.27</v>
      </c>
      <c r="D720">
        <v>5</v>
      </c>
      <c r="E720">
        <v>75.3065</v>
      </c>
      <c r="F720" t="s">
        <v>78</v>
      </c>
      <c r="G720" t="s">
        <v>83</v>
      </c>
      <c r="H720" t="str">
        <f>IF(COUNTIF(Sheet1!$A:$A,TEXT(A720,"0"))+COUNTIF(Sheet1!$A:$A,A720)&gt;0,"موجود","غير موجود")</f>
        <v>موجود</v>
      </c>
    </row>
    <row r="721" spans="1:8" x14ac:dyDescent="0.2">
      <c r="A721">
        <v>20715010111</v>
      </c>
      <c r="B721" t="s">
        <v>834</v>
      </c>
      <c r="C721">
        <v>65.209999999999994</v>
      </c>
      <c r="D721">
        <v>10</v>
      </c>
      <c r="E721">
        <v>58.688999999999993</v>
      </c>
      <c r="F721" t="s">
        <v>78</v>
      </c>
      <c r="G721" t="s">
        <v>83</v>
      </c>
      <c r="H721" t="str">
        <f>IF(COUNTIF(Sheet1!$A:$A,TEXT(A721,"0"))+COUNTIF(Sheet1!$A:$A,A721)&gt;0,"موجود","غير موجود")</f>
        <v>موجود</v>
      </c>
    </row>
    <row r="722" spans="1:8" x14ac:dyDescent="0.2">
      <c r="A722">
        <v>20715010136</v>
      </c>
      <c r="B722" t="s">
        <v>835</v>
      </c>
      <c r="C722">
        <v>117.37</v>
      </c>
      <c r="D722">
        <v>10</v>
      </c>
      <c r="E722">
        <v>105.63300000000001</v>
      </c>
      <c r="F722" t="s">
        <v>78</v>
      </c>
      <c r="G722" t="s">
        <v>83</v>
      </c>
      <c r="H722" t="str">
        <f>IF(COUNTIF(Sheet1!$A:$A,TEXT(A722,"0"))+COUNTIF(Sheet1!$A:$A,A722)&gt;0,"موجود","غير موجود")</f>
        <v>موجود</v>
      </c>
    </row>
    <row r="723" spans="1:8" x14ac:dyDescent="0.2">
      <c r="A723">
        <v>20715010345</v>
      </c>
      <c r="B723" t="s">
        <v>836</v>
      </c>
      <c r="C723">
        <v>182.61</v>
      </c>
      <c r="D723">
        <v>5</v>
      </c>
      <c r="E723">
        <v>173.4795</v>
      </c>
      <c r="F723" t="s">
        <v>78</v>
      </c>
      <c r="G723" t="s">
        <v>83</v>
      </c>
      <c r="H723" t="str">
        <f>IF(COUNTIF(Sheet1!$A:$A,TEXT(A723,"0"))+COUNTIF(Sheet1!$A:$A,A723)&gt;0,"موجود","غير موجود")</f>
        <v>موجود</v>
      </c>
    </row>
    <row r="724" spans="1:8" x14ac:dyDescent="0.2">
      <c r="A724">
        <v>20715010112</v>
      </c>
      <c r="B724" t="s">
        <v>837</v>
      </c>
      <c r="C724">
        <v>32.18</v>
      </c>
      <c r="D724">
        <v>10</v>
      </c>
      <c r="E724">
        <v>28.962</v>
      </c>
      <c r="F724" t="s">
        <v>78</v>
      </c>
      <c r="G724" t="s">
        <v>83</v>
      </c>
      <c r="H724" t="str">
        <f>IF(COUNTIF(Sheet1!$A:$A,TEXT(A724,"0"))+COUNTIF(Sheet1!$A:$A,A724)&gt;0,"موجود","غير موجود")</f>
        <v>موجود</v>
      </c>
    </row>
    <row r="725" spans="1:8" x14ac:dyDescent="0.2">
      <c r="A725">
        <v>20309010192</v>
      </c>
      <c r="B725" t="s">
        <v>838</v>
      </c>
      <c r="C725">
        <v>15.609</v>
      </c>
      <c r="D725">
        <v>10</v>
      </c>
      <c r="E725">
        <v>14.0481</v>
      </c>
      <c r="F725" t="s">
        <v>78</v>
      </c>
      <c r="G725" t="s">
        <v>79</v>
      </c>
      <c r="H725" t="str">
        <f>IF(COUNTIF(Sheet1!$A:$A,TEXT(A725,"0"))+COUNTIF(Sheet1!$A:$A,A725)&gt;0,"موجود","غير موجود")</f>
        <v>موجود</v>
      </c>
    </row>
    <row r="726" spans="1:8" x14ac:dyDescent="0.2">
      <c r="A726">
        <v>20309010193</v>
      </c>
      <c r="B726" t="s">
        <v>839</v>
      </c>
      <c r="C726">
        <v>15.609</v>
      </c>
      <c r="D726">
        <v>10</v>
      </c>
      <c r="E726">
        <v>14.0481</v>
      </c>
      <c r="F726" t="s">
        <v>78</v>
      </c>
      <c r="G726" t="s">
        <v>79</v>
      </c>
      <c r="H726" t="str">
        <f>IF(COUNTIF(Sheet1!$A:$A,TEXT(A726,"0"))+COUNTIF(Sheet1!$A:$A,A726)&gt;0,"موجود","غير موجود")</f>
        <v>موجود</v>
      </c>
    </row>
    <row r="727" spans="1:8" x14ac:dyDescent="0.2">
      <c r="A727">
        <v>20309010534</v>
      </c>
      <c r="B727" t="s">
        <v>840</v>
      </c>
      <c r="C727">
        <v>15.609</v>
      </c>
      <c r="D727">
        <v>10</v>
      </c>
      <c r="E727">
        <v>14.0481</v>
      </c>
      <c r="F727" t="s">
        <v>78</v>
      </c>
      <c r="G727" t="s">
        <v>79</v>
      </c>
      <c r="H727" t="str">
        <f>IF(COUNTIF(Sheet1!$A:$A,TEXT(A727,"0"))+COUNTIF(Sheet1!$A:$A,A727)&gt;0,"موجود","غير موجود")</f>
        <v>موجود</v>
      </c>
    </row>
    <row r="728" spans="1:8" x14ac:dyDescent="0.2">
      <c r="A728">
        <v>20309010734</v>
      </c>
      <c r="B728" t="s">
        <v>841</v>
      </c>
      <c r="C728">
        <v>15.609</v>
      </c>
      <c r="D728">
        <v>10</v>
      </c>
      <c r="E728">
        <v>14.0481</v>
      </c>
      <c r="F728" t="s">
        <v>78</v>
      </c>
      <c r="G728" t="s">
        <v>79</v>
      </c>
      <c r="H728" t="str">
        <f>IF(COUNTIF(Sheet1!$A:$A,TEXT(A728,"0"))+COUNTIF(Sheet1!$A:$A,A728)&gt;0,"موجود","غير موجود")</f>
        <v>موجود</v>
      </c>
    </row>
    <row r="729" spans="1:8" x14ac:dyDescent="0.2">
      <c r="A729">
        <v>20309010841</v>
      </c>
      <c r="B729" t="s">
        <v>842</v>
      </c>
      <c r="C729">
        <v>15.609</v>
      </c>
      <c r="D729">
        <v>10</v>
      </c>
      <c r="E729">
        <v>14.0481</v>
      </c>
      <c r="F729" t="s">
        <v>78</v>
      </c>
      <c r="G729" t="s">
        <v>79</v>
      </c>
      <c r="H729" t="str">
        <f>IF(COUNTIF(Sheet1!$A:$A,TEXT(A729,"0"))+COUNTIF(Sheet1!$A:$A,A729)&gt;0,"موجود","غير موجود")</f>
        <v>موجود</v>
      </c>
    </row>
    <row r="730" spans="1:8" x14ac:dyDescent="0.2">
      <c r="A730">
        <v>20309010842</v>
      </c>
      <c r="B730" t="s">
        <v>843</v>
      </c>
      <c r="C730">
        <v>15.609</v>
      </c>
      <c r="D730">
        <v>10</v>
      </c>
      <c r="E730">
        <v>14.0481</v>
      </c>
      <c r="F730" t="s">
        <v>78</v>
      </c>
      <c r="G730" t="s">
        <v>79</v>
      </c>
      <c r="H730" t="str">
        <f>IF(COUNTIF(Sheet1!$A:$A,TEXT(A730,"0"))+COUNTIF(Sheet1!$A:$A,A730)&gt;0,"موجود","غير موجود")</f>
        <v>موجود</v>
      </c>
    </row>
    <row r="731" spans="1:8" x14ac:dyDescent="0.2">
      <c r="A731">
        <v>20309011898</v>
      </c>
      <c r="B731" t="s">
        <v>844</v>
      </c>
      <c r="C731">
        <v>15.609</v>
      </c>
      <c r="D731">
        <v>10</v>
      </c>
      <c r="E731">
        <v>14.0481</v>
      </c>
      <c r="F731" t="s">
        <v>78</v>
      </c>
      <c r="G731" t="s">
        <v>79</v>
      </c>
      <c r="H731" t="str">
        <f>IF(COUNTIF(Sheet1!$A:$A,TEXT(A731,"0"))+COUNTIF(Sheet1!$A:$A,A731)&gt;0,"موجود","غير موجود")</f>
        <v>موجود</v>
      </c>
    </row>
    <row r="732" spans="1:8" x14ac:dyDescent="0.2">
      <c r="A732">
        <v>20309011899</v>
      </c>
      <c r="B732" t="s">
        <v>845</v>
      </c>
      <c r="C732">
        <v>15.609</v>
      </c>
      <c r="D732">
        <v>10</v>
      </c>
      <c r="E732">
        <v>14.0481</v>
      </c>
      <c r="F732" t="s">
        <v>78</v>
      </c>
      <c r="G732" t="s">
        <v>79</v>
      </c>
      <c r="H732" t="str">
        <f>IF(COUNTIF(Sheet1!$A:$A,TEXT(A732,"0"))+COUNTIF(Sheet1!$A:$A,A732)&gt;0,"موجود","غير موجود")</f>
        <v>غير موجود</v>
      </c>
    </row>
    <row r="733" spans="1:8" x14ac:dyDescent="0.2">
      <c r="A733">
        <v>20309011900</v>
      </c>
      <c r="B733" t="s">
        <v>846</v>
      </c>
      <c r="C733">
        <v>15.608999999999998</v>
      </c>
      <c r="D733">
        <v>10</v>
      </c>
      <c r="E733">
        <v>14.048099999999998</v>
      </c>
      <c r="F733" t="s">
        <v>78</v>
      </c>
      <c r="G733" t="s">
        <v>79</v>
      </c>
      <c r="H733" t="str">
        <f>IF(COUNTIF(Sheet1!$A:$A,TEXT(A733,"0"))+COUNTIF(Sheet1!$A:$A,A733)&gt;0,"موجود","غير موجود")</f>
        <v>غير موجود</v>
      </c>
    </row>
    <row r="734" spans="1:8" x14ac:dyDescent="0.2">
      <c r="A734">
        <v>20309011901</v>
      </c>
      <c r="B734" t="s">
        <v>847</v>
      </c>
      <c r="C734">
        <v>15.609</v>
      </c>
      <c r="D734">
        <v>10</v>
      </c>
      <c r="E734">
        <v>14.0481</v>
      </c>
      <c r="F734" t="s">
        <v>78</v>
      </c>
      <c r="G734" t="s">
        <v>79</v>
      </c>
      <c r="H734" t="str">
        <f>IF(COUNTIF(Sheet1!$A:$A,TEXT(A734,"0"))+COUNTIF(Sheet1!$A:$A,A734)&gt;0,"موجود","غير موجود")</f>
        <v>موجود</v>
      </c>
    </row>
    <row r="735" spans="1:8" x14ac:dyDescent="0.2">
      <c r="A735">
        <v>20309011902</v>
      </c>
      <c r="B735" t="s">
        <v>848</v>
      </c>
      <c r="C735">
        <v>15.609</v>
      </c>
      <c r="D735">
        <v>10</v>
      </c>
      <c r="E735">
        <v>14.0481</v>
      </c>
      <c r="F735" t="s">
        <v>78</v>
      </c>
      <c r="G735" t="s">
        <v>79</v>
      </c>
      <c r="H735" t="str">
        <f>IF(COUNTIF(Sheet1!$A:$A,TEXT(A735,"0"))+COUNTIF(Sheet1!$A:$A,A735)&gt;0,"موجود","غير موجود")</f>
        <v>موجود</v>
      </c>
    </row>
    <row r="736" spans="1:8" x14ac:dyDescent="0.2">
      <c r="A736">
        <v>20309500589</v>
      </c>
      <c r="B736" t="s">
        <v>849</v>
      </c>
      <c r="C736">
        <v>15.609</v>
      </c>
      <c r="D736">
        <v>10</v>
      </c>
      <c r="E736">
        <v>14.0481</v>
      </c>
      <c r="F736" t="s">
        <v>78</v>
      </c>
      <c r="G736" t="s">
        <v>79</v>
      </c>
      <c r="H736" t="str">
        <f>IF(COUNTIF(Sheet1!$A:$A,TEXT(A736,"0"))+COUNTIF(Sheet1!$A:$A,A736)&gt;0,"موجود","غير موجود")</f>
        <v>موجود</v>
      </c>
    </row>
    <row r="737" spans="1:8" x14ac:dyDescent="0.2">
      <c r="A737">
        <v>20309500699</v>
      </c>
      <c r="B737" t="s">
        <v>850</v>
      </c>
      <c r="C737">
        <v>15.609</v>
      </c>
      <c r="D737">
        <v>10</v>
      </c>
      <c r="E737">
        <v>14.0481</v>
      </c>
      <c r="F737" t="s">
        <v>78</v>
      </c>
      <c r="G737" t="s">
        <v>79</v>
      </c>
      <c r="H737" t="str">
        <f>IF(COUNTIF(Sheet1!$A:$A,TEXT(A737,"0"))+COUNTIF(Sheet1!$A:$A,A737)&gt;0,"موجود","غير موجود")</f>
        <v>موجود</v>
      </c>
    </row>
    <row r="738" spans="1:8" x14ac:dyDescent="0.2">
      <c r="A738">
        <v>20309500787</v>
      </c>
      <c r="B738" t="s">
        <v>851</v>
      </c>
      <c r="C738">
        <v>15.609</v>
      </c>
      <c r="D738">
        <v>10</v>
      </c>
      <c r="E738">
        <v>14.0481</v>
      </c>
      <c r="F738" t="s">
        <v>78</v>
      </c>
      <c r="G738" t="s">
        <v>79</v>
      </c>
      <c r="H738" t="str">
        <f>IF(COUNTIF(Sheet1!$A:$A,TEXT(A738,"0"))+COUNTIF(Sheet1!$A:$A,A738)&gt;0,"موجود","غير موجود")</f>
        <v>موجود</v>
      </c>
    </row>
    <row r="739" spans="1:8" x14ac:dyDescent="0.2">
      <c r="A739">
        <v>20309500952</v>
      </c>
      <c r="B739" t="s">
        <v>852</v>
      </c>
      <c r="C739">
        <v>15.609</v>
      </c>
      <c r="D739">
        <v>10</v>
      </c>
      <c r="E739">
        <v>14.0481</v>
      </c>
      <c r="F739" t="s">
        <v>78</v>
      </c>
      <c r="G739" t="s">
        <v>79</v>
      </c>
      <c r="H739" t="str">
        <f>IF(COUNTIF(Sheet1!$A:$A,TEXT(A739,"0"))+COUNTIF(Sheet1!$A:$A,A739)&gt;0,"موجود","غير موجود")</f>
        <v>موجود</v>
      </c>
    </row>
    <row r="740" spans="1:8" x14ac:dyDescent="0.2">
      <c r="A740">
        <v>20309500966</v>
      </c>
      <c r="B740" t="s">
        <v>853</v>
      </c>
      <c r="C740">
        <v>15.609</v>
      </c>
      <c r="D740">
        <v>10</v>
      </c>
      <c r="E740">
        <v>14.0481</v>
      </c>
      <c r="F740" t="s">
        <v>78</v>
      </c>
      <c r="G740" t="s">
        <v>79</v>
      </c>
      <c r="H740" t="str">
        <f>IF(COUNTIF(Sheet1!$A:$A,TEXT(A740,"0"))+COUNTIF(Sheet1!$A:$A,A740)&gt;0,"موجود","غير موجود")</f>
        <v>موجود</v>
      </c>
    </row>
    <row r="741" spans="1:8" x14ac:dyDescent="0.2">
      <c r="A741">
        <v>20309501041</v>
      </c>
      <c r="B741" t="s">
        <v>854</v>
      </c>
      <c r="C741">
        <v>15.609</v>
      </c>
      <c r="D741">
        <v>10</v>
      </c>
      <c r="E741">
        <v>14.0481</v>
      </c>
      <c r="F741" t="s">
        <v>78</v>
      </c>
      <c r="G741" t="s">
        <v>79</v>
      </c>
      <c r="H741" t="str">
        <f>IF(COUNTIF(Sheet1!$A:$A,TEXT(A741,"0"))+COUNTIF(Sheet1!$A:$A,A741)&gt;0,"موجود","غير موجود")</f>
        <v>موجود</v>
      </c>
    </row>
    <row r="742" spans="1:8" x14ac:dyDescent="0.2">
      <c r="A742">
        <v>20309501042</v>
      </c>
      <c r="B742" t="s">
        <v>855</v>
      </c>
      <c r="C742">
        <v>15.609</v>
      </c>
      <c r="D742">
        <v>10</v>
      </c>
      <c r="E742">
        <v>14.0481</v>
      </c>
      <c r="F742" t="s">
        <v>78</v>
      </c>
      <c r="G742" t="s">
        <v>79</v>
      </c>
      <c r="H742" t="str">
        <f>IF(COUNTIF(Sheet1!$A:$A,TEXT(A742,"0"))+COUNTIF(Sheet1!$A:$A,A742)&gt;0,"موجود","غير موجود")</f>
        <v>موجود</v>
      </c>
    </row>
    <row r="743" spans="1:8" x14ac:dyDescent="0.2">
      <c r="A743">
        <v>20309501043</v>
      </c>
      <c r="B743" t="s">
        <v>856</v>
      </c>
      <c r="C743">
        <v>15.609</v>
      </c>
      <c r="D743">
        <v>10</v>
      </c>
      <c r="E743">
        <v>14.0481</v>
      </c>
      <c r="F743" t="s">
        <v>78</v>
      </c>
      <c r="G743" t="s">
        <v>79</v>
      </c>
      <c r="H743" t="str">
        <f>IF(COUNTIF(Sheet1!$A:$A,TEXT(A743,"0"))+COUNTIF(Sheet1!$A:$A,A743)&gt;0,"موجود","غير موجود")</f>
        <v>موجود</v>
      </c>
    </row>
    <row r="744" spans="1:8" x14ac:dyDescent="0.2">
      <c r="A744">
        <v>20309501044</v>
      </c>
      <c r="B744" t="s">
        <v>857</v>
      </c>
      <c r="C744">
        <v>15.609</v>
      </c>
      <c r="D744">
        <v>10</v>
      </c>
      <c r="E744">
        <v>14.0481</v>
      </c>
      <c r="F744" t="s">
        <v>78</v>
      </c>
      <c r="G744" t="s">
        <v>79</v>
      </c>
      <c r="H744" t="str">
        <f>IF(COUNTIF(Sheet1!$A:$A,TEXT(A744,"0"))+COUNTIF(Sheet1!$A:$A,A744)&gt;0,"موجود","غير موجود")</f>
        <v>موجود</v>
      </c>
    </row>
    <row r="745" spans="1:8" x14ac:dyDescent="0.2">
      <c r="A745">
        <v>20309501045</v>
      </c>
      <c r="B745" t="s">
        <v>858</v>
      </c>
      <c r="C745">
        <v>15.609</v>
      </c>
      <c r="D745">
        <v>10</v>
      </c>
      <c r="E745">
        <v>14.0481</v>
      </c>
      <c r="F745" t="s">
        <v>78</v>
      </c>
      <c r="G745" t="s">
        <v>79</v>
      </c>
      <c r="H745" t="str">
        <f>IF(COUNTIF(Sheet1!$A:$A,TEXT(A745,"0"))+COUNTIF(Sheet1!$A:$A,A745)&gt;0,"موجود","غير موجود")</f>
        <v>موجود</v>
      </c>
    </row>
    <row r="746" spans="1:8" x14ac:dyDescent="0.2">
      <c r="A746">
        <v>20309501047</v>
      </c>
      <c r="B746" t="s">
        <v>859</v>
      </c>
      <c r="C746">
        <v>15.609</v>
      </c>
      <c r="D746">
        <v>10</v>
      </c>
      <c r="E746">
        <v>14.0481</v>
      </c>
      <c r="F746" t="s">
        <v>78</v>
      </c>
      <c r="G746" t="s">
        <v>79</v>
      </c>
      <c r="H746" t="str">
        <f>IF(COUNTIF(Sheet1!$A:$A,TEXT(A746,"0"))+COUNTIF(Sheet1!$A:$A,A746)&gt;0,"موجود","غير موجود")</f>
        <v>موجود</v>
      </c>
    </row>
    <row r="747" spans="1:8" x14ac:dyDescent="0.2">
      <c r="A747">
        <v>20309501048</v>
      </c>
      <c r="B747" t="s">
        <v>860</v>
      </c>
      <c r="C747">
        <v>15.609</v>
      </c>
      <c r="D747">
        <v>10</v>
      </c>
      <c r="E747">
        <v>14.0481</v>
      </c>
      <c r="F747" t="s">
        <v>78</v>
      </c>
      <c r="G747" t="s">
        <v>79</v>
      </c>
      <c r="H747" t="str">
        <f>IF(COUNTIF(Sheet1!$A:$A,TEXT(A747,"0"))+COUNTIF(Sheet1!$A:$A,A747)&gt;0,"موجود","غير موجود")</f>
        <v>موجود</v>
      </c>
    </row>
    <row r="748" spans="1:8" x14ac:dyDescent="0.2">
      <c r="A748">
        <v>20309501050</v>
      </c>
      <c r="B748" t="s">
        <v>861</v>
      </c>
      <c r="C748">
        <v>15.609</v>
      </c>
      <c r="D748">
        <v>10</v>
      </c>
      <c r="E748">
        <v>14.0481</v>
      </c>
      <c r="F748" t="s">
        <v>78</v>
      </c>
      <c r="G748" t="s">
        <v>79</v>
      </c>
      <c r="H748" t="str">
        <f>IF(COUNTIF(Sheet1!$A:$A,TEXT(A748,"0"))+COUNTIF(Sheet1!$A:$A,A748)&gt;0,"موجود","غير موجود")</f>
        <v>موجود</v>
      </c>
    </row>
    <row r="749" spans="1:8" x14ac:dyDescent="0.2">
      <c r="A749">
        <v>20309501834</v>
      </c>
      <c r="B749" t="s">
        <v>862</v>
      </c>
      <c r="C749">
        <v>15.608999999999998</v>
      </c>
      <c r="D749">
        <v>10</v>
      </c>
      <c r="E749">
        <v>14.048099999999998</v>
      </c>
      <c r="F749" t="s">
        <v>78</v>
      </c>
      <c r="G749" t="s">
        <v>79</v>
      </c>
      <c r="H749" t="str">
        <f>IF(COUNTIF(Sheet1!$A:$A,TEXT(A749,"0"))+COUNTIF(Sheet1!$A:$A,A749)&gt;0,"موجود","غير موجود")</f>
        <v>غير موجود</v>
      </c>
    </row>
    <row r="750" spans="1:8" x14ac:dyDescent="0.2">
      <c r="A750">
        <v>20309501835</v>
      </c>
      <c r="B750" t="s">
        <v>863</v>
      </c>
      <c r="C750">
        <v>15.609</v>
      </c>
      <c r="D750">
        <v>10</v>
      </c>
      <c r="E750">
        <v>14.0481</v>
      </c>
      <c r="F750" t="s">
        <v>78</v>
      </c>
      <c r="G750" t="s">
        <v>79</v>
      </c>
      <c r="H750" t="str">
        <f>IF(COUNTIF(Sheet1!$A:$A,TEXT(A750,"0"))+COUNTIF(Sheet1!$A:$A,A750)&gt;0,"موجود","غير موجود")</f>
        <v>موجود</v>
      </c>
    </row>
    <row r="751" spans="1:8" x14ac:dyDescent="0.2">
      <c r="A751">
        <v>20309501836</v>
      </c>
      <c r="B751" t="s">
        <v>864</v>
      </c>
      <c r="C751">
        <v>15.609</v>
      </c>
      <c r="D751">
        <v>10</v>
      </c>
      <c r="E751">
        <v>14.0481</v>
      </c>
      <c r="F751" t="s">
        <v>78</v>
      </c>
      <c r="G751" t="s">
        <v>79</v>
      </c>
      <c r="H751" t="str">
        <f>IF(COUNTIF(Sheet1!$A:$A,TEXT(A751,"0"))+COUNTIF(Sheet1!$A:$A,A751)&gt;0,"موجود","غير موجود")</f>
        <v>موجود</v>
      </c>
    </row>
    <row r="752" spans="1:8" x14ac:dyDescent="0.2">
      <c r="A752" t="s">
        <v>26</v>
      </c>
      <c r="B752" t="s">
        <v>865</v>
      </c>
      <c r="C752">
        <v>110</v>
      </c>
      <c r="D752">
        <v>50</v>
      </c>
      <c r="E752">
        <v>55</v>
      </c>
      <c r="F752" t="s">
        <v>78</v>
      </c>
      <c r="G752" t="s">
        <v>79</v>
      </c>
      <c r="H752" t="str">
        <f>IF(COUNTIF(Sheet1!$A:$A,TEXT(A752,"0"))+COUNTIF(Sheet1!$A:$A,A752)&gt;0,"موجود","غير موجود")</f>
        <v>موجود</v>
      </c>
    </row>
    <row r="753" spans="1:8" x14ac:dyDescent="0.2">
      <c r="A753" t="s">
        <v>47</v>
      </c>
      <c r="B753" t="s">
        <v>866</v>
      </c>
      <c r="C753">
        <v>145</v>
      </c>
      <c r="D753">
        <v>50</v>
      </c>
      <c r="E753">
        <v>72.5</v>
      </c>
      <c r="F753" t="s">
        <v>78</v>
      </c>
      <c r="G753" t="s">
        <v>79</v>
      </c>
      <c r="H753" t="str">
        <f>IF(COUNTIF(Sheet1!$A:$A,TEXT(A753,"0"))+COUNTIF(Sheet1!$A:$A,A753)&gt;0,"موجود","غير موجود")</f>
        <v>موجود</v>
      </c>
    </row>
    <row r="754" spans="1:8" x14ac:dyDescent="0.2">
      <c r="A754" t="s">
        <v>42</v>
      </c>
      <c r="B754" t="s">
        <v>867</v>
      </c>
      <c r="C754">
        <v>86</v>
      </c>
      <c r="D754">
        <v>30</v>
      </c>
      <c r="E754">
        <v>60.2</v>
      </c>
      <c r="F754" t="s">
        <v>78</v>
      </c>
      <c r="G754" t="s">
        <v>79</v>
      </c>
      <c r="H754" t="str">
        <f>IF(COUNTIF(Sheet1!$A:$A,TEXT(A754,"0"))+COUNTIF(Sheet1!$A:$A,A754)&gt;0,"موجود","غير موجود")</f>
        <v>موجود</v>
      </c>
    </row>
    <row r="755" spans="1:8" x14ac:dyDescent="0.2">
      <c r="A755" t="s">
        <v>25</v>
      </c>
      <c r="B755" t="s">
        <v>868</v>
      </c>
      <c r="C755">
        <v>160</v>
      </c>
      <c r="D755">
        <v>50</v>
      </c>
      <c r="E755">
        <v>80</v>
      </c>
      <c r="F755" t="s">
        <v>78</v>
      </c>
      <c r="G755" t="s">
        <v>79</v>
      </c>
      <c r="H755" t="str">
        <f>IF(COUNTIF(Sheet1!$A:$A,TEXT(A755,"0"))+COUNTIF(Sheet1!$A:$A,A755)&gt;0,"موجود","غير موجود")</f>
        <v>موجود</v>
      </c>
    </row>
    <row r="756" spans="1:8" x14ac:dyDescent="0.2">
      <c r="A756" t="s">
        <v>29</v>
      </c>
      <c r="B756" t="s">
        <v>869</v>
      </c>
      <c r="C756">
        <v>112</v>
      </c>
      <c r="D756">
        <v>50</v>
      </c>
      <c r="E756">
        <v>56</v>
      </c>
      <c r="F756" t="s">
        <v>78</v>
      </c>
      <c r="G756" t="s">
        <v>79</v>
      </c>
      <c r="H756" t="str">
        <f>IF(COUNTIF(Sheet1!$A:$A,TEXT(A756,"0"))+COUNTIF(Sheet1!$A:$A,A756)&gt;0,"موجود","غير موجود")</f>
        <v>موجود</v>
      </c>
    </row>
    <row r="757" spans="1:8" x14ac:dyDescent="0.2">
      <c r="A757" t="s">
        <v>48</v>
      </c>
      <c r="B757" t="s">
        <v>870</v>
      </c>
      <c r="C757">
        <v>120</v>
      </c>
      <c r="D757">
        <v>50</v>
      </c>
      <c r="E757">
        <v>60</v>
      </c>
      <c r="F757" t="s">
        <v>78</v>
      </c>
      <c r="G757" t="s">
        <v>79</v>
      </c>
      <c r="H757" t="str">
        <f>IF(COUNTIF(Sheet1!$A:$A,TEXT(A757,"0"))+COUNTIF(Sheet1!$A:$A,A757)&gt;0,"موجود","غير موجود")</f>
        <v>موجود</v>
      </c>
    </row>
    <row r="758" spans="1:8" x14ac:dyDescent="0.2">
      <c r="A758" t="s">
        <v>21</v>
      </c>
      <c r="B758" t="s">
        <v>871</v>
      </c>
      <c r="C758">
        <v>39.75</v>
      </c>
      <c r="D758">
        <v>50</v>
      </c>
      <c r="E758">
        <v>19.875</v>
      </c>
      <c r="F758" t="s">
        <v>78</v>
      </c>
      <c r="G758" t="s">
        <v>79</v>
      </c>
      <c r="H758" t="str">
        <f>IF(COUNTIF(Sheet1!$A:$A,TEXT(A758,"0"))+COUNTIF(Sheet1!$A:$A,A758)&gt;0,"موجود","غير موجود")</f>
        <v>موجود</v>
      </c>
    </row>
    <row r="759" spans="1:8" x14ac:dyDescent="0.2">
      <c r="A759" t="s">
        <v>54</v>
      </c>
      <c r="B759" t="s">
        <v>872</v>
      </c>
      <c r="C759">
        <v>159</v>
      </c>
      <c r="D759">
        <v>50</v>
      </c>
      <c r="E759">
        <v>79.5</v>
      </c>
      <c r="F759" t="s">
        <v>78</v>
      </c>
      <c r="G759" t="s">
        <v>79</v>
      </c>
      <c r="H759" t="str">
        <f>IF(COUNTIF(Sheet1!$A:$A,TEXT(A759,"0"))+COUNTIF(Sheet1!$A:$A,A759)&gt;0,"موجود","غير موجود")</f>
        <v>موجود</v>
      </c>
    </row>
    <row r="760" spans="1:8" x14ac:dyDescent="0.2">
      <c r="A760" t="s">
        <v>873</v>
      </c>
      <c r="B760" t="s">
        <v>874</v>
      </c>
      <c r="C760">
        <v>110</v>
      </c>
      <c r="D760">
        <v>50</v>
      </c>
      <c r="E760">
        <v>55</v>
      </c>
      <c r="F760" t="s">
        <v>78</v>
      </c>
      <c r="G760" t="s">
        <v>79</v>
      </c>
      <c r="H760" t="str">
        <f>IF(COUNTIF(Sheet1!$A:$A,TEXT(A760,"0"))+COUNTIF(Sheet1!$A:$A,A760)&gt;0,"موجود","غير موجود")</f>
        <v>غير موجود</v>
      </c>
    </row>
    <row r="761" spans="1:8" x14ac:dyDescent="0.2">
      <c r="A761">
        <v>20315040089</v>
      </c>
      <c r="B761" t="s">
        <v>875</v>
      </c>
      <c r="C761">
        <v>19.350000000000001</v>
      </c>
      <c r="D761">
        <v>33</v>
      </c>
      <c r="E761">
        <v>12.964500000000001</v>
      </c>
      <c r="F761" t="s">
        <v>78</v>
      </c>
      <c r="G761" t="s">
        <v>83</v>
      </c>
      <c r="H761" t="str">
        <f>IF(COUNTIF(Sheet1!$A:$A,TEXT(A761,"0"))+COUNTIF(Sheet1!$A:$A,A761)&gt;0,"موجود","غير موجود")</f>
        <v>غير موجود</v>
      </c>
    </row>
    <row r="762" spans="1:8" x14ac:dyDescent="0.2">
      <c r="A762">
        <v>20315040076</v>
      </c>
      <c r="B762" t="s">
        <v>876</v>
      </c>
      <c r="C762">
        <v>22</v>
      </c>
      <c r="D762">
        <v>33</v>
      </c>
      <c r="E762">
        <v>14.74</v>
      </c>
      <c r="F762" t="s">
        <v>78</v>
      </c>
      <c r="G762" t="s">
        <v>83</v>
      </c>
      <c r="H762" t="str">
        <f>IF(COUNTIF(Sheet1!$A:$A,TEXT(A762,"0"))+COUNTIF(Sheet1!$A:$A,A762)&gt;0,"موجود","غير موجود")</f>
        <v>غير موجود</v>
      </c>
    </row>
    <row r="763" spans="1:8" x14ac:dyDescent="0.2">
      <c r="A763">
        <v>20315040086</v>
      </c>
      <c r="B763" t="s">
        <v>877</v>
      </c>
      <c r="C763">
        <v>15</v>
      </c>
      <c r="D763">
        <v>33</v>
      </c>
      <c r="E763">
        <v>10.050000000000001</v>
      </c>
      <c r="F763" t="s">
        <v>78</v>
      </c>
      <c r="G763" t="s">
        <v>83</v>
      </c>
      <c r="H763" t="str">
        <f>IF(COUNTIF(Sheet1!$A:$A,TEXT(A763,"0"))+COUNTIF(Sheet1!$A:$A,A763)&gt;0,"موجود","غير موجود")</f>
        <v>غير موجود</v>
      </c>
    </row>
    <row r="764" spans="1:8" x14ac:dyDescent="0.2">
      <c r="A764">
        <v>20315040075</v>
      </c>
      <c r="B764" t="s">
        <v>878</v>
      </c>
      <c r="C764">
        <v>26.9</v>
      </c>
      <c r="D764">
        <v>33</v>
      </c>
      <c r="E764">
        <v>18.023</v>
      </c>
      <c r="F764" t="s">
        <v>78</v>
      </c>
      <c r="G764" t="s">
        <v>83</v>
      </c>
      <c r="H764" t="str">
        <f>IF(COUNTIF(Sheet1!$A:$A,TEXT(A764,"0"))+COUNTIF(Sheet1!$A:$A,A764)&gt;0,"موجود","غير موجود")</f>
        <v>غير موجود</v>
      </c>
    </row>
    <row r="765" spans="1:8" x14ac:dyDescent="0.2">
      <c r="A765">
        <v>20315040088</v>
      </c>
      <c r="B765" t="s">
        <v>879</v>
      </c>
      <c r="C765">
        <v>15</v>
      </c>
      <c r="D765">
        <v>33</v>
      </c>
      <c r="E765">
        <v>10.050000000000001</v>
      </c>
      <c r="F765" t="s">
        <v>78</v>
      </c>
      <c r="G765" t="s">
        <v>83</v>
      </c>
      <c r="H765" t="str">
        <f>IF(COUNTIF(Sheet1!$A:$A,TEXT(A765,"0"))+COUNTIF(Sheet1!$A:$A,A765)&gt;0,"موجود","غير موجود")</f>
        <v>غير موجود</v>
      </c>
    </row>
    <row r="766" spans="1:8" x14ac:dyDescent="0.2">
      <c r="A766">
        <v>20315040087</v>
      </c>
      <c r="B766" t="s">
        <v>880</v>
      </c>
      <c r="C766">
        <v>15</v>
      </c>
      <c r="D766">
        <v>33</v>
      </c>
      <c r="E766">
        <v>10.050000000000001</v>
      </c>
      <c r="F766" t="s">
        <v>78</v>
      </c>
      <c r="G766" t="s">
        <v>83</v>
      </c>
      <c r="H766" t="str">
        <f>IF(COUNTIF(Sheet1!$A:$A,TEXT(A766,"0"))+COUNTIF(Sheet1!$A:$A,A766)&gt;0,"موجود","غير موجود")</f>
        <v>موجود</v>
      </c>
    </row>
    <row r="767" spans="1:8" x14ac:dyDescent="0.2">
      <c r="A767">
        <v>20315040336</v>
      </c>
      <c r="B767" t="s">
        <v>881</v>
      </c>
      <c r="C767">
        <v>7.5</v>
      </c>
      <c r="D767">
        <v>33</v>
      </c>
      <c r="E767">
        <v>5.0250000000000004</v>
      </c>
      <c r="F767" t="s">
        <v>78</v>
      </c>
      <c r="G767" t="s">
        <v>83</v>
      </c>
      <c r="H767" t="str">
        <f>IF(COUNTIF(Sheet1!$A:$A,TEXT(A767,"0"))+COUNTIF(Sheet1!$A:$A,A767)&gt;0,"موجود","غير موجود")</f>
        <v>غير موجود</v>
      </c>
    </row>
    <row r="768" spans="1:8" x14ac:dyDescent="0.2">
      <c r="A768">
        <v>20315040603</v>
      </c>
      <c r="B768" t="s">
        <v>882</v>
      </c>
      <c r="C768">
        <v>26.9</v>
      </c>
      <c r="D768">
        <v>33</v>
      </c>
      <c r="E768">
        <v>18.023</v>
      </c>
      <c r="F768" t="s">
        <v>78</v>
      </c>
      <c r="G768" t="s">
        <v>83</v>
      </c>
      <c r="H768" t="str">
        <f>IF(COUNTIF(Sheet1!$A:$A,TEXT(A768,"0"))+COUNTIF(Sheet1!$A:$A,A768)&gt;0,"موجود","غير موجود")</f>
        <v>غير موجود</v>
      </c>
    </row>
    <row r="769" spans="1:8" x14ac:dyDescent="0.2">
      <c r="A769">
        <v>20315040079</v>
      </c>
      <c r="B769" t="s">
        <v>876</v>
      </c>
      <c r="C769">
        <v>18</v>
      </c>
      <c r="D769">
        <v>33</v>
      </c>
      <c r="E769">
        <v>12.059999999999999</v>
      </c>
      <c r="F769" t="s">
        <v>78</v>
      </c>
      <c r="G769" t="s">
        <v>83</v>
      </c>
      <c r="H769" t="str">
        <f>IF(COUNTIF(Sheet1!$A:$A,TEXT(A769,"0"))+COUNTIF(Sheet1!$A:$A,A769)&gt;0,"موجود","غير موجود")</f>
        <v>غير موجود</v>
      </c>
    </row>
    <row r="770" spans="1:8" x14ac:dyDescent="0.2">
      <c r="A770">
        <v>20315040093</v>
      </c>
      <c r="B770" t="s">
        <v>883</v>
      </c>
      <c r="C770">
        <v>19.350000000000001</v>
      </c>
      <c r="D770">
        <v>33</v>
      </c>
      <c r="E770">
        <v>12.964500000000001</v>
      </c>
      <c r="F770" t="s">
        <v>78</v>
      </c>
      <c r="G770" t="s">
        <v>83</v>
      </c>
      <c r="H770" t="str">
        <f>IF(COUNTIF(Sheet1!$A:$A,TEXT(A770,"0"))+COUNTIF(Sheet1!$A:$A,A770)&gt;0,"موجود","غير موجود")</f>
        <v>غير موجود</v>
      </c>
    </row>
    <row r="771" spans="1:8" x14ac:dyDescent="0.2">
      <c r="A771">
        <v>20315040382</v>
      </c>
      <c r="B771" t="s">
        <v>884</v>
      </c>
      <c r="C771">
        <v>7.5</v>
      </c>
      <c r="D771">
        <v>33</v>
      </c>
      <c r="E771">
        <v>5.0250000000000004</v>
      </c>
      <c r="F771" t="s">
        <v>78</v>
      </c>
      <c r="G771" t="s">
        <v>83</v>
      </c>
      <c r="H771" t="str">
        <f>IF(COUNTIF(Sheet1!$A:$A,TEXT(A771,"0"))+COUNTIF(Sheet1!$A:$A,A771)&gt;0,"موجود","غير موجود")</f>
        <v>غير موجود</v>
      </c>
    </row>
    <row r="772" spans="1:8" x14ac:dyDescent="0.2">
      <c r="A772">
        <v>20315040077</v>
      </c>
      <c r="B772" t="s">
        <v>885</v>
      </c>
      <c r="C772">
        <v>17</v>
      </c>
      <c r="D772">
        <v>33</v>
      </c>
      <c r="E772">
        <v>11.39</v>
      </c>
      <c r="F772" t="s">
        <v>78</v>
      </c>
      <c r="G772" t="s">
        <v>83</v>
      </c>
      <c r="H772" t="str">
        <f>IF(COUNTIF(Sheet1!$A:$A,TEXT(A772,"0"))+COUNTIF(Sheet1!$A:$A,A772)&gt;0,"موجود","غير موجود")</f>
        <v>غير موجود</v>
      </c>
    </row>
    <row r="773" spans="1:8" x14ac:dyDescent="0.2">
      <c r="A773">
        <v>20315040329</v>
      </c>
      <c r="B773" t="s">
        <v>886</v>
      </c>
      <c r="C773">
        <v>19</v>
      </c>
      <c r="D773">
        <v>33</v>
      </c>
      <c r="E773">
        <v>12.73</v>
      </c>
      <c r="F773" t="s">
        <v>78</v>
      </c>
      <c r="G773" t="s">
        <v>83</v>
      </c>
      <c r="H773" t="str">
        <f>IF(COUNTIF(Sheet1!$A:$A,TEXT(A773,"0"))+COUNTIF(Sheet1!$A:$A,A773)&gt;0,"موجود","غير موجود")</f>
        <v>غير موجود</v>
      </c>
    </row>
    <row r="774" spans="1:8" x14ac:dyDescent="0.2">
      <c r="A774">
        <v>20315040383</v>
      </c>
      <c r="B774" t="s">
        <v>887</v>
      </c>
      <c r="C774">
        <v>7.5</v>
      </c>
      <c r="D774">
        <v>33</v>
      </c>
      <c r="E774">
        <v>5.0250000000000004</v>
      </c>
      <c r="F774" t="s">
        <v>78</v>
      </c>
      <c r="G774" t="s">
        <v>83</v>
      </c>
      <c r="H774" t="str">
        <f>IF(COUNTIF(Sheet1!$A:$A,TEXT(A774,"0"))+COUNTIF(Sheet1!$A:$A,A774)&gt;0,"موجود","غير موجود")</f>
        <v>غير موجود</v>
      </c>
    </row>
    <row r="775" spans="1:8" x14ac:dyDescent="0.2">
      <c r="A775">
        <v>20315041054</v>
      </c>
      <c r="B775" t="s">
        <v>888</v>
      </c>
      <c r="C775">
        <v>19</v>
      </c>
      <c r="D775">
        <v>33</v>
      </c>
      <c r="E775">
        <v>12.73</v>
      </c>
      <c r="F775" t="s">
        <v>78</v>
      </c>
      <c r="G775" t="s">
        <v>83</v>
      </c>
      <c r="H775" t="str">
        <f>IF(COUNTIF(Sheet1!$A:$A,TEXT(A775,"0"))+COUNTIF(Sheet1!$A:$A,A775)&gt;0,"موجود","غير موجود")</f>
        <v>غير موجود</v>
      </c>
    </row>
    <row r="776" spans="1:8" x14ac:dyDescent="0.2">
      <c r="A776">
        <v>20315040123</v>
      </c>
      <c r="B776" t="s">
        <v>889</v>
      </c>
      <c r="C776">
        <v>23.65</v>
      </c>
      <c r="D776">
        <v>33</v>
      </c>
      <c r="E776">
        <v>15.845499999999999</v>
      </c>
      <c r="F776" t="s">
        <v>78</v>
      </c>
      <c r="G776" t="s">
        <v>83</v>
      </c>
      <c r="H776" t="str">
        <f>IF(COUNTIF(Sheet1!$A:$A,TEXT(A776,"0"))+COUNTIF(Sheet1!$A:$A,A776)&gt;0,"موجود","غير موجود")</f>
        <v>غير موجود</v>
      </c>
    </row>
    <row r="777" spans="1:8" x14ac:dyDescent="0.2">
      <c r="A777">
        <v>20315040334</v>
      </c>
      <c r="B777" t="s">
        <v>890</v>
      </c>
      <c r="C777">
        <v>20.45</v>
      </c>
      <c r="D777">
        <v>33</v>
      </c>
      <c r="E777">
        <v>13.701499999999999</v>
      </c>
      <c r="F777" t="s">
        <v>78</v>
      </c>
      <c r="G777" t="s">
        <v>83</v>
      </c>
      <c r="H777" t="str">
        <f>IF(COUNTIF(Sheet1!$A:$A,TEXT(A777,"0"))+COUNTIF(Sheet1!$A:$A,A777)&gt;0,"موجود","غير موجود")</f>
        <v>غير موجود</v>
      </c>
    </row>
    <row r="778" spans="1:8" x14ac:dyDescent="0.2">
      <c r="A778">
        <v>20315040122</v>
      </c>
      <c r="B778" t="s">
        <v>891</v>
      </c>
      <c r="C778">
        <v>14</v>
      </c>
      <c r="D778">
        <v>33</v>
      </c>
      <c r="E778">
        <v>9.379999999999999</v>
      </c>
      <c r="F778" t="s">
        <v>78</v>
      </c>
      <c r="G778" t="s">
        <v>83</v>
      </c>
      <c r="H778" t="str">
        <f>IF(COUNTIF(Sheet1!$A:$A,TEXT(A778,"0"))+COUNTIF(Sheet1!$A:$A,A778)&gt;0,"موجود","غير موجود")</f>
        <v>غير موجود</v>
      </c>
    </row>
    <row r="779" spans="1:8" x14ac:dyDescent="0.2">
      <c r="A779">
        <v>20315041257</v>
      </c>
      <c r="B779" t="s">
        <v>892</v>
      </c>
      <c r="C779">
        <v>20.5</v>
      </c>
      <c r="D779">
        <v>33</v>
      </c>
      <c r="E779">
        <v>13.734999999999999</v>
      </c>
      <c r="F779" t="s">
        <v>78</v>
      </c>
      <c r="G779" t="s">
        <v>83</v>
      </c>
      <c r="H779" t="str">
        <f>IF(COUNTIF(Sheet1!$A:$A,TEXT(A779,"0"))+COUNTIF(Sheet1!$A:$A,A779)&gt;0,"موجود","غير موجود")</f>
        <v>غير موجود</v>
      </c>
    </row>
    <row r="780" spans="1:8" x14ac:dyDescent="0.2">
      <c r="A780">
        <v>20315040095</v>
      </c>
      <c r="B780" t="s">
        <v>893</v>
      </c>
      <c r="C780">
        <v>15</v>
      </c>
      <c r="D780">
        <v>33</v>
      </c>
      <c r="E780">
        <v>10.050000000000001</v>
      </c>
      <c r="F780" t="s">
        <v>78</v>
      </c>
      <c r="G780" t="s">
        <v>83</v>
      </c>
      <c r="H780" t="str">
        <f>IF(COUNTIF(Sheet1!$A:$A,TEXT(A780,"0"))+COUNTIF(Sheet1!$A:$A,A780)&gt;0,"موجود","غير موجود")</f>
        <v>غير موجود</v>
      </c>
    </row>
    <row r="781" spans="1:8" x14ac:dyDescent="0.2">
      <c r="A781">
        <v>20315040529</v>
      </c>
      <c r="B781" t="s">
        <v>894</v>
      </c>
      <c r="C781">
        <v>15</v>
      </c>
      <c r="D781">
        <v>33</v>
      </c>
      <c r="E781">
        <v>10.050000000000001</v>
      </c>
      <c r="F781" t="s">
        <v>78</v>
      </c>
      <c r="G781" t="s">
        <v>83</v>
      </c>
      <c r="H781" t="str">
        <f>IF(COUNTIF(Sheet1!$A:$A,TEXT(A781,"0"))+COUNTIF(Sheet1!$A:$A,A781)&gt;0,"موجود","غير موجود")</f>
        <v>غير موجود</v>
      </c>
    </row>
    <row r="782" spans="1:8" x14ac:dyDescent="0.2">
      <c r="A782">
        <v>20315040335</v>
      </c>
      <c r="B782" t="s">
        <v>895</v>
      </c>
      <c r="C782">
        <v>23.65</v>
      </c>
      <c r="D782">
        <v>33</v>
      </c>
      <c r="E782">
        <v>15.845499999999999</v>
      </c>
      <c r="F782" t="s">
        <v>78</v>
      </c>
      <c r="G782" t="s">
        <v>83</v>
      </c>
      <c r="H782" t="str">
        <f>IF(COUNTIF(Sheet1!$A:$A,TEXT(A782,"0"))+COUNTIF(Sheet1!$A:$A,A782)&gt;0,"موجود","غير موجود")</f>
        <v>غير موجود</v>
      </c>
    </row>
    <row r="783" spans="1:8" x14ac:dyDescent="0.2">
      <c r="A783">
        <v>20315040080</v>
      </c>
      <c r="B783" t="s">
        <v>896</v>
      </c>
      <c r="C783">
        <v>32.25</v>
      </c>
      <c r="D783">
        <v>33</v>
      </c>
      <c r="E783">
        <v>21.607500000000002</v>
      </c>
      <c r="F783" t="s">
        <v>78</v>
      </c>
      <c r="G783" t="s">
        <v>83</v>
      </c>
      <c r="H783" t="str">
        <f>IF(COUNTIF(Sheet1!$A:$A,TEXT(A783,"0"))+COUNTIF(Sheet1!$A:$A,A783)&gt;0,"موجود","غير موجود")</f>
        <v>غير موجود</v>
      </c>
    </row>
    <row r="784" spans="1:8" x14ac:dyDescent="0.2">
      <c r="A784">
        <v>20315040081</v>
      </c>
      <c r="B784" t="s">
        <v>897</v>
      </c>
      <c r="C784">
        <v>34.5</v>
      </c>
      <c r="D784">
        <v>33</v>
      </c>
      <c r="E784">
        <v>23.115000000000002</v>
      </c>
      <c r="F784" t="s">
        <v>78</v>
      </c>
      <c r="G784" t="s">
        <v>83</v>
      </c>
      <c r="H784" t="str">
        <f>IF(COUNTIF(Sheet1!$A:$A,TEXT(A784,"0"))+COUNTIF(Sheet1!$A:$A,A784)&gt;0,"موجود","غير موجود")</f>
        <v>غير موجود</v>
      </c>
    </row>
    <row r="785" spans="1:8" x14ac:dyDescent="0.2">
      <c r="A785">
        <v>20315040083</v>
      </c>
      <c r="B785" t="s">
        <v>898</v>
      </c>
      <c r="C785">
        <v>38.700000000000003</v>
      </c>
      <c r="D785">
        <v>33</v>
      </c>
      <c r="E785">
        <v>25.929000000000002</v>
      </c>
      <c r="F785" t="s">
        <v>78</v>
      </c>
      <c r="G785" t="s">
        <v>83</v>
      </c>
      <c r="H785" t="str">
        <f>IF(COUNTIF(Sheet1!$A:$A,TEXT(A785,"0"))+COUNTIF(Sheet1!$A:$A,A785)&gt;0,"موجود","غير موجود")</f>
        <v>غير موجود</v>
      </c>
    </row>
    <row r="786" spans="1:8" x14ac:dyDescent="0.2">
      <c r="A786">
        <v>20315040528</v>
      </c>
      <c r="B786" t="s">
        <v>899</v>
      </c>
      <c r="C786">
        <v>43</v>
      </c>
      <c r="D786">
        <v>33</v>
      </c>
      <c r="E786">
        <v>28.810000000000002</v>
      </c>
      <c r="F786" t="s">
        <v>78</v>
      </c>
      <c r="G786" t="s">
        <v>83</v>
      </c>
      <c r="H786" t="str">
        <f>IF(COUNTIF(Sheet1!$A:$A,TEXT(A786,"0"))+COUNTIF(Sheet1!$A:$A,A786)&gt;0,"موجود","غير موجود")</f>
        <v>غير موجود</v>
      </c>
    </row>
    <row r="787" spans="1:8" x14ac:dyDescent="0.2">
      <c r="A787">
        <v>20315040607</v>
      </c>
      <c r="B787" t="s">
        <v>900</v>
      </c>
      <c r="C787">
        <v>23.65</v>
      </c>
      <c r="D787">
        <v>33</v>
      </c>
      <c r="E787">
        <v>15.845499999999999</v>
      </c>
      <c r="F787" t="s">
        <v>78</v>
      </c>
      <c r="G787" t="s">
        <v>83</v>
      </c>
      <c r="H787" t="str">
        <f>IF(COUNTIF(Sheet1!$A:$A,TEXT(A787,"0"))+COUNTIF(Sheet1!$A:$A,A787)&gt;0,"موجود","غير موجود")</f>
        <v>غير موجود</v>
      </c>
    </row>
    <row r="788" spans="1:8" x14ac:dyDescent="0.2">
      <c r="A788">
        <v>20315040605</v>
      </c>
      <c r="B788" t="s">
        <v>901</v>
      </c>
      <c r="C788">
        <v>23.65</v>
      </c>
      <c r="D788">
        <v>33</v>
      </c>
      <c r="E788">
        <v>15.845499999999999</v>
      </c>
      <c r="F788" t="s">
        <v>78</v>
      </c>
      <c r="G788" t="s">
        <v>83</v>
      </c>
      <c r="H788" t="str">
        <f>IF(COUNTIF(Sheet1!$A:$A,TEXT(A788,"0"))+COUNTIF(Sheet1!$A:$A,A788)&gt;0,"موجود","غير موجود")</f>
        <v>غير موجود</v>
      </c>
    </row>
    <row r="789" spans="1:8" x14ac:dyDescent="0.2">
      <c r="A789">
        <v>20315041215</v>
      </c>
      <c r="B789" t="s">
        <v>902</v>
      </c>
      <c r="C789">
        <v>23.65</v>
      </c>
      <c r="D789">
        <v>33</v>
      </c>
      <c r="E789">
        <v>15.845499999999999</v>
      </c>
      <c r="F789" t="s">
        <v>78</v>
      </c>
      <c r="G789" t="s">
        <v>83</v>
      </c>
      <c r="H789" t="str">
        <f>IF(COUNTIF(Sheet1!$A:$A,TEXT(A789,"0"))+COUNTIF(Sheet1!$A:$A,A789)&gt;0,"موجود","غير موجود")</f>
        <v>غير موجود</v>
      </c>
    </row>
    <row r="790" spans="1:8" x14ac:dyDescent="0.2">
      <c r="A790">
        <v>20315040082</v>
      </c>
      <c r="B790" t="s">
        <v>903</v>
      </c>
      <c r="C790">
        <v>45</v>
      </c>
      <c r="D790">
        <v>33</v>
      </c>
      <c r="E790">
        <v>30.15</v>
      </c>
      <c r="F790" t="s">
        <v>78</v>
      </c>
      <c r="G790" t="s">
        <v>83</v>
      </c>
      <c r="H790" t="str">
        <f>IF(COUNTIF(Sheet1!$A:$A,TEXT(A790,"0"))+COUNTIF(Sheet1!$A:$A,A790)&gt;0,"موجود","غير موجود")</f>
        <v>غير موجود</v>
      </c>
    </row>
    <row r="791" spans="1:8" x14ac:dyDescent="0.2">
      <c r="A791">
        <v>20315040084</v>
      </c>
      <c r="B791" t="s">
        <v>904</v>
      </c>
      <c r="C791">
        <v>26.9</v>
      </c>
      <c r="D791">
        <v>33</v>
      </c>
      <c r="E791">
        <v>18.023</v>
      </c>
      <c r="F791" t="s">
        <v>78</v>
      </c>
      <c r="G791" t="s">
        <v>83</v>
      </c>
      <c r="H791" t="str">
        <f>IF(COUNTIF(Sheet1!$A:$A,TEXT(A791,"0"))+COUNTIF(Sheet1!$A:$A,A791)&gt;0,"موجود","غير موجود")</f>
        <v>غير موجود</v>
      </c>
    </row>
    <row r="792" spans="1:8" x14ac:dyDescent="0.2">
      <c r="A792">
        <v>20315040085</v>
      </c>
      <c r="B792" t="s">
        <v>905</v>
      </c>
      <c r="C792">
        <v>23.65</v>
      </c>
      <c r="D792">
        <v>33</v>
      </c>
      <c r="E792">
        <v>15.845499999999999</v>
      </c>
      <c r="F792" t="s">
        <v>78</v>
      </c>
      <c r="G792" t="s">
        <v>83</v>
      </c>
      <c r="H792" t="str">
        <f>IF(COUNTIF(Sheet1!$A:$A,TEXT(A792,"0"))+COUNTIF(Sheet1!$A:$A,A792)&gt;0,"موجود","غير موجود")</f>
        <v>غير موجود</v>
      </c>
    </row>
    <row r="793" spans="1:8" x14ac:dyDescent="0.2">
      <c r="A793">
        <v>20315040090</v>
      </c>
      <c r="B793" t="s">
        <v>906</v>
      </c>
      <c r="C793">
        <v>19.350000000000001</v>
      </c>
      <c r="D793">
        <v>33</v>
      </c>
      <c r="E793">
        <v>12.964500000000001</v>
      </c>
      <c r="F793" t="s">
        <v>78</v>
      </c>
      <c r="G793" t="s">
        <v>83</v>
      </c>
      <c r="H793" t="str">
        <f>IF(COUNTIF(Sheet1!$A:$A,TEXT(A793,"0"))+COUNTIF(Sheet1!$A:$A,A793)&gt;0,"موجود","غير موجود")</f>
        <v>غير موجود</v>
      </c>
    </row>
    <row r="794" spans="1:8" x14ac:dyDescent="0.2">
      <c r="A794">
        <v>20315040092</v>
      </c>
      <c r="B794" t="s">
        <v>907</v>
      </c>
      <c r="C794">
        <v>19.350000000000001</v>
      </c>
      <c r="D794">
        <v>33</v>
      </c>
      <c r="E794">
        <v>12.964500000000001</v>
      </c>
      <c r="F794" t="s">
        <v>78</v>
      </c>
      <c r="G794" t="s">
        <v>83</v>
      </c>
      <c r="H794" t="str">
        <f>IF(COUNTIF(Sheet1!$A:$A,TEXT(A794,"0"))+COUNTIF(Sheet1!$A:$A,A794)&gt;0,"موجود","غير موجود")</f>
        <v>غير موجود</v>
      </c>
    </row>
    <row r="795" spans="1:8" x14ac:dyDescent="0.2">
      <c r="A795">
        <v>20315040094</v>
      </c>
      <c r="B795" t="s">
        <v>908</v>
      </c>
      <c r="C795">
        <v>19.350000000000001</v>
      </c>
      <c r="D795">
        <v>33</v>
      </c>
      <c r="E795">
        <v>12.964500000000001</v>
      </c>
      <c r="F795" t="s">
        <v>78</v>
      </c>
      <c r="G795" t="s">
        <v>83</v>
      </c>
      <c r="H795" t="str">
        <f>IF(COUNTIF(Sheet1!$A:$A,TEXT(A795,"0"))+COUNTIF(Sheet1!$A:$A,A795)&gt;0,"موجود","غير موجود")</f>
        <v>غير موجود</v>
      </c>
    </row>
    <row r="796" spans="1:8" x14ac:dyDescent="0.2">
      <c r="A796">
        <v>20315040121</v>
      </c>
      <c r="B796" t="s">
        <v>909</v>
      </c>
      <c r="C796">
        <v>23.65</v>
      </c>
      <c r="D796">
        <v>33</v>
      </c>
      <c r="E796">
        <v>15.845499999999999</v>
      </c>
      <c r="F796" t="s">
        <v>78</v>
      </c>
      <c r="G796" t="s">
        <v>83</v>
      </c>
      <c r="H796" t="str">
        <f>IF(COUNTIF(Sheet1!$A:$A,TEXT(A796,"0"))+COUNTIF(Sheet1!$A:$A,A796)&gt;0,"موجود","غير موجود")</f>
        <v>غير موجود</v>
      </c>
    </row>
    <row r="797" spans="1:8" x14ac:dyDescent="0.2">
      <c r="A797">
        <v>20315040604</v>
      </c>
      <c r="B797" t="s">
        <v>910</v>
      </c>
      <c r="C797">
        <v>23.65</v>
      </c>
      <c r="D797">
        <v>33</v>
      </c>
      <c r="E797">
        <v>15.845499999999999</v>
      </c>
      <c r="F797" t="s">
        <v>78</v>
      </c>
      <c r="G797" t="s">
        <v>83</v>
      </c>
      <c r="H797" t="str">
        <f>IF(COUNTIF(Sheet1!$A:$A,TEXT(A797,"0"))+COUNTIF(Sheet1!$A:$A,A797)&gt;0,"موجود","غير موجود")</f>
        <v>غير موجود</v>
      </c>
    </row>
    <row r="798" spans="1:8" x14ac:dyDescent="0.2">
      <c r="A798">
        <v>20315040606</v>
      </c>
      <c r="B798" t="s">
        <v>911</v>
      </c>
      <c r="C798">
        <v>20.5</v>
      </c>
      <c r="D798">
        <v>33</v>
      </c>
      <c r="E798">
        <v>13.734999999999999</v>
      </c>
      <c r="F798" t="s">
        <v>78</v>
      </c>
      <c r="G798" t="s">
        <v>83</v>
      </c>
      <c r="H798" t="str">
        <f>IF(COUNTIF(Sheet1!$A:$A,TEXT(A798,"0"))+COUNTIF(Sheet1!$A:$A,A798)&gt;0,"موجود","غير موجود")</f>
        <v>غير موجود</v>
      </c>
    </row>
    <row r="799" spans="1:8" x14ac:dyDescent="0.2">
      <c r="A799">
        <v>20315041079</v>
      </c>
      <c r="B799" t="s">
        <v>912</v>
      </c>
      <c r="C799">
        <v>24</v>
      </c>
      <c r="D799">
        <v>33</v>
      </c>
      <c r="E799">
        <v>16.079999999999998</v>
      </c>
      <c r="F799" t="s">
        <v>78</v>
      </c>
      <c r="G799" t="s">
        <v>83</v>
      </c>
      <c r="H799" t="str">
        <f>IF(COUNTIF(Sheet1!$A:$A,TEXT(A799,"0"))+COUNTIF(Sheet1!$A:$A,A799)&gt;0,"موجود","غير موجود")</f>
        <v>غير موجود</v>
      </c>
    </row>
    <row r="800" spans="1:8" x14ac:dyDescent="0.2">
      <c r="A800">
        <v>20315041080</v>
      </c>
      <c r="B800" t="s">
        <v>913</v>
      </c>
      <c r="C800">
        <v>25.8</v>
      </c>
      <c r="D800">
        <v>33</v>
      </c>
      <c r="E800">
        <v>17.286000000000001</v>
      </c>
      <c r="F800" t="s">
        <v>78</v>
      </c>
      <c r="G800" t="s">
        <v>83</v>
      </c>
      <c r="H800" t="str">
        <f>IF(COUNTIF(Sheet1!$A:$A,TEXT(A800,"0"))+COUNTIF(Sheet1!$A:$A,A800)&gt;0,"موجود","غير موجود")</f>
        <v>غير موجود</v>
      </c>
    </row>
    <row r="801" spans="1:8" x14ac:dyDescent="0.2">
      <c r="A801">
        <v>20315041081</v>
      </c>
      <c r="B801" t="s">
        <v>914</v>
      </c>
      <c r="C801">
        <v>23.65</v>
      </c>
      <c r="D801">
        <v>33</v>
      </c>
      <c r="E801">
        <v>15.845499999999999</v>
      </c>
      <c r="F801" t="s">
        <v>78</v>
      </c>
      <c r="G801" t="s">
        <v>83</v>
      </c>
      <c r="H801" t="str">
        <f>IF(COUNTIF(Sheet1!$A:$A,TEXT(A801,"0"))+COUNTIF(Sheet1!$A:$A,A801)&gt;0,"موجود","غير موجود")</f>
        <v>غير موجود</v>
      </c>
    </row>
    <row r="802" spans="1:8" x14ac:dyDescent="0.2">
      <c r="A802">
        <v>20315041082</v>
      </c>
      <c r="B802" t="s">
        <v>915</v>
      </c>
      <c r="C802">
        <v>21.5</v>
      </c>
      <c r="D802">
        <v>33</v>
      </c>
      <c r="E802">
        <v>14.405000000000001</v>
      </c>
      <c r="F802" t="s">
        <v>78</v>
      </c>
      <c r="G802" t="s">
        <v>83</v>
      </c>
      <c r="H802" t="str">
        <f>IF(COUNTIF(Sheet1!$A:$A,TEXT(A802,"0"))+COUNTIF(Sheet1!$A:$A,A802)&gt;0,"موجود","غير موجود")</f>
        <v>غير موجود</v>
      </c>
    </row>
    <row r="803" spans="1:8" x14ac:dyDescent="0.2">
      <c r="A803">
        <v>20315041083</v>
      </c>
      <c r="B803" t="s">
        <v>916</v>
      </c>
      <c r="C803">
        <v>23.65</v>
      </c>
      <c r="D803">
        <v>33</v>
      </c>
      <c r="E803">
        <v>15.845499999999999</v>
      </c>
      <c r="F803" t="s">
        <v>78</v>
      </c>
      <c r="G803" t="s">
        <v>83</v>
      </c>
      <c r="H803" t="str">
        <f>IF(COUNTIF(Sheet1!$A:$A,TEXT(A803,"0"))+COUNTIF(Sheet1!$A:$A,A803)&gt;0,"موجود","غير موجود")</f>
        <v>غير موجود</v>
      </c>
    </row>
    <row r="804" spans="1:8" x14ac:dyDescent="0.2">
      <c r="A804" t="s">
        <v>27</v>
      </c>
      <c r="B804" t="s">
        <v>917</v>
      </c>
      <c r="C804">
        <v>60</v>
      </c>
      <c r="D804">
        <v>50</v>
      </c>
      <c r="E804">
        <v>30</v>
      </c>
      <c r="F804" t="s">
        <v>78</v>
      </c>
      <c r="G804" t="s">
        <v>283</v>
      </c>
      <c r="H804" t="str">
        <f>IF(COUNTIF(Sheet1!$A:$A,TEXT(A804,"0"))+COUNTIF(Sheet1!$A:$A,A804)&gt;0,"موجود","غير موجود")</f>
        <v>موجود</v>
      </c>
    </row>
    <row r="805" spans="1:8" x14ac:dyDescent="0.2">
      <c r="A805" t="s">
        <v>18</v>
      </c>
      <c r="B805" t="s">
        <v>918</v>
      </c>
      <c r="C805">
        <v>87</v>
      </c>
      <c r="D805">
        <v>50</v>
      </c>
      <c r="E805">
        <v>43.5</v>
      </c>
      <c r="F805" t="s">
        <v>78</v>
      </c>
      <c r="G805" t="s">
        <v>283</v>
      </c>
      <c r="H805" t="str">
        <f>IF(COUNTIF(Sheet1!$A:$A,TEXT(A805,"0"))+COUNTIF(Sheet1!$A:$A,A805)&gt;0,"موجود","غير موجود")</f>
        <v>موجود</v>
      </c>
    </row>
    <row r="806" spans="1:8" x14ac:dyDescent="0.2">
      <c r="A806">
        <v>20715010213</v>
      </c>
      <c r="B806" t="s">
        <v>919</v>
      </c>
      <c r="C806">
        <v>46</v>
      </c>
      <c r="D806">
        <v>50</v>
      </c>
      <c r="E806">
        <v>23</v>
      </c>
      <c r="F806" t="s">
        <v>78</v>
      </c>
      <c r="G806" t="s">
        <v>83</v>
      </c>
      <c r="H806" t="str">
        <f>IF(COUNTIF(Sheet1!$A:$A,TEXT(A806,"0"))+COUNTIF(Sheet1!$A:$A,A806)&gt;0,"موجود","غير موجود")</f>
        <v>غير موجود</v>
      </c>
    </row>
    <row r="807" spans="1:8" x14ac:dyDescent="0.2">
      <c r="A807">
        <v>20715010215</v>
      </c>
      <c r="B807" t="s">
        <v>920</v>
      </c>
      <c r="C807">
        <v>58</v>
      </c>
      <c r="D807">
        <v>50</v>
      </c>
      <c r="E807">
        <v>29</v>
      </c>
      <c r="F807" t="s">
        <v>78</v>
      </c>
      <c r="G807" t="s">
        <v>83</v>
      </c>
      <c r="H807" t="str">
        <f>IF(COUNTIF(Sheet1!$A:$A,TEXT(A807,"0"))+COUNTIF(Sheet1!$A:$A,A807)&gt;0,"موجود","غير موجود")</f>
        <v>موجود</v>
      </c>
    </row>
    <row r="808" spans="1:8" x14ac:dyDescent="0.2">
      <c r="A808">
        <v>20715010216</v>
      </c>
      <c r="B808" t="s">
        <v>921</v>
      </c>
      <c r="C808">
        <v>56</v>
      </c>
      <c r="D808">
        <v>50</v>
      </c>
      <c r="E808">
        <v>28</v>
      </c>
      <c r="F808" t="s">
        <v>78</v>
      </c>
      <c r="G808" t="s">
        <v>83</v>
      </c>
      <c r="H808" t="str">
        <f>IF(COUNTIF(Sheet1!$A:$A,TEXT(A808,"0"))+COUNTIF(Sheet1!$A:$A,A808)&gt;0,"موجود","غير موجود")</f>
        <v>غير موجود</v>
      </c>
    </row>
    <row r="809" spans="1:8" x14ac:dyDescent="0.2">
      <c r="A809">
        <v>20715010260</v>
      </c>
      <c r="B809" t="s">
        <v>922</v>
      </c>
      <c r="C809">
        <v>46</v>
      </c>
      <c r="D809">
        <v>50</v>
      </c>
      <c r="E809">
        <v>23</v>
      </c>
      <c r="F809" t="s">
        <v>78</v>
      </c>
      <c r="G809" t="s">
        <v>83</v>
      </c>
      <c r="H809" t="str">
        <f>IF(COUNTIF(Sheet1!$A:$A,TEXT(A809,"0"))+COUNTIF(Sheet1!$A:$A,A809)&gt;0,"موجود","غير موجود")</f>
        <v>غير موجود</v>
      </c>
    </row>
    <row r="810" spans="1:8" x14ac:dyDescent="0.2">
      <c r="A810">
        <v>20715010268</v>
      </c>
      <c r="B810" t="s">
        <v>923</v>
      </c>
      <c r="C810">
        <v>46</v>
      </c>
      <c r="D810">
        <v>50</v>
      </c>
      <c r="E810">
        <v>23</v>
      </c>
      <c r="F810" t="s">
        <v>78</v>
      </c>
      <c r="G810" t="s">
        <v>83</v>
      </c>
      <c r="H810" t="str">
        <f>IF(COUNTIF(Sheet1!$A:$A,TEXT(A810,"0"))+COUNTIF(Sheet1!$A:$A,A810)&gt;0,"موجود","غير موجود")</f>
        <v>غير موجود</v>
      </c>
    </row>
    <row r="811" spans="1:8" x14ac:dyDescent="0.2">
      <c r="A811">
        <v>20715010335</v>
      </c>
      <c r="B811" t="s">
        <v>924</v>
      </c>
      <c r="C811">
        <v>76</v>
      </c>
      <c r="D811">
        <v>50</v>
      </c>
      <c r="E811">
        <v>38</v>
      </c>
      <c r="F811" t="s">
        <v>78</v>
      </c>
      <c r="G811" t="s">
        <v>83</v>
      </c>
      <c r="H811" t="str">
        <f>IF(COUNTIF(Sheet1!$A:$A,TEXT(A811,"0"))+COUNTIF(Sheet1!$A:$A,A811)&gt;0,"موجود","غير موجود")</f>
        <v>غير موجود</v>
      </c>
    </row>
    <row r="812" spans="1:8" x14ac:dyDescent="0.2">
      <c r="A812">
        <v>20715010460</v>
      </c>
      <c r="B812" t="s">
        <v>925</v>
      </c>
      <c r="C812">
        <v>39</v>
      </c>
      <c r="D812">
        <v>50</v>
      </c>
      <c r="E812">
        <v>19.5</v>
      </c>
      <c r="F812" t="s">
        <v>78</v>
      </c>
      <c r="G812" t="s">
        <v>83</v>
      </c>
      <c r="H812" t="str">
        <f>IF(COUNTIF(Sheet1!$A:$A,TEXT(A812,"0"))+COUNTIF(Sheet1!$A:$A,A812)&gt;0,"موجود","غير موجود")</f>
        <v>غير موجود</v>
      </c>
    </row>
    <row r="813" spans="1:8" x14ac:dyDescent="0.2">
      <c r="A813">
        <v>20715010461</v>
      </c>
      <c r="B813" t="s">
        <v>926</v>
      </c>
      <c r="C813">
        <v>39</v>
      </c>
      <c r="D813">
        <v>50</v>
      </c>
      <c r="E813">
        <v>19.5</v>
      </c>
      <c r="F813" t="s">
        <v>78</v>
      </c>
      <c r="G813" t="s">
        <v>83</v>
      </c>
      <c r="H813" t="str">
        <f>IF(COUNTIF(Sheet1!$A:$A,TEXT(A813,"0"))+COUNTIF(Sheet1!$A:$A,A813)&gt;0,"موجود","غير موجود")</f>
        <v>غير موجود</v>
      </c>
    </row>
    <row r="814" spans="1:8" x14ac:dyDescent="0.2">
      <c r="A814">
        <v>20715010463</v>
      </c>
      <c r="B814" t="s">
        <v>927</v>
      </c>
      <c r="C814">
        <v>80</v>
      </c>
      <c r="D814">
        <v>50</v>
      </c>
      <c r="E814">
        <v>40</v>
      </c>
      <c r="F814" t="s">
        <v>78</v>
      </c>
      <c r="G814" t="s">
        <v>83</v>
      </c>
      <c r="H814" t="str">
        <f>IF(COUNTIF(Sheet1!$A:$A,TEXT(A814,"0"))+COUNTIF(Sheet1!$A:$A,A814)&gt;0,"موجود","غير موجود")</f>
        <v>موجود</v>
      </c>
    </row>
    <row r="815" spans="1:8" x14ac:dyDescent="0.2">
      <c r="A815">
        <v>20715010464</v>
      </c>
      <c r="B815" t="s">
        <v>928</v>
      </c>
      <c r="C815">
        <v>86</v>
      </c>
      <c r="D815">
        <v>50</v>
      </c>
      <c r="E815">
        <v>43</v>
      </c>
      <c r="F815" t="s">
        <v>78</v>
      </c>
      <c r="G815" t="s">
        <v>83</v>
      </c>
      <c r="H815" t="str">
        <f>IF(COUNTIF(Sheet1!$A:$A,TEXT(A815,"0"))+COUNTIF(Sheet1!$A:$A,A815)&gt;0,"موجود","غير موجود")</f>
        <v>غير موجود</v>
      </c>
    </row>
    <row r="816" spans="1:8" x14ac:dyDescent="0.2">
      <c r="A816">
        <v>20715010465</v>
      </c>
      <c r="B816" t="s">
        <v>929</v>
      </c>
      <c r="C816">
        <v>86</v>
      </c>
      <c r="D816">
        <v>50</v>
      </c>
      <c r="E816">
        <v>43</v>
      </c>
      <c r="F816" t="s">
        <v>78</v>
      </c>
      <c r="G816" t="s">
        <v>83</v>
      </c>
      <c r="H816" t="str">
        <f>IF(COUNTIF(Sheet1!$A:$A,TEXT(A816,"0"))+COUNTIF(Sheet1!$A:$A,A816)&gt;0,"موجود","غير موجود")</f>
        <v>غير موجود</v>
      </c>
    </row>
    <row r="817" spans="1:8" x14ac:dyDescent="0.2">
      <c r="A817">
        <v>20715010466</v>
      </c>
      <c r="B817" t="s">
        <v>930</v>
      </c>
      <c r="C817">
        <v>86</v>
      </c>
      <c r="D817">
        <v>50</v>
      </c>
      <c r="E817">
        <v>43</v>
      </c>
      <c r="F817" t="s">
        <v>78</v>
      </c>
      <c r="G817" t="s">
        <v>83</v>
      </c>
      <c r="H817" t="str">
        <f>IF(COUNTIF(Sheet1!$A:$A,TEXT(A817,"0"))+COUNTIF(Sheet1!$A:$A,A817)&gt;0,"موجود","غير موجود")</f>
        <v>غير موجود</v>
      </c>
    </row>
    <row r="818" spans="1:8" x14ac:dyDescent="0.2">
      <c r="A818">
        <v>20309500497</v>
      </c>
      <c r="B818" t="s">
        <v>931</v>
      </c>
      <c r="C818">
        <v>17.2</v>
      </c>
      <c r="D818">
        <v>25</v>
      </c>
      <c r="E818">
        <v>12.899999999999999</v>
      </c>
      <c r="F818" t="s">
        <v>78</v>
      </c>
      <c r="G818" t="s">
        <v>79</v>
      </c>
      <c r="H818" t="str">
        <f>IF(COUNTIF(Sheet1!$A:$A,TEXT(A818,"0"))+COUNTIF(Sheet1!$A:$A,A818)&gt;0,"موجود","غير موجود")</f>
        <v>موجود</v>
      </c>
    </row>
    <row r="819" spans="1:8" x14ac:dyDescent="0.2">
      <c r="A819">
        <v>20309500498</v>
      </c>
      <c r="B819" t="s">
        <v>932</v>
      </c>
      <c r="C819">
        <v>17.2</v>
      </c>
      <c r="D819">
        <v>25</v>
      </c>
      <c r="E819">
        <v>12.899999999999999</v>
      </c>
      <c r="F819" t="s">
        <v>78</v>
      </c>
      <c r="G819" t="s">
        <v>79</v>
      </c>
      <c r="H819" t="str">
        <f>IF(COUNTIF(Sheet1!$A:$A,TEXT(A819,"0"))+COUNTIF(Sheet1!$A:$A,A819)&gt;0,"موجود","غير موجود")</f>
        <v>موجود</v>
      </c>
    </row>
    <row r="820" spans="1:8" x14ac:dyDescent="0.2">
      <c r="A820">
        <v>20309500499</v>
      </c>
      <c r="B820" t="s">
        <v>933</v>
      </c>
      <c r="C820">
        <v>17.2</v>
      </c>
      <c r="D820">
        <v>25</v>
      </c>
      <c r="E820">
        <v>12.899999999999999</v>
      </c>
      <c r="F820" t="s">
        <v>78</v>
      </c>
      <c r="G820" t="s">
        <v>79</v>
      </c>
      <c r="H820" t="str">
        <f>IF(COUNTIF(Sheet1!$A:$A,TEXT(A820,"0"))+COUNTIF(Sheet1!$A:$A,A820)&gt;0,"موجود","غير موجود")</f>
        <v>موجود</v>
      </c>
    </row>
    <row r="821" spans="1:8" x14ac:dyDescent="0.2">
      <c r="A821">
        <v>20309500500</v>
      </c>
      <c r="B821" t="s">
        <v>934</v>
      </c>
      <c r="C821">
        <v>35.5</v>
      </c>
      <c r="D821">
        <v>20</v>
      </c>
      <c r="E821">
        <v>28.4</v>
      </c>
      <c r="F821" t="s">
        <v>78</v>
      </c>
      <c r="G821" t="s">
        <v>79</v>
      </c>
      <c r="H821" t="str">
        <f>IF(COUNTIF(Sheet1!$A:$A,TEXT(A821,"0"))+COUNTIF(Sheet1!$A:$A,A821)&gt;0,"موجود","غير موجود")</f>
        <v>موجود</v>
      </c>
    </row>
    <row r="822" spans="1:8" x14ac:dyDescent="0.2">
      <c r="A822">
        <v>20309500501</v>
      </c>
      <c r="B822" t="s">
        <v>935</v>
      </c>
      <c r="C822">
        <v>35.5</v>
      </c>
      <c r="D822">
        <v>20</v>
      </c>
      <c r="E822">
        <v>28.4</v>
      </c>
      <c r="F822" t="s">
        <v>78</v>
      </c>
      <c r="G822" t="s">
        <v>79</v>
      </c>
      <c r="H822" t="str">
        <f>IF(COUNTIF(Sheet1!$A:$A,TEXT(A822,"0"))+COUNTIF(Sheet1!$A:$A,A822)&gt;0,"موجود","غير موجود")</f>
        <v>موجود</v>
      </c>
    </row>
    <row r="823" spans="1:8" x14ac:dyDescent="0.2">
      <c r="A823">
        <v>20309500503</v>
      </c>
      <c r="B823" t="s">
        <v>936</v>
      </c>
      <c r="C823">
        <v>35.5</v>
      </c>
      <c r="D823">
        <v>20</v>
      </c>
      <c r="E823">
        <v>28.4</v>
      </c>
      <c r="F823" t="s">
        <v>78</v>
      </c>
      <c r="G823" t="s">
        <v>79</v>
      </c>
      <c r="H823" t="str">
        <f>IF(COUNTIF(Sheet1!$A:$A,TEXT(A823,"0"))+COUNTIF(Sheet1!$A:$A,A823)&gt;0,"موجود","غير موجود")</f>
        <v>موجود</v>
      </c>
    </row>
    <row r="824" spans="1:8" x14ac:dyDescent="0.2">
      <c r="A824">
        <v>20816010032</v>
      </c>
      <c r="B824" t="s">
        <v>937</v>
      </c>
      <c r="C824">
        <v>170</v>
      </c>
      <c r="D824">
        <v>33</v>
      </c>
      <c r="E824">
        <v>113.9</v>
      </c>
      <c r="F824" t="s">
        <v>78</v>
      </c>
      <c r="G824" t="s">
        <v>79</v>
      </c>
      <c r="H824" t="str">
        <f>IF(COUNTIF(Sheet1!$A:$A,TEXT(A824,"0"))+COUNTIF(Sheet1!$A:$A,A824)&gt;0,"موجود","غير موجود")</f>
        <v>غير موجود</v>
      </c>
    </row>
    <row r="825" spans="1:8" x14ac:dyDescent="0.2">
      <c r="A825">
        <v>20816010045</v>
      </c>
      <c r="B825" t="s">
        <v>938</v>
      </c>
      <c r="C825">
        <v>135</v>
      </c>
      <c r="D825">
        <v>33</v>
      </c>
      <c r="E825">
        <v>90.45</v>
      </c>
      <c r="F825" t="s">
        <v>78</v>
      </c>
      <c r="G825" t="s">
        <v>79</v>
      </c>
      <c r="H825" t="str">
        <f>IF(COUNTIF(Sheet1!$A:$A,TEXT(A825,"0"))+COUNTIF(Sheet1!$A:$A,A825)&gt;0,"موجود","غير موجود")</f>
        <v>غير موجود</v>
      </c>
    </row>
    <row r="826" spans="1:8" x14ac:dyDescent="0.2">
      <c r="A826">
        <v>20715010116</v>
      </c>
      <c r="B826" t="s">
        <v>939</v>
      </c>
      <c r="C826">
        <v>86.5</v>
      </c>
      <c r="D826">
        <v>10</v>
      </c>
      <c r="E826">
        <v>77.849999999999994</v>
      </c>
      <c r="F826" t="s">
        <v>78</v>
      </c>
      <c r="G826" t="s">
        <v>83</v>
      </c>
      <c r="H826" t="str">
        <f>IF(COUNTIF(Sheet1!$A:$A,TEXT(A826,"0"))+COUNTIF(Sheet1!$A:$A,A826)&gt;0,"موجود","غير موجود")</f>
        <v>موجود</v>
      </c>
    </row>
    <row r="827" spans="1:8" x14ac:dyDescent="0.2">
      <c r="A827">
        <v>20715010118</v>
      </c>
      <c r="B827" t="s">
        <v>940</v>
      </c>
      <c r="C827">
        <v>86.5</v>
      </c>
      <c r="D827">
        <v>10</v>
      </c>
      <c r="E827">
        <v>77.849999999999994</v>
      </c>
      <c r="F827" t="s">
        <v>78</v>
      </c>
      <c r="G827" t="s">
        <v>83</v>
      </c>
      <c r="H827" t="str">
        <f>IF(COUNTIF(Sheet1!$A:$A,TEXT(A827,"0"))+COUNTIF(Sheet1!$A:$A,A827)&gt;0,"موجود","غير موجود")</f>
        <v>موجود</v>
      </c>
    </row>
    <row r="828" spans="1:8" x14ac:dyDescent="0.2">
      <c r="A828">
        <v>20715010127</v>
      </c>
      <c r="B828" t="s">
        <v>941</v>
      </c>
      <c r="C828">
        <v>82.6</v>
      </c>
      <c r="D828">
        <v>10</v>
      </c>
      <c r="E828">
        <v>74.339999999999989</v>
      </c>
      <c r="F828" t="s">
        <v>78</v>
      </c>
      <c r="G828" t="s">
        <v>83</v>
      </c>
      <c r="H828" t="str">
        <f>IF(COUNTIF(Sheet1!$A:$A,TEXT(A828,"0"))+COUNTIF(Sheet1!$A:$A,A828)&gt;0,"موجود","غير موجود")</f>
        <v>موجود</v>
      </c>
    </row>
    <row r="829" spans="1:8" x14ac:dyDescent="0.2">
      <c r="A829">
        <v>20309500575</v>
      </c>
      <c r="B829" t="s">
        <v>942</v>
      </c>
      <c r="C829">
        <v>62.4</v>
      </c>
      <c r="D829">
        <v>50</v>
      </c>
      <c r="E829">
        <v>31.2</v>
      </c>
      <c r="F829" t="s">
        <v>78</v>
      </c>
      <c r="G829" t="s">
        <v>79</v>
      </c>
      <c r="H829" t="str">
        <f>IF(COUNTIF(Sheet1!$A:$A,TEXT(A829,"0"))+COUNTIF(Sheet1!$A:$A,A829)&gt;0,"موجود","غير موجود")</f>
        <v>غير موجود</v>
      </c>
    </row>
    <row r="830" spans="1:8" x14ac:dyDescent="0.2">
      <c r="A830">
        <v>20309500921</v>
      </c>
      <c r="B830" t="s">
        <v>943</v>
      </c>
      <c r="C830">
        <v>44</v>
      </c>
      <c r="D830">
        <v>50</v>
      </c>
      <c r="E830">
        <v>22</v>
      </c>
      <c r="F830" t="s">
        <v>78</v>
      </c>
      <c r="G830" t="s">
        <v>79</v>
      </c>
      <c r="H830" t="str">
        <f>IF(COUNTIF(Sheet1!$A:$A,TEXT(A830,"0"))+COUNTIF(Sheet1!$A:$A,A830)&gt;0,"موجود","غير موجود")</f>
        <v>غير موجود</v>
      </c>
    </row>
    <row r="831" spans="1:8" x14ac:dyDescent="0.2">
      <c r="A831">
        <v>20315041108</v>
      </c>
      <c r="B831" t="s">
        <v>943</v>
      </c>
      <c r="C831">
        <v>47.080000000000005</v>
      </c>
      <c r="D831">
        <v>50</v>
      </c>
      <c r="E831">
        <v>23.54</v>
      </c>
      <c r="F831" t="s">
        <v>78</v>
      </c>
      <c r="G831" t="s">
        <v>79</v>
      </c>
      <c r="H831" t="str">
        <f>IF(COUNTIF(Sheet1!$A:$A,TEXT(A831,"0"))+COUNTIF(Sheet1!$A:$A,A831)&gt;0,"موجود","غير موجود")</f>
        <v>غير موجود</v>
      </c>
    </row>
    <row r="832" spans="1:8" x14ac:dyDescent="0.2">
      <c r="A832">
        <v>20315041107</v>
      </c>
      <c r="B832" t="s">
        <v>944</v>
      </c>
      <c r="C832">
        <v>44</v>
      </c>
      <c r="D832">
        <v>50</v>
      </c>
      <c r="E832">
        <v>22</v>
      </c>
      <c r="F832" t="s">
        <v>78</v>
      </c>
      <c r="G832" t="s">
        <v>79</v>
      </c>
      <c r="H832" t="str">
        <f>IF(COUNTIF(Sheet1!$A:$A,TEXT(A832,"0"))+COUNTIF(Sheet1!$A:$A,A832)&gt;0,"موجود","غير موجود")</f>
        <v>غير موجود</v>
      </c>
    </row>
    <row r="833" spans="1:8" x14ac:dyDescent="0.2">
      <c r="A833">
        <v>20315041179</v>
      </c>
      <c r="B833" t="s">
        <v>944</v>
      </c>
      <c r="C833">
        <v>42.800000000000004</v>
      </c>
      <c r="D833">
        <v>50</v>
      </c>
      <c r="E833">
        <v>21.400000000000006</v>
      </c>
      <c r="F833" t="s">
        <v>78</v>
      </c>
      <c r="G833" t="s">
        <v>79</v>
      </c>
      <c r="H833" t="str">
        <f>IF(COUNTIF(Sheet1!$A:$A,TEXT(A833,"0"))+COUNTIF(Sheet1!$A:$A,A833)&gt;0,"موجود","غير موجود")</f>
        <v>غير موجود</v>
      </c>
    </row>
    <row r="834" spans="1:8" x14ac:dyDescent="0.2">
      <c r="A834">
        <v>20315041105</v>
      </c>
      <c r="B834" t="s">
        <v>945</v>
      </c>
      <c r="C834">
        <v>61.300000000000004</v>
      </c>
      <c r="D834">
        <v>50</v>
      </c>
      <c r="E834">
        <v>30.650000000000006</v>
      </c>
      <c r="F834" t="s">
        <v>78</v>
      </c>
      <c r="G834" t="s">
        <v>79</v>
      </c>
      <c r="H834" t="str">
        <f>IF(COUNTIF(Sheet1!$A:$A,TEXT(A834,"0"))+COUNTIF(Sheet1!$A:$A,A834)&gt;0,"موجود","غير موجود")</f>
        <v>غير موجود</v>
      </c>
    </row>
    <row r="835" spans="1:8" x14ac:dyDescent="0.2">
      <c r="A835">
        <v>20315041106</v>
      </c>
      <c r="B835" t="s">
        <v>945</v>
      </c>
      <c r="C835">
        <v>57</v>
      </c>
      <c r="D835">
        <v>50</v>
      </c>
      <c r="E835">
        <v>28.5</v>
      </c>
      <c r="F835" t="s">
        <v>78</v>
      </c>
      <c r="G835" t="s">
        <v>79</v>
      </c>
      <c r="H835" t="str">
        <f>IF(COUNTIF(Sheet1!$A:$A,TEXT(A835,"0"))+COUNTIF(Sheet1!$A:$A,A835)&gt;0,"موجود","غير موجود")</f>
        <v>غير موجود</v>
      </c>
    </row>
    <row r="836" spans="1:8" x14ac:dyDescent="0.2">
      <c r="A836">
        <v>20315040273</v>
      </c>
      <c r="B836" t="s">
        <v>946</v>
      </c>
      <c r="C836">
        <v>61.3</v>
      </c>
      <c r="D836">
        <v>50</v>
      </c>
      <c r="E836">
        <v>30.65</v>
      </c>
      <c r="F836" t="s">
        <v>78</v>
      </c>
      <c r="G836" t="s">
        <v>79</v>
      </c>
      <c r="H836" t="str">
        <f>IF(COUNTIF(Sheet1!$A:$A,TEXT(A836,"0"))+COUNTIF(Sheet1!$A:$A,A836)&gt;0,"موجود","غير موجود")</f>
        <v>غير موجود</v>
      </c>
    </row>
    <row r="837" spans="1:8" x14ac:dyDescent="0.2">
      <c r="A837">
        <v>20315041120</v>
      </c>
      <c r="B837" t="s">
        <v>947</v>
      </c>
      <c r="C837">
        <v>185</v>
      </c>
      <c r="D837">
        <v>50</v>
      </c>
      <c r="E837">
        <v>92.5</v>
      </c>
      <c r="F837" t="s">
        <v>78</v>
      </c>
      <c r="G837" t="s">
        <v>79</v>
      </c>
      <c r="H837" t="str">
        <f>IF(COUNTIF(Sheet1!$A:$A,TEXT(A837,"0"))+COUNTIF(Sheet1!$A:$A,A837)&gt;0,"موجود","غير موجود")</f>
        <v>غير موجود</v>
      </c>
    </row>
    <row r="838" spans="1:8" x14ac:dyDescent="0.2">
      <c r="A838">
        <v>20315041109</v>
      </c>
      <c r="B838" t="s">
        <v>948</v>
      </c>
      <c r="C838">
        <v>50.29</v>
      </c>
      <c r="D838">
        <v>50</v>
      </c>
      <c r="E838">
        <v>25.145</v>
      </c>
      <c r="F838" t="s">
        <v>78</v>
      </c>
      <c r="G838" t="s">
        <v>79</v>
      </c>
      <c r="H838" t="str">
        <f>IF(COUNTIF(Sheet1!$A:$A,TEXT(A838,"0"))+COUNTIF(Sheet1!$A:$A,A838)&gt;0,"موجود","غير موجود")</f>
        <v>غير موجود</v>
      </c>
    </row>
    <row r="839" spans="1:8" x14ac:dyDescent="0.2">
      <c r="A839">
        <v>20315041111</v>
      </c>
      <c r="B839" t="s">
        <v>949</v>
      </c>
      <c r="C839">
        <v>55</v>
      </c>
      <c r="D839">
        <v>50</v>
      </c>
      <c r="E839">
        <v>27.5</v>
      </c>
      <c r="F839" t="s">
        <v>78</v>
      </c>
      <c r="G839" t="s">
        <v>79</v>
      </c>
      <c r="H839" t="str">
        <f>IF(COUNTIF(Sheet1!$A:$A,TEXT(A839,"0"))+COUNTIF(Sheet1!$A:$A,A839)&gt;0,"موجود","غير موجود")</f>
        <v>غير موجود</v>
      </c>
    </row>
    <row r="840" spans="1:8" x14ac:dyDescent="0.2">
      <c r="A840">
        <v>20315041112</v>
      </c>
      <c r="B840" t="s">
        <v>949</v>
      </c>
      <c r="C840">
        <v>50</v>
      </c>
      <c r="D840">
        <v>50</v>
      </c>
      <c r="E840">
        <v>25</v>
      </c>
      <c r="F840" t="s">
        <v>78</v>
      </c>
      <c r="G840" t="s">
        <v>79</v>
      </c>
      <c r="H840" t="str">
        <f>IF(COUNTIF(Sheet1!$A:$A,TEXT(A840,"0"))+COUNTIF(Sheet1!$A:$A,A840)&gt;0,"موجود","غير موجود")</f>
        <v>غير موجود</v>
      </c>
    </row>
    <row r="841" spans="1:8" x14ac:dyDescent="0.2">
      <c r="A841">
        <v>20315041102</v>
      </c>
      <c r="B841" t="s">
        <v>950</v>
      </c>
      <c r="C841">
        <v>41</v>
      </c>
      <c r="D841">
        <v>50</v>
      </c>
      <c r="E841">
        <v>20.5</v>
      </c>
      <c r="F841" t="s">
        <v>78</v>
      </c>
      <c r="G841" t="s">
        <v>79</v>
      </c>
      <c r="H841" t="str">
        <f>IF(COUNTIF(Sheet1!$A:$A,TEXT(A841,"0"))+COUNTIF(Sheet1!$A:$A,A841)&gt;0,"موجود","غير موجود")</f>
        <v>غير موجود</v>
      </c>
    </row>
    <row r="842" spans="1:8" x14ac:dyDescent="0.2">
      <c r="A842">
        <v>20315041149</v>
      </c>
      <c r="B842" t="s">
        <v>951</v>
      </c>
      <c r="C842">
        <v>47.080000000000005</v>
      </c>
      <c r="D842">
        <v>50</v>
      </c>
      <c r="E842">
        <v>23.54</v>
      </c>
      <c r="F842" t="s">
        <v>78</v>
      </c>
      <c r="G842" t="s">
        <v>79</v>
      </c>
      <c r="H842" t="str">
        <f>IF(COUNTIF(Sheet1!$A:$A,TEXT(A842,"0"))+COUNTIF(Sheet1!$A:$A,A842)&gt;0,"موجود","غير موجود")</f>
        <v>غير موجود</v>
      </c>
    </row>
    <row r="843" spans="1:8" x14ac:dyDescent="0.2">
      <c r="A843">
        <v>20315041101</v>
      </c>
      <c r="B843" t="s">
        <v>952</v>
      </c>
      <c r="C843">
        <v>41</v>
      </c>
      <c r="D843">
        <v>50</v>
      </c>
      <c r="E843">
        <v>20.5</v>
      </c>
      <c r="F843" t="s">
        <v>78</v>
      </c>
      <c r="G843" t="s">
        <v>79</v>
      </c>
      <c r="H843" t="str">
        <f>IF(COUNTIF(Sheet1!$A:$A,TEXT(A843,"0"))+COUNTIF(Sheet1!$A:$A,A843)&gt;0,"موجود","غير موجود")</f>
        <v>غير موجود</v>
      </c>
    </row>
    <row r="844" spans="1:8" x14ac:dyDescent="0.2">
      <c r="A844">
        <v>20315041103</v>
      </c>
      <c r="B844" t="s">
        <v>953</v>
      </c>
      <c r="C844">
        <v>47.300000000000004</v>
      </c>
      <c r="D844">
        <v>50</v>
      </c>
      <c r="E844">
        <v>23.650000000000006</v>
      </c>
      <c r="F844" t="s">
        <v>78</v>
      </c>
      <c r="G844" t="s">
        <v>79</v>
      </c>
      <c r="H844" t="str">
        <f>IF(COUNTIF(Sheet1!$A:$A,TEXT(A844,"0"))+COUNTIF(Sheet1!$A:$A,A844)&gt;0,"موجود","غير موجود")</f>
        <v>غير موجود</v>
      </c>
    </row>
    <row r="845" spans="1:8" x14ac:dyDescent="0.2">
      <c r="A845">
        <v>20315040188</v>
      </c>
      <c r="B845" t="s">
        <v>954</v>
      </c>
      <c r="C845">
        <v>46.01</v>
      </c>
      <c r="D845">
        <v>50</v>
      </c>
      <c r="E845">
        <v>23.004999999999999</v>
      </c>
      <c r="F845" t="s">
        <v>78</v>
      </c>
      <c r="G845" t="s">
        <v>79</v>
      </c>
      <c r="H845" t="str">
        <f>IF(COUNTIF(Sheet1!$A:$A,TEXT(A845,"0"))+COUNTIF(Sheet1!$A:$A,A845)&gt;0,"موجود","غير موجود")</f>
        <v>غير موجود</v>
      </c>
    </row>
    <row r="846" spans="1:8" x14ac:dyDescent="0.2">
      <c r="A846">
        <v>20315041110</v>
      </c>
      <c r="B846" t="s">
        <v>955</v>
      </c>
      <c r="C846">
        <v>50.5</v>
      </c>
      <c r="D846">
        <v>50</v>
      </c>
      <c r="E846">
        <v>25.25</v>
      </c>
      <c r="F846" t="s">
        <v>78</v>
      </c>
      <c r="G846" t="s">
        <v>79</v>
      </c>
      <c r="H846" t="str">
        <f>IF(COUNTIF(Sheet1!$A:$A,TEXT(A846,"0"))+COUNTIF(Sheet1!$A:$A,A846)&gt;0,"موجود","غير موجود")</f>
        <v>غير موجود</v>
      </c>
    </row>
    <row r="847" spans="1:8" x14ac:dyDescent="0.2">
      <c r="A847">
        <v>20309501128</v>
      </c>
      <c r="B847" t="s">
        <v>956</v>
      </c>
      <c r="C847">
        <v>68.48</v>
      </c>
      <c r="D847">
        <v>50</v>
      </c>
      <c r="E847">
        <v>34.24</v>
      </c>
      <c r="F847" t="s">
        <v>78</v>
      </c>
      <c r="G847" t="s">
        <v>79</v>
      </c>
      <c r="H847" t="str">
        <f>IF(COUNTIF(Sheet1!$A:$A,TEXT(A847,"0"))+COUNTIF(Sheet1!$A:$A,A847)&gt;0,"موجود","غير موجود")</f>
        <v>غير موجود</v>
      </c>
    </row>
    <row r="848" spans="1:8" x14ac:dyDescent="0.2">
      <c r="A848">
        <v>20315041130</v>
      </c>
      <c r="B848" t="s">
        <v>957</v>
      </c>
      <c r="C848">
        <v>41.730000000000004</v>
      </c>
      <c r="D848">
        <v>50</v>
      </c>
      <c r="E848">
        <v>20.865000000000006</v>
      </c>
      <c r="F848" t="s">
        <v>78</v>
      </c>
      <c r="G848" t="s">
        <v>79</v>
      </c>
      <c r="H848" t="str">
        <f>IF(COUNTIF(Sheet1!$A:$A,TEXT(A848,"0"))+COUNTIF(Sheet1!$A:$A,A848)&gt;0,"موجود","غير موجود")</f>
        <v>غير موجود</v>
      </c>
    </row>
    <row r="849" spans="1:8" x14ac:dyDescent="0.2">
      <c r="A849">
        <v>20315041131</v>
      </c>
      <c r="B849" t="s">
        <v>958</v>
      </c>
      <c r="C849">
        <v>41.73</v>
      </c>
      <c r="D849">
        <v>50</v>
      </c>
      <c r="E849">
        <v>20.864999999999998</v>
      </c>
      <c r="F849" t="s">
        <v>78</v>
      </c>
      <c r="G849" t="s">
        <v>79</v>
      </c>
      <c r="H849" t="str">
        <f>IF(COUNTIF(Sheet1!$A:$A,TEXT(A849,"0"))+COUNTIF(Sheet1!$A:$A,A849)&gt;0,"موجود","غير موجود")</f>
        <v>غير موجود</v>
      </c>
    </row>
    <row r="850" spans="1:8" x14ac:dyDescent="0.2">
      <c r="A850">
        <v>20315041133</v>
      </c>
      <c r="B850" t="s">
        <v>959</v>
      </c>
      <c r="C850">
        <v>19.260000000000002</v>
      </c>
      <c r="D850">
        <v>50</v>
      </c>
      <c r="E850">
        <v>9.6300000000000008</v>
      </c>
      <c r="F850" t="s">
        <v>78</v>
      </c>
      <c r="G850" t="s">
        <v>79</v>
      </c>
      <c r="H850" t="str">
        <f>IF(COUNTIF(Sheet1!$A:$A,TEXT(A850,"0"))+COUNTIF(Sheet1!$A:$A,A850)&gt;0,"موجود","غير موجود")</f>
        <v>غير موجود</v>
      </c>
    </row>
    <row r="851" spans="1:8" x14ac:dyDescent="0.2">
      <c r="A851">
        <v>20315041100</v>
      </c>
      <c r="B851" t="s">
        <v>960</v>
      </c>
      <c r="C851">
        <v>57</v>
      </c>
      <c r="D851">
        <v>50</v>
      </c>
      <c r="E851">
        <v>28.5</v>
      </c>
      <c r="F851" t="s">
        <v>78</v>
      </c>
      <c r="G851" t="s">
        <v>79</v>
      </c>
      <c r="H851" t="str">
        <f>IF(COUNTIF(Sheet1!$A:$A,TEXT(A851,"0"))+COUNTIF(Sheet1!$A:$A,A851)&gt;0,"موجود","غير موجود")</f>
        <v>غير موجود</v>
      </c>
    </row>
    <row r="852" spans="1:8" x14ac:dyDescent="0.2">
      <c r="A852">
        <v>20315041042</v>
      </c>
      <c r="B852" t="s">
        <v>961</v>
      </c>
      <c r="C852">
        <v>57</v>
      </c>
      <c r="D852">
        <v>50</v>
      </c>
      <c r="E852">
        <v>28.5</v>
      </c>
      <c r="F852" t="s">
        <v>78</v>
      </c>
      <c r="G852" t="s">
        <v>79</v>
      </c>
      <c r="H852" t="str">
        <f>IF(COUNTIF(Sheet1!$A:$A,TEXT(A852,"0"))+COUNTIF(Sheet1!$A:$A,A852)&gt;0,"موجود","غير موجود")</f>
        <v>غير موجود</v>
      </c>
    </row>
    <row r="853" spans="1:8" x14ac:dyDescent="0.2">
      <c r="A853">
        <v>20315041135</v>
      </c>
      <c r="B853" t="s">
        <v>962</v>
      </c>
      <c r="C853">
        <v>23.54</v>
      </c>
      <c r="D853">
        <v>50</v>
      </c>
      <c r="E853">
        <v>11.77</v>
      </c>
      <c r="F853" t="s">
        <v>78</v>
      </c>
      <c r="G853" t="s">
        <v>79</v>
      </c>
      <c r="H853" t="str">
        <f>IF(COUNTIF(Sheet1!$A:$A,TEXT(A853,"0"))+COUNTIF(Sheet1!$A:$A,A853)&gt;0,"موجود","غير موجود")</f>
        <v>غير موجود</v>
      </c>
    </row>
    <row r="854" spans="1:8" x14ac:dyDescent="0.2">
      <c r="A854">
        <v>20315041173</v>
      </c>
      <c r="B854" t="s">
        <v>963</v>
      </c>
      <c r="C854">
        <v>23.65</v>
      </c>
      <c r="D854">
        <v>50</v>
      </c>
      <c r="E854">
        <v>11.824999999999999</v>
      </c>
      <c r="F854" t="s">
        <v>78</v>
      </c>
      <c r="G854" t="s">
        <v>79</v>
      </c>
      <c r="H854" t="str">
        <f>IF(COUNTIF(Sheet1!$A:$A,TEXT(A854,"0"))+COUNTIF(Sheet1!$A:$A,A854)&gt;0,"موجود","غير موجود")</f>
        <v>غير موجود</v>
      </c>
    </row>
    <row r="855" spans="1:8" x14ac:dyDescent="0.2">
      <c r="A855">
        <v>20315041136</v>
      </c>
      <c r="B855" t="s">
        <v>964</v>
      </c>
      <c r="C855">
        <v>23.65</v>
      </c>
      <c r="D855">
        <v>50</v>
      </c>
      <c r="E855">
        <v>11.824999999999999</v>
      </c>
      <c r="F855" t="s">
        <v>78</v>
      </c>
      <c r="G855" t="s">
        <v>79</v>
      </c>
      <c r="H855" t="str">
        <f>IF(COUNTIF(Sheet1!$A:$A,TEXT(A855,"0"))+COUNTIF(Sheet1!$A:$A,A855)&gt;0,"موجود","غير موجود")</f>
        <v>غير موجود</v>
      </c>
    </row>
    <row r="856" spans="1:8" x14ac:dyDescent="0.2">
      <c r="A856">
        <v>20315041217</v>
      </c>
      <c r="B856" t="s">
        <v>965</v>
      </c>
      <c r="C856">
        <v>45</v>
      </c>
      <c r="D856">
        <v>50</v>
      </c>
      <c r="E856">
        <v>22.5</v>
      </c>
      <c r="F856" t="s">
        <v>78</v>
      </c>
      <c r="G856" t="s">
        <v>79</v>
      </c>
      <c r="H856" t="str">
        <f>IF(COUNTIF(Sheet1!$A:$A,TEXT(A856,"0"))+COUNTIF(Sheet1!$A:$A,A856)&gt;0,"موجود","غير موجود")</f>
        <v>غير موجود</v>
      </c>
    </row>
    <row r="857" spans="1:8" x14ac:dyDescent="0.2">
      <c r="A857">
        <v>20315041113</v>
      </c>
      <c r="B857" t="s">
        <v>966</v>
      </c>
      <c r="C857">
        <v>28</v>
      </c>
      <c r="D857">
        <v>50</v>
      </c>
      <c r="E857">
        <v>14</v>
      </c>
      <c r="F857" t="s">
        <v>78</v>
      </c>
      <c r="G857" t="s">
        <v>79</v>
      </c>
      <c r="H857" t="str">
        <f>IF(COUNTIF(Sheet1!$A:$A,TEXT(A857,"0"))+COUNTIF(Sheet1!$A:$A,A857)&gt;0,"موجود","غير موجود")</f>
        <v>غير موجود</v>
      </c>
    </row>
    <row r="858" spans="1:8" x14ac:dyDescent="0.2">
      <c r="A858">
        <v>20309501127</v>
      </c>
      <c r="B858" t="s">
        <v>967</v>
      </c>
      <c r="C858">
        <v>55.9</v>
      </c>
      <c r="D858">
        <v>50</v>
      </c>
      <c r="E858">
        <v>27.95</v>
      </c>
      <c r="F858" t="s">
        <v>78</v>
      </c>
      <c r="G858" t="s">
        <v>79</v>
      </c>
      <c r="H858" t="str">
        <f>IF(COUNTIF(Sheet1!$A:$A,TEXT(A858,"0"))+COUNTIF(Sheet1!$A:$A,A858)&gt;0,"موجود","غير موجود")</f>
        <v>غير موجود</v>
      </c>
    </row>
    <row r="859" spans="1:8" x14ac:dyDescent="0.2">
      <c r="A859">
        <v>20309501126</v>
      </c>
      <c r="B859" t="s">
        <v>968</v>
      </c>
      <c r="C859">
        <v>56</v>
      </c>
      <c r="D859">
        <v>50</v>
      </c>
      <c r="E859">
        <v>28</v>
      </c>
      <c r="F859" t="s">
        <v>78</v>
      </c>
      <c r="G859" t="s">
        <v>79</v>
      </c>
      <c r="H859" t="str">
        <f>IF(COUNTIF(Sheet1!$A:$A,TEXT(A859,"0"))+COUNTIF(Sheet1!$A:$A,A859)&gt;0,"موجود","غير موجود")</f>
        <v>غير موجود</v>
      </c>
    </row>
    <row r="860" spans="1:8" x14ac:dyDescent="0.2">
      <c r="A860">
        <v>20315040269</v>
      </c>
      <c r="B860" t="s">
        <v>969</v>
      </c>
      <c r="C860">
        <v>56</v>
      </c>
      <c r="D860">
        <v>50</v>
      </c>
      <c r="E860">
        <v>28</v>
      </c>
      <c r="F860" t="s">
        <v>78</v>
      </c>
      <c r="G860" t="s">
        <v>79</v>
      </c>
      <c r="H860" t="str">
        <f>IF(COUNTIF(Sheet1!$A:$A,TEXT(A860,"0"))+COUNTIF(Sheet1!$A:$A,A860)&gt;0,"موجود","غير موجود")</f>
        <v>غير موجود</v>
      </c>
    </row>
    <row r="861" spans="1:8" x14ac:dyDescent="0.2">
      <c r="A861">
        <v>20315041114</v>
      </c>
      <c r="B861" t="s">
        <v>970</v>
      </c>
      <c r="C861">
        <v>34.400000000000006</v>
      </c>
      <c r="D861">
        <v>50</v>
      </c>
      <c r="E861">
        <v>17.200000000000003</v>
      </c>
      <c r="F861" t="s">
        <v>78</v>
      </c>
      <c r="G861" t="s">
        <v>79</v>
      </c>
      <c r="H861" t="str">
        <f>IF(COUNTIF(Sheet1!$A:$A,TEXT(A861,"0"))+COUNTIF(Sheet1!$A:$A,A861)&gt;0,"موجود","غير موجود")</f>
        <v>غير موجود</v>
      </c>
    </row>
    <row r="862" spans="1:8" x14ac:dyDescent="0.2">
      <c r="A862">
        <v>20315041115</v>
      </c>
      <c r="B862" t="s">
        <v>971</v>
      </c>
      <c r="C862">
        <v>44</v>
      </c>
      <c r="D862">
        <v>50</v>
      </c>
      <c r="E862">
        <v>22</v>
      </c>
      <c r="F862" t="s">
        <v>78</v>
      </c>
      <c r="G862" t="s">
        <v>79</v>
      </c>
      <c r="H862" t="str">
        <f>IF(COUNTIF(Sheet1!$A:$A,TEXT(A862,"0"))+COUNTIF(Sheet1!$A:$A,A862)&gt;0,"موجود","غير موجود")</f>
        <v>غير موجود</v>
      </c>
    </row>
    <row r="863" spans="1:8" x14ac:dyDescent="0.2">
      <c r="A863">
        <v>20315041116</v>
      </c>
      <c r="B863" t="s">
        <v>972</v>
      </c>
      <c r="C863">
        <v>41</v>
      </c>
      <c r="D863">
        <v>50</v>
      </c>
      <c r="E863">
        <v>20.5</v>
      </c>
      <c r="F863" t="s">
        <v>78</v>
      </c>
      <c r="G863" t="s">
        <v>79</v>
      </c>
      <c r="H863" t="str">
        <f>IF(COUNTIF(Sheet1!$A:$A,TEXT(A863,"0"))+COUNTIF(Sheet1!$A:$A,A863)&gt;0,"موجود","غير موجود")</f>
        <v>غير موجود</v>
      </c>
    </row>
    <row r="864" spans="1:8" x14ac:dyDescent="0.2">
      <c r="A864">
        <v>20315041145</v>
      </c>
      <c r="B864" t="s">
        <v>973</v>
      </c>
      <c r="C864">
        <v>25</v>
      </c>
      <c r="D864">
        <v>50</v>
      </c>
      <c r="E864">
        <v>12.5</v>
      </c>
      <c r="F864" t="s">
        <v>78</v>
      </c>
      <c r="G864" t="s">
        <v>79</v>
      </c>
      <c r="H864" t="str">
        <f>IF(COUNTIF(Sheet1!$A:$A,TEXT(A864,"0"))+COUNTIF(Sheet1!$A:$A,A864)&gt;0,"موجود","غير موجود")</f>
        <v>غير موجود</v>
      </c>
    </row>
    <row r="865" spans="1:8" x14ac:dyDescent="0.2">
      <c r="A865">
        <v>20315041140</v>
      </c>
      <c r="B865" t="s">
        <v>974</v>
      </c>
      <c r="C865">
        <v>25</v>
      </c>
      <c r="D865">
        <v>50</v>
      </c>
      <c r="E865">
        <v>12.5</v>
      </c>
      <c r="F865" t="s">
        <v>78</v>
      </c>
      <c r="G865" t="s">
        <v>79</v>
      </c>
      <c r="H865" t="str">
        <f>IF(COUNTIF(Sheet1!$A:$A,TEXT(A865,"0"))+COUNTIF(Sheet1!$A:$A,A865)&gt;0,"موجود","غير موجود")</f>
        <v>غير موجود</v>
      </c>
    </row>
    <row r="866" spans="1:8" x14ac:dyDescent="0.2">
      <c r="A866">
        <v>20315041148</v>
      </c>
      <c r="B866" t="s">
        <v>975</v>
      </c>
      <c r="C866">
        <v>53</v>
      </c>
      <c r="D866">
        <v>50</v>
      </c>
      <c r="E866">
        <v>26.5</v>
      </c>
      <c r="F866" t="s">
        <v>78</v>
      </c>
      <c r="G866" t="s">
        <v>79</v>
      </c>
      <c r="H866" t="str">
        <f>IF(COUNTIF(Sheet1!$A:$A,TEXT(A866,"0"))+COUNTIF(Sheet1!$A:$A,A866)&gt;0,"موجود","غير موجود")</f>
        <v>غير موجود</v>
      </c>
    </row>
    <row r="867" spans="1:8" x14ac:dyDescent="0.2">
      <c r="A867">
        <v>20315041099</v>
      </c>
      <c r="B867" t="s">
        <v>976</v>
      </c>
      <c r="C867">
        <v>53</v>
      </c>
      <c r="D867">
        <v>50</v>
      </c>
      <c r="E867">
        <v>26.5</v>
      </c>
      <c r="F867" t="s">
        <v>78</v>
      </c>
      <c r="G867" t="s">
        <v>79</v>
      </c>
      <c r="H867" t="str">
        <f>IF(COUNTIF(Sheet1!$A:$A,TEXT(A867,"0"))+COUNTIF(Sheet1!$A:$A,A867)&gt;0,"موجود","غير موجود")</f>
        <v>غير موجود</v>
      </c>
    </row>
    <row r="868" spans="1:8" x14ac:dyDescent="0.2">
      <c r="A868">
        <v>20315041144</v>
      </c>
      <c r="B868" t="s">
        <v>977</v>
      </c>
      <c r="C868">
        <v>13</v>
      </c>
      <c r="D868">
        <v>50</v>
      </c>
      <c r="E868">
        <v>6.5</v>
      </c>
      <c r="F868" t="s">
        <v>78</v>
      </c>
      <c r="G868" t="s">
        <v>79</v>
      </c>
      <c r="H868" t="str">
        <f>IF(COUNTIF(Sheet1!$A:$A,TEXT(A868,"0"))+COUNTIF(Sheet1!$A:$A,A868)&gt;0,"موجود","غير موجود")</f>
        <v>غير موجود</v>
      </c>
    </row>
    <row r="869" spans="1:8" x14ac:dyDescent="0.2">
      <c r="A869">
        <v>20315040189</v>
      </c>
      <c r="B869" t="s">
        <v>978</v>
      </c>
      <c r="C869">
        <v>35.1</v>
      </c>
      <c r="D869">
        <v>50</v>
      </c>
      <c r="E869">
        <v>17.55</v>
      </c>
      <c r="F869" t="s">
        <v>78</v>
      </c>
      <c r="G869" t="s">
        <v>79</v>
      </c>
      <c r="H869" t="str">
        <f>IF(COUNTIF(Sheet1!$A:$A,TEXT(A869,"0"))+COUNTIF(Sheet1!$A:$A,A869)&gt;0,"موجود","غير موجود")</f>
        <v>غير موجود</v>
      </c>
    </row>
    <row r="870" spans="1:8" x14ac:dyDescent="0.2">
      <c r="A870">
        <v>20309500551</v>
      </c>
      <c r="B870" t="s">
        <v>979</v>
      </c>
      <c r="C870">
        <v>35.31</v>
      </c>
      <c r="D870">
        <v>50</v>
      </c>
      <c r="E870">
        <v>17.655000000000001</v>
      </c>
      <c r="F870" t="s">
        <v>78</v>
      </c>
      <c r="G870" t="s">
        <v>79</v>
      </c>
      <c r="H870" t="str">
        <f>IF(COUNTIF(Sheet1!$A:$A,TEXT(A870,"0"))+COUNTIF(Sheet1!$A:$A,A870)&gt;0,"موجود","غير موجود")</f>
        <v>غير موجود</v>
      </c>
    </row>
    <row r="871" spans="1:8" x14ac:dyDescent="0.2">
      <c r="A871">
        <v>20315041124</v>
      </c>
      <c r="B871" t="s">
        <v>980</v>
      </c>
      <c r="C871">
        <v>40.6</v>
      </c>
      <c r="D871">
        <v>50</v>
      </c>
      <c r="E871">
        <v>20.3</v>
      </c>
      <c r="F871" t="s">
        <v>78</v>
      </c>
      <c r="G871" t="s">
        <v>79</v>
      </c>
      <c r="H871" t="str">
        <f>IF(COUNTIF(Sheet1!$A:$A,TEXT(A871,"0"))+COUNTIF(Sheet1!$A:$A,A871)&gt;0,"موجود","غير موجود")</f>
        <v>غير موجود</v>
      </c>
    </row>
    <row r="872" spans="1:8" x14ac:dyDescent="0.2">
      <c r="A872">
        <v>20309500920</v>
      </c>
      <c r="B872" t="s">
        <v>981</v>
      </c>
      <c r="C872">
        <v>32.25</v>
      </c>
      <c r="D872">
        <v>50</v>
      </c>
      <c r="E872">
        <v>16.125</v>
      </c>
      <c r="F872" t="s">
        <v>78</v>
      </c>
      <c r="G872" t="s">
        <v>79</v>
      </c>
      <c r="H872" t="str">
        <f>IF(COUNTIF(Sheet1!$A:$A,TEXT(A872,"0"))+COUNTIF(Sheet1!$A:$A,A872)&gt;0,"موجود","غير موجود")</f>
        <v>غير موجود</v>
      </c>
    </row>
    <row r="873" spans="1:8" x14ac:dyDescent="0.2">
      <c r="A873">
        <v>20315041137</v>
      </c>
      <c r="B873" t="s">
        <v>982</v>
      </c>
      <c r="C873">
        <v>41</v>
      </c>
      <c r="D873">
        <v>50</v>
      </c>
      <c r="E873">
        <v>20.5</v>
      </c>
      <c r="F873" t="s">
        <v>78</v>
      </c>
      <c r="G873" t="s">
        <v>79</v>
      </c>
      <c r="H873" t="str">
        <f>IF(COUNTIF(Sheet1!$A:$A,TEXT(A873,"0"))+COUNTIF(Sheet1!$A:$A,A873)&gt;0,"موجود","غير موجود")</f>
        <v>غير موجود</v>
      </c>
    </row>
    <row r="874" spans="1:8" x14ac:dyDescent="0.2">
      <c r="A874">
        <v>20315041146</v>
      </c>
      <c r="B874" t="s">
        <v>983</v>
      </c>
      <c r="C874">
        <v>32</v>
      </c>
      <c r="D874">
        <v>50</v>
      </c>
      <c r="E874">
        <v>16</v>
      </c>
      <c r="F874" t="s">
        <v>78</v>
      </c>
      <c r="G874" t="s">
        <v>79</v>
      </c>
      <c r="H874" t="str">
        <f>IF(COUNTIF(Sheet1!$A:$A,TEXT(A874,"0"))+COUNTIF(Sheet1!$A:$A,A874)&gt;0,"موجود","غير موجود")</f>
        <v>غير موجود</v>
      </c>
    </row>
    <row r="875" spans="1:8" x14ac:dyDescent="0.2">
      <c r="A875">
        <v>20315041117</v>
      </c>
      <c r="B875" t="s">
        <v>984</v>
      </c>
      <c r="C875">
        <v>34.24</v>
      </c>
      <c r="D875">
        <v>50</v>
      </c>
      <c r="E875">
        <v>17.12</v>
      </c>
      <c r="F875" t="s">
        <v>78</v>
      </c>
      <c r="G875" t="s">
        <v>79</v>
      </c>
      <c r="H875" t="str">
        <f>IF(COUNTIF(Sheet1!$A:$A,TEXT(A875,"0"))+COUNTIF(Sheet1!$A:$A,A875)&gt;0,"موجود","غير موجود")</f>
        <v>غير موجود</v>
      </c>
    </row>
    <row r="876" spans="1:8" x14ac:dyDescent="0.2">
      <c r="A876">
        <v>20315041104</v>
      </c>
      <c r="B876" t="s">
        <v>985</v>
      </c>
      <c r="C876">
        <v>44</v>
      </c>
      <c r="D876">
        <v>50</v>
      </c>
      <c r="E876">
        <v>22</v>
      </c>
      <c r="F876" t="s">
        <v>78</v>
      </c>
      <c r="G876" t="s">
        <v>79</v>
      </c>
      <c r="H876" t="str">
        <f>IF(COUNTIF(Sheet1!$A:$A,TEXT(A876,"0"))+COUNTIF(Sheet1!$A:$A,A876)&gt;0,"موجود","غير موجود")</f>
        <v>غير موجود</v>
      </c>
    </row>
    <row r="877" spans="1:8" x14ac:dyDescent="0.2">
      <c r="A877">
        <v>20315041119</v>
      </c>
      <c r="B877" t="s">
        <v>986</v>
      </c>
      <c r="C877">
        <v>34.5</v>
      </c>
      <c r="D877">
        <v>50</v>
      </c>
      <c r="E877">
        <v>17.25</v>
      </c>
      <c r="F877" t="s">
        <v>78</v>
      </c>
      <c r="G877" t="s">
        <v>79</v>
      </c>
      <c r="H877" t="str">
        <f>IF(COUNTIF(Sheet1!$A:$A,TEXT(A877,"0"))+COUNTIF(Sheet1!$A:$A,A877)&gt;0,"موجود","غير موجود")</f>
        <v>غير موجود</v>
      </c>
    </row>
    <row r="878" spans="1:8" x14ac:dyDescent="0.2">
      <c r="A878">
        <v>20315041118</v>
      </c>
      <c r="B878" t="s">
        <v>987</v>
      </c>
      <c r="C878">
        <v>34.24</v>
      </c>
      <c r="D878">
        <v>50</v>
      </c>
      <c r="E878">
        <v>17.12</v>
      </c>
      <c r="F878" t="s">
        <v>78</v>
      </c>
      <c r="G878" t="s">
        <v>79</v>
      </c>
      <c r="H878" t="str">
        <f>IF(COUNTIF(Sheet1!$A:$A,TEXT(A878,"0"))+COUNTIF(Sheet1!$A:$A,A878)&gt;0,"موجود","غير موجود")</f>
        <v>غير موجود</v>
      </c>
    </row>
    <row r="879" spans="1:8" x14ac:dyDescent="0.2">
      <c r="A879">
        <v>20315040497</v>
      </c>
      <c r="B879" t="s">
        <v>988</v>
      </c>
      <c r="C879">
        <v>61.300000000000004</v>
      </c>
      <c r="D879">
        <v>50</v>
      </c>
      <c r="E879">
        <v>30.650000000000006</v>
      </c>
      <c r="F879" t="s">
        <v>78</v>
      </c>
      <c r="G879" t="s">
        <v>79</v>
      </c>
      <c r="H879" t="str">
        <f>IF(COUNTIF(Sheet1!$A:$A,TEXT(A879,"0"))+COUNTIF(Sheet1!$A:$A,A879)&gt;0,"موجود","غير موجود")</f>
        <v>غير موجود</v>
      </c>
    </row>
    <row r="880" spans="1:8" x14ac:dyDescent="0.2">
      <c r="A880">
        <v>20315040498</v>
      </c>
      <c r="B880" t="s">
        <v>989</v>
      </c>
      <c r="C880">
        <v>61.300000000000004</v>
      </c>
      <c r="D880">
        <v>50</v>
      </c>
      <c r="E880">
        <v>30.650000000000006</v>
      </c>
      <c r="F880" t="s">
        <v>78</v>
      </c>
      <c r="G880" t="s">
        <v>79</v>
      </c>
      <c r="H880" t="str">
        <f>IF(COUNTIF(Sheet1!$A:$A,TEXT(A880,"0"))+COUNTIF(Sheet1!$A:$A,A880)&gt;0,"موجود","غير موجود")</f>
        <v>غير موجود</v>
      </c>
    </row>
    <row r="881" spans="1:8" x14ac:dyDescent="0.2">
      <c r="A881">
        <v>20309060739</v>
      </c>
      <c r="B881" t="s">
        <v>990</v>
      </c>
      <c r="C881">
        <v>14.3</v>
      </c>
      <c r="D881">
        <v>30</v>
      </c>
      <c r="E881">
        <v>10.010000000000002</v>
      </c>
      <c r="F881" t="s">
        <v>78</v>
      </c>
      <c r="G881" t="s">
        <v>79</v>
      </c>
      <c r="H881" t="str">
        <f>IF(COUNTIF(Sheet1!$A:$A,TEXT(A881,"0"))+COUNTIF(Sheet1!$A:$A,A881)&gt;0,"موجود","غير موجود")</f>
        <v>غير موجود</v>
      </c>
    </row>
    <row r="882" spans="1:8" x14ac:dyDescent="0.2">
      <c r="A882">
        <v>20309021857</v>
      </c>
      <c r="B882" t="s">
        <v>991</v>
      </c>
      <c r="C882">
        <v>13.5</v>
      </c>
      <c r="D882">
        <v>30</v>
      </c>
      <c r="E882">
        <v>9.4499999999999993</v>
      </c>
      <c r="F882" t="s">
        <v>78</v>
      </c>
      <c r="G882" t="s">
        <v>79</v>
      </c>
      <c r="H882" t="str">
        <f>IF(COUNTIF(Sheet1!$A:$A,TEXT(A882,"0"))+COUNTIF(Sheet1!$A:$A,A882)&gt;0,"موجود","غير موجود")</f>
        <v>غير موجود</v>
      </c>
    </row>
    <row r="883" spans="1:8" x14ac:dyDescent="0.2">
      <c r="A883">
        <v>20309030825</v>
      </c>
      <c r="B883" t="s">
        <v>992</v>
      </c>
      <c r="C883">
        <v>19</v>
      </c>
      <c r="D883">
        <v>30</v>
      </c>
      <c r="E883">
        <v>13.3</v>
      </c>
      <c r="F883" t="s">
        <v>78</v>
      </c>
      <c r="G883" t="s">
        <v>79</v>
      </c>
      <c r="H883" t="str">
        <f>IF(COUNTIF(Sheet1!$A:$A,TEXT(A883,"0"))+COUNTIF(Sheet1!$A:$A,A883)&gt;0,"موجود","غير موجود")</f>
        <v>غير موجود</v>
      </c>
    </row>
    <row r="884" spans="1:8" x14ac:dyDescent="0.2">
      <c r="A884">
        <v>20309060741</v>
      </c>
      <c r="B884" t="s">
        <v>993</v>
      </c>
      <c r="C884">
        <v>14.3</v>
      </c>
      <c r="D884">
        <v>30</v>
      </c>
      <c r="E884">
        <v>10.010000000000002</v>
      </c>
      <c r="F884" t="s">
        <v>78</v>
      </c>
      <c r="G884" t="s">
        <v>79</v>
      </c>
      <c r="H884" t="str">
        <f>IF(COUNTIF(Sheet1!$A:$A,TEXT(A884,"0"))+COUNTIF(Sheet1!$A:$A,A884)&gt;0,"موجود","غير موجود")</f>
        <v>غير موجود</v>
      </c>
    </row>
    <row r="885" spans="1:8" x14ac:dyDescent="0.2">
      <c r="A885">
        <v>20309021854</v>
      </c>
      <c r="B885" t="s">
        <v>994</v>
      </c>
      <c r="C885">
        <v>16</v>
      </c>
      <c r="D885">
        <v>30</v>
      </c>
      <c r="E885">
        <v>11.2</v>
      </c>
      <c r="F885" t="s">
        <v>78</v>
      </c>
      <c r="G885" t="s">
        <v>79</v>
      </c>
      <c r="H885" t="str">
        <f>IF(COUNTIF(Sheet1!$A:$A,TEXT(A885,"0"))+COUNTIF(Sheet1!$A:$A,A885)&gt;0,"موجود","غير موجود")</f>
        <v>غير موجود</v>
      </c>
    </row>
    <row r="886" spans="1:8" x14ac:dyDescent="0.2">
      <c r="A886">
        <v>20309021855</v>
      </c>
      <c r="B886" t="s">
        <v>994</v>
      </c>
      <c r="C886">
        <v>25</v>
      </c>
      <c r="D886">
        <v>30</v>
      </c>
      <c r="E886">
        <v>17.5</v>
      </c>
      <c r="F886" t="s">
        <v>78</v>
      </c>
      <c r="G886" t="s">
        <v>79</v>
      </c>
      <c r="H886" t="str">
        <f>IF(COUNTIF(Sheet1!$A:$A,TEXT(A886,"0"))+COUNTIF(Sheet1!$A:$A,A886)&gt;0,"موجود","غير موجود")</f>
        <v>غير موجود</v>
      </c>
    </row>
    <row r="887" spans="1:8" x14ac:dyDescent="0.2">
      <c r="A887">
        <v>20309021856</v>
      </c>
      <c r="B887" t="s">
        <v>995</v>
      </c>
      <c r="C887">
        <v>13.5</v>
      </c>
      <c r="D887">
        <v>30</v>
      </c>
      <c r="E887">
        <v>9.4499999999999993</v>
      </c>
      <c r="F887" t="s">
        <v>78</v>
      </c>
      <c r="G887" t="s">
        <v>79</v>
      </c>
      <c r="H887" t="str">
        <f>IF(COUNTIF(Sheet1!$A:$A,TEXT(A887,"0"))+COUNTIF(Sheet1!$A:$A,A887)&gt;0,"موجود","غير موجود")</f>
        <v>غير موجود</v>
      </c>
    </row>
    <row r="888" spans="1:8" x14ac:dyDescent="0.2">
      <c r="A888">
        <v>20309060740</v>
      </c>
      <c r="B888" t="s">
        <v>996</v>
      </c>
      <c r="C888">
        <v>14.3</v>
      </c>
      <c r="D888">
        <v>30</v>
      </c>
      <c r="E888">
        <v>10.010000000000002</v>
      </c>
      <c r="F888" t="s">
        <v>78</v>
      </c>
      <c r="G888" t="s">
        <v>79</v>
      </c>
      <c r="H888" t="str">
        <f>IF(COUNTIF(Sheet1!$A:$A,TEXT(A888,"0"))+COUNTIF(Sheet1!$A:$A,A888)&gt;0,"موجود","غير موجود")</f>
        <v>غير موجود</v>
      </c>
    </row>
    <row r="889" spans="1:8" x14ac:dyDescent="0.2">
      <c r="A889">
        <v>20309030826</v>
      </c>
      <c r="B889" t="s">
        <v>997</v>
      </c>
      <c r="C889">
        <v>6.5</v>
      </c>
      <c r="D889">
        <v>30</v>
      </c>
      <c r="E889">
        <v>4.55</v>
      </c>
      <c r="F889" t="s">
        <v>78</v>
      </c>
      <c r="G889" t="s">
        <v>79</v>
      </c>
      <c r="H889" t="str">
        <f>IF(COUNTIF(Sheet1!$A:$A,TEXT(A889,"0"))+COUNTIF(Sheet1!$A:$A,A889)&gt;0,"موجود","غير موجود")</f>
        <v>غير موجود</v>
      </c>
    </row>
    <row r="890" spans="1:8" x14ac:dyDescent="0.2">
      <c r="A890">
        <v>20309021858</v>
      </c>
      <c r="B890" t="s">
        <v>998</v>
      </c>
      <c r="C890">
        <v>35</v>
      </c>
      <c r="D890">
        <v>30</v>
      </c>
      <c r="E890">
        <v>24.5</v>
      </c>
      <c r="F890" t="s">
        <v>78</v>
      </c>
      <c r="G890" t="s">
        <v>79</v>
      </c>
      <c r="H890" t="str">
        <f>IF(COUNTIF(Sheet1!$A:$A,TEXT(A890,"0"))+COUNTIF(Sheet1!$A:$A,A890)&gt;0,"موجود","غير موجود")</f>
        <v>غير موجود</v>
      </c>
    </row>
    <row r="891" spans="1:8" x14ac:dyDescent="0.2">
      <c r="A891">
        <v>20309010328</v>
      </c>
      <c r="B891" t="s">
        <v>999</v>
      </c>
      <c r="C891">
        <v>14</v>
      </c>
      <c r="D891">
        <v>30</v>
      </c>
      <c r="E891">
        <v>9.8000000000000007</v>
      </c>
      <c r="F891" t="s">
        <v>78</v>
      </c>
      <c r="G891" t="s">
        <v>79</v>
      </c>
      <c r="H891" t="str">
        <f>IF(COUNTIF(Sheet1!$A:$A,TEXT(A891,"0"))+COUNTIF(Sheet1!$A:$A,A891)&gt;0,"موجود","غير موجود")</f>
        <v>موجود</v>
      </c>
    </row>
    <row r="892" spans="1:8" x14ac:dyDescent="0.2">
      <c r="A892">
        <v>20309020868</v>
      </c>
      <c r="B892" t="s">
        <v>1000</v>
      </c>
      <c r="C892">
        <v>14</v>
      </c>
      <c r="D892">
        <v>30</v>
      </c>
      <c r="E892">
        <v>9.8000000000000007</v>
      </c>
      <c r="F892" t="s">
        <v>78</v>
      </c>
      <c r="G892" t="s">
        <v>79</v>
      </c>
      <c r="H892" t="str">
        <f>IF(COUNTIF(Sheet1!$A:$A,TEXT(A892,"0"))+COUNTIF(Sheet1!$A:$A,A892)&gt;0,"موجود","غير موجود")</f>
        <v>غير موجود</v>
      </c>
    </row>
    <row r="893" spans="1:8" x14ac:dyDescent="0.2">
      <c r="A893">
        <v>20309010322</v>
      </c>
      <c r="B893" t="s">
        <v>1001</v>
      </c>
      <c r="C893">
        <v>14</v>
      </c>
      <c r="D893">
        <v>30</v>
      </c>
      <c r="E893">
        <v>9.8000000000000007</v>
      </c>
      <c r="F893" t="s">
        <v>78</v>
      </c>
      <c r="G893" t="s">
        <v>79</v>
      </c>
      <c r="H893" t="str">
        <f>IF(COUNTIF(Sheet1!$A:$A,TEXT(A893,"0"))+COUNTIF(Sheet1!$A:$A,A893)&gt;0,"موجود","غير موجود")</f>
        <v>غير موجود</v>
      </c>
    </row>
    <row r="894" spans="1:8" x14ac:dyDescent="0.2">
      <c r="A894">
        <v>20309010326</v>
      </c>
      <c r="B894" t="s">
        <v>1002</v>
      </c>
      <c r="C894">
        <v>14</v>
      </c>
      <c r="D894">
        <v>30</v>
      </c>
      <c r="E894">
        <v>9.8000000000000007</v>
      </c>
      <c r="F894" t="s">
        <v>78</v>
      </c>
      <c r="G894" t="s">
        <v>79</v>
      </c>
      <c r="H894" t="str">
        <f>IF(COUNTIF(Sheet1!$A:$A,TEXT(A894,"0"))+COUNTIF(Sheet1!$A:$A,A894)&gt;0,"موجود","غير موجود")</f>
        <v>غير موجود</v>
      </c>
    </row>
    <row r="895" spans="1:8" x14ac:dyDescent="0.2">
      <c r="A895">
        <v>20309010324</v>
      </c>
      <c r="B895" t="s">
        <v>1003</v>
      </c>
      <c r="C895">
        <v>14</v>
      </c>
      <c r="D895">
        <v>30</v>
      </c>
      <c r="E895">
        <v>9.8000000000000007</v>
      </c>
      <c r="F895" t="s">
        <v>78</v>
      </c>
      <c r="G895" t="s">
        <v>79</v>
      </c>
      <c r="H895" t="str">
        <f>IF(COUNTIF(Sheet1!$A:$A,TEXT(A895,"0"))+COUNTIF(Sheet1!$A:$A,A895)&gt;0,"موجود","غير موجود")</f>
        <v>موجود</v>
      </c>
    </row>
    <row r="896" spans="1:8" x14ac:dyDescent="0.2">
      <c r="A896">
        <v>20309020727</v>
      </c>
      <c r="B896" t="s">
        <v>1004</v>
      </c>
      <c r="C896">
        <v>30</v>
      </c>
      <c r="D896">
        <v>50</v>
      </c>
      <c r="E896">
        <v>15</v>
      </c>
      <c r="F896" t="s">
        <v>78</v>
      </c>
      <c r="G896" t="s">
        <v>79</v>
      </c>
      <c r="H896" t="str">
        <f>IF(COUNTIF(Sheet1!$A:$A,TEXT(A896,"0"))+COUNTIF(Sheet1!$A:$A,A896)&gt;0,"موجود","غير موجود")</f>
        <v>غير موجود</v>
      </c>
    </row>
    <row r="897" spans="1:8" x14ac:dyDescent="0.2">
      <c r="A897">
        <v>20309020724</v>
      </c>
      <c r="B897" t="s">
        <v>1005</v>
      </c>
      <c r="C897">
        <v>18</v>
      </c>
      <c r="D897">
        <v>50</v>
      </c>
      <c r="E897">
        <v>9</v>
      </c>
      <c r="F897" t="s">
        <v>78</v>
      </c>
      <c r="G897" t="s">
        <v>79</v>
      </c>
      <c r="H897" t="str">
        <f>IF(COUNTIF(Sheet1!$A:$A,TEXT(A897,"0"))+COUNTIF(Sheet1!$A:$A,A897)&gt;0,"موجود","غير موجود")</f>
        <v>غير موجود</v>
      </c>
    </row>
    <row r="898" spans="1:8" x14ac:dyDescent="0.2">
      <c r="A898">
        <v>20309020723</v>
      </c>
      <c r="B898" t="s">
        <v>1006</v>
      </c>
      <c r="C898">
        <v>16</v>
      </c>
      <c r="D898">
        <v>50</v>
      </c>
      <c r="E898">
        <v>8</v>
      </c>
      <c r="F898" t="s">
        <v>78</v>
      </c>
      <c r="G898" t="s">
        <v>79</v>
      </c>
      <c r="H898" t="str">
        <f>IF(COUNTIF(Sheet1!$A:$A,TEXT(A898,"0"))+COUNTIF(Sheet1!$A:$A,A898)&gt;0,"موجود","غير موجود")</f>
        <v>غير موجود</v>
      </c>
    </row>
    <row r="899" spans="1:8" x14ac:dyDescent="0.2">
      <c r="A899">
        <v>20309020725</v>
      </c>
      <c r="B899" t="s">
        <v>1007</v>
      </c>
      <c r="C899">
        <v>14</v>
      </c>
      <c r="D899">
        <v>50</v>
      </c>
      <c r="E899">
        <v>7</v>
      </c>
      <c r="F899" t="s">
        <v>78</v>
      </c>
      <c r="G899" t="s">
        <v>79</v>
      </c>
      <c r="H899" t="str">
        <f>IF(COUNTIF(Sheet1!$A:$A,TEXT(A899,"0"))+COUNTIF(Sheet1!$A:$A,A899)&gt;0,"موجود","غير موجود")</f>
        <v>غير موجود</v>
      </c>
    </row>
    <row r="900" spans="1:8" x14ac:dyDescent="0.2">
      <c r="A900">
        <v>20309020720</v>
      </c>
      <c r="B900" t="s">
        <v>1008</v>
      </c>
      <c r="C900">
        <v>32</v>
      </c>
      <c r="D900">
        <v>50</v>
      </c>
      <c r="E900">
        <v>16</v>
      </c>
      <c r="F900" t="s">
        <v>78</v>
      </c>
      <c r="G900" t="s">
        <v>79</v>
      </c>
      <c r="H900" t="str">
        <f>IF(COUNTIF(Sheet1!$A:$A,TEXT(A900,"0"))+COUNTIF(Sheet1!$A:$A,A900)&gt;0,"موجود","غير موجود")</f>
        <v>غير موجود</v>
      </c>
    </row>
    <row r="901" spans="1:8" x14ac:dyDescent="0.2">
      <c r="A901">
        <v>20309020087</v>
      </c>
      <c r="B901" t="s">
        <v>1009</v>
      </c>
      <c r="C901">
        <v>21.71</v>
      </c>
      <c r="D901">
        <v>15</v>
      </c>
      <c r="E901">
        <v>18.453500000000002</v>
      </c>
      <c r="F901" t="s">
        <v>78</v>
      </c>
      <c r="G901" t="s">
        <v>79</v>
      </c>
      <c r="H901" t="str">
        <f>IF(COUNTIF(Sheet1!$A:$A,TEXT(A901,"0"))+COUNTIF(Sheet1!$A:$A,A901)&gt;0,"موجود","غير موجود")</f>
        <v>موجود</v>
      </c>
    </row>
    <row r="902" spans="1:8" x14ac:dyDescent="0.2">
      <c r="A902">
        <v>20309020281</v>
      </c>
      <c r="B902" t="s">
        <v>1010</v>
      </c>
      <c r="C902">
        <v>21.71</v>
      </c>
      <c r="D902">
        <v>15</v>
      </c>
      <c r="E902">
        <v>18.453500000000002</v>
      </c>
      <c r="F902" t="s">
        <v>78</v>
      </c>
      <c r="G902" t="s">
        <v>79</v>
      </c>
      <c r="H902" t="str">
        <f>IF(COUNTIF(Sheet1!$A:$A,TEXT(A902,"0"))+COUNTIF(Sheet1!$A:$A,A902)&gt;0,"موجود","غير موجود")</f>
        <v>موجود</v>
      </c>
    </row>
    <row r="903" spans="1:8" x14ac:dyDescent="0.2">
      <c r="A903">
        <v>20309020310</v>
      </c>
      <c r="B903" t="s">
        <v>1011</v>
      </c>
      <c r="C903">
        <v>12.94</v>
      </c>
      <c r="D903">
        <v>15</v>
      </c>
      <c r="E903">
        <v>10.998999999999999</v>
      </c>
      <c r="F903" t="s">
        <v>78</v>
      </c>
      <c r="G903" t="s">
        <v>79</v>
      </c>
      <c r="H903" t="str">
        <f>IF(COUNTIF(Sheet1!$A:$A,TEXT(A903,"0"))+COUNTIF(Sheet1!$A:$A,A903)&gt;0,"موجود","غير موجود")</f>
        <v>موجود</v>
      </c>
    </row>
    <row r="904" spans="1:8" x14ac:dyDescent="0.2">
      <c r="A904">
        <v>20309020353</v>
      </c>
      <c r="B904" t="s">
        <v>1012</v>
      </c>
      <c r="C904">
        <v>12.94</v>
      </c>
      <c r="D904">
        <v>15</v>
      </c>
      <c r="E904">
        <v>10.998999999999999</v>
      </c>
      <c r="F904" t="s">
        <v>78</v>
      </c>
      <c r="G904" t="s">
        <v>79</v>
      </c>
      <c r="H904" t="str">
        <f>IF(COUNTIF(Sheet1!$A:$A,TEXT(A904,"0"))+COUNTIF(Sheet1!$A:$A,A904)&gt;0,"موجود","غير موجود")</f>
        <v>موجود</v>
      </c>
    </row>
    <row r="905" spans="1:8" x14ac:dyDescent="0.2">
      <c r="A905">
        <v>20309020477</v>
      </c>
      <c r="B905" t="s">
        <v>1013</v>
      </c>
      <c r="C905">
        <v>12.94</v>
      </c>
      <c r="D905">
        <v>15</v>
      </c>
      <c r="E905">
        <v>10.998999999999999</v>
      </c>
      <c r="F905" t="s">
        <v>78</v>
      </c>
      <c r="G905" t="s">
        <v>79</v>
      </c>
      <c r="H905" t="str">
        <f>IF(COUNTIF(Sheet1!$A:$A,TEXT(A905,"0"))+COUNTIF(Sheet1!$A:$A,A905)&gt;0,"موجود","غير موجود")</f>
        <v>موجود</v>
      </c>
    </row>
    <row r="906" spans="1:8" x14ac:dyDescent="0.2">
      <c r="A906">
        <v>20309020478</v>
      </c>
      <c r="B906" t="s">
        <v>1013</v>
      </c>
      <c r="C906">
        <v>28.18</v>
      </c>
      <c r="D906">
        <v>15</v>
      </c>
      <c r="E906">
        <v>23.952999999999999</v>
      </c>
      <c r="F906" t="s">
        <v>78</v>
      </c>
      <c r="G906" t="s">
        <v>79</v>
      </c>
      <c r="H906" t="str">
        <f>IF(COUNTIF(Sheet1!$A:$A,TEXT(A906,"0"))+COUNTIF(Sheet1!$A:$A,A906)&gt;0,"موجود","غير موجود")</f>
        <v>موجود</v>
      </c>
    </row>
    <row r="907" spans="1:8" x14ac:dyDescent="0.2">
      <c r="A907">
        <v>20309020479</v>
      </c>
      <c r="B907" t="s">
        <v>1013</v>
      </c>
      <c r="C907">
        <v>21.71</v>
      </c>
      <c r="D907">
        <v>15</v>
      </c>
      <c r="E907">
        <v>18.453500000000002</v>
      </c>
      <c r="F907" t="s">
        <v>78</v>
      </c>
      <c r="G907" t="s">
        <v>79</v>
      </c>
      <c r="H907" t="str">
        <f>IF(COUNTIF(Sheet1!$A:$A,TEXT(A907,"0"))+COUNTIF(Sheet1!$A:$A,A907)&gt;0,"موجود","غير موجود")</f>
        <v>موجود</v>
      </c>
    </row>
    <row r="908" spans="1:8" x14ac:dyDescent="0.2">
      <c r="A908">
        <v>20309020480</v>
      </c>
      <c r="B908" t="s">
        <v>1014</v>
      </c>
      <c r="C908">
        <v>12.94</v>
      </c>
      <c r="D908">
        <v>15</v>
      </c>
      <c r="E908">
        <v>10.998999999999999</v>
      </c>
      <c r="F908" t="s">
        <v>78</v>
      </c>
      <c r="G908" t="s">
        <v>79</v>
      </c>
      <c r="H908" t="str">
        <f>IF(COUNTIF(Sheet1!$A:$A,TEXT(A908,"0"))+COUNTIF(Sheet1!$A:$A,A908)&gt;0,"موجود","غير موجود")</f>
        <v>موجود</v>
      </c>
    </row>
    <row r="909" spans="1:8" x14ac:dyDescent="0.2">
      <c r="A909">
        <v>20309020483</v>
      </c>
      <c r="B909" t="s">
        <v>1015</v>
      </c>
      <c r="C909">
        <v>21.71</v>
      </c>
      <c r="D909">
        <v>15</v>
      </c>
      <c r="E909">
        <v>18.453500000000002</v>
      </c>
      <c r="F909" t="s">
        <v>78</v>
      </c>
      <c r="G909" t="s">
        <v>79</v>
      </c>
      <c r="H909" t="str">
        <f>IF(COUNTIF(Sheet1!$A:$A,TEXT(A909,"0"))+COUNTIF(Sheet1!$A:$A,A909)&gt;0,"موجود","غير موجود")</f>
        <v>موجود</v>
      </c>
    </row>
    <row r="910" spans="1:8" x14ac:dyDescent="0.2">
      <c r="A910">
        <v>20309020485</v>
      </c>
      <c r="B910" t="s">
        <v>1016</v>
      </c>
      <c r="C910">
        <v>21.71</v>
      </c>
      <c r="D910">
        <v>15</v>
      </c>
      <c r="E910">
        <v>18.453500000000002</v>
      </c>
      <c r="F910" t="s">
        <v>78</v>
      </c>
      <c r="G910" t="s">
        <v>79</v>
      </c>
      <c r="H910" t="str">
        <f>IF(COUNTIF(Sheet1!$A:$A,TEXT(A910,"0"))+COUNTIF(Sheet1!$A:$A,A910)&gt;0,"موجود","غير موجود")</f>
        <v>موجود</v>
      </c>
    </row>
    <row r="911" spans="1:8" x14ac:dyDescent="0.2">
      <c r="A911">
        <v>20309020486</v>
      </c>
      <c r="B911" t="s">
        <v>1017</v>
      </c>
      <c r="C911">
        <v>12.94</v>
      </c>
      <c r="D911">
        <v>15</v>
      </c>
      <c r="E911">
        <v>10.998999999999999</v>
      </c>
      <c r="F911" t="s">
        <v>78</v>
      </c>
      <c r="G911" t="s">
        <v>79</v>
      </c>
      <c r="H911" t="str">
        <f>IF(COUNTIF(Sheet1!$A:$A,TEXT(A911,"0"))+COUNTIF(Sheet1!$A:$A,A911)&gt;0,"موجود","غير موجود")</f>
        <v>موجود</v>
      </c>
    </row>
    <row r="912" spans="1:8" x14ac:dyDescent="0.2">
      <c r="A912">
        <v>20309020487</v>
      </c>
      <c r="B912" t="s">
        <v>1018</v>
      </c>
      <c r="C912">
        <v>12.94</v>
      </c>
      <c r="D912">
        <v>15</v>
      </c>
      <c r="E912">
        <v>10.998999999999999</v>
      </c>
      <c r="F912" t="s">
        <v>78</v>
      </c>
      <c r="G912" t="s">
        <v>79</v>
      </c>
      <c r="H912" t="str">
        <f>IF(COUNTIF(Sheet1!$A:$A,TEXT(A912,"0"))+COUNTIF(Sheet1!$A:$A,A912)&gt;0,"موجود","غير موجود")</f>
        <v>موجود</v>
      </c>
    </row>
    <row r="913" spans="1:8" x14ac:dyDescent="0.2">
      <c r="A913">
        <v>20309020489</v>
      </c>
      <c r="B913" t="s">
        <v>1012</v>
      </c>
      <c r="C913">
        <v>28.18</v>
      </c>
      <c r="D913">
        <v>15</v>
      </c>
      <c r="E913">
        <v>23.952999999999999</v>
      </c>
      <c r="F913" t="s">
        <v>78</v>
      </c>
      <c r="G913" t="s">
        <v>79</v>
      </c>
      <c r="H913" t="str">
        <f>IF(COUNTIF(Sheet1!$A:$A,TEXT(A913,"0"))+COUNTIF(Sheet1!$A:$A,A913)&gt;0,"موجود","غير موجود")</f>
        <v>موجود</v>
      </c>
    </row>
    <row r="914" spans="1:8" x14ac:dyDescent="0.2">
      <c r="A914">
        <v>20309020490</v>
      </c>
      <c r="B914" t="s">
        <v>1019</v>
      </c>
      <c r="C914">
        <v>21.71</v>
      </c>
      <c r="D914">
        <v>15</v>
      </c>
      <c r="E914">
        <v>18.453500000000002</v>
      </c>
      <c r="F914" t="s">
        <v>78</v>
      </c>
      <c r="G914" t="s">
        <v>79</v>
      </c>
      <c r="H914" t="str">
        <f>IF(COUNTIF(Sheet1!$A:$A,TEXT(A914,"0"))+COUNTIF(Sheet1!$A:$A,A914)&gt;0,"موجود","غير موجود")</f>
        <v>موجود</v>
      </c>
    </row>
    <row r="915" spans="1:8" x14ac:dyDescent="0.2">
      <c r="A915">
        <v>20309020492</v>
      </c>
      <c r="B915" t="s">
        <v>1020</v>
      </c>
      <c r="C915">
        <v>21.71</v>
      </c>
      <c r="D915">
        <v>15</v>
      </c>
      <c r="E915">
        <v>18.453500000000002</v>
      </c>
      <c r="F915" t="s">
        <v>78</v>
      </c>
      <c r="G915" t="s">
        <v>79</v>
      </c>
      <c r="H915" t="str">
        <f>IF(COUNTIF(Sheet1!$A:$A,TEXT(A915,"0"))+COUNTIF(Sheet1!$A:$A,A915)&gt;0,"موجود","غير موجود")</f>
        <v>موجود</v>
      </c>
    </row>
    <row r="916" spans="1:8" x14ac:dyDescent="0.2">
      <c r="A916">
        <v>20309020493</v>
      </c>
      <c r="B916" t="s">
        <v>1021</v>
      </c>
      <c r="C916">
        <v>21.71</v>
      </c>
      <c r="D916">
        <v>15</v>
      </c>
      <c r="E916">
        <v>18.453500000000002</v>
      </c>
      <c r="F916" t="s">
        <v>78</v>
      </c>
      <c r="G916" t="s">
        <v>79</v>
      </c>
      <c r="H916" t="str">
        <f>IF(COUNTIF(Sheet1!$A:$A,TEXT(A916,"0"))+COUNTIF(Sheet1!$A:$A,A916)&gt;0,"موجود","غير موجود")</f>
        <v>موجود</v>
      </c>
    </row>
    <row r="917" spans="1:8" x14ac:dyDescent="0.2">
      <c r="A917">
        <v>20309020529</v>
      </c>
      <c r="B917" t="s">
        <v>1022</v>
      </c>
      <c r="C917">
        <v>28.18</v>
      </c>
      <c r="D917">
        <v>15</v>
      </c>
      <c r="E917">
        <v>23.952999999999999</v>
      </c>
      <c r="F917" t="s">
        <v>78</v>
      </c>
      <c r="G917" t="s">
        <v>79</v>
      </c>
      <c r="H917" t="str">
        <f>IF(COUNTIF(Sheet1!$A:$A,TEXT(A917,"0"))+COUNTIF(Sheet1!$A:$A,A917)&gt;0,"موجود","غير موجود")</f>
        <v>موجود</v>
      </c>
    </row>
    <row r="918" spans="1:8" x14ac:dyDescent="0.2">
      <c r="A918">
        <v>20309020530</v>
      </c>
      <c r="B918" t="s">
        <v>1011</v>
      </c>
      <c r="C918">
        <v>28.18</v>
      </c>
      <c r="D918">
        <v>15</v>
      </c>
      <c r="E918">
        <v>23.952999999999999</v>
      </c>
      <c r="F918" t="s">
        <v>78</v>
      </c>
      <c r="G918" t="s">
        <v>79</v>
      </c>
      <c r="H918" t="str">
        <f>IF(COUNTIF(Sheet1!$A:$A,TEXT(A918,"0"))+COUNTIF(Sheet1!$A:$A,A918)&gt;0,"موجود","غير موجود")</f>
        <v>موجود</v>
      </c>
    </row>
    <row r="919" spans="1:8" x14ac:dyDescent="0.2">
      <c r="A919">
        <v>20309020911</v>
      </c>
      <c r="B919" t="s">
        <v>1023</v>
      </c>
      <c r="C919">
        <v>12.94</v>
      </c>
      <c r="D919">
        <v>15</v>
      </c>
      <c r="E919">
        <v>10.998999999999999</v>
      </c>
      <c r="F919" t="s">
        <v>78</v>
      </c>
      <c r="G919" t="s">
        <v>79</v>
      </c>
      <c r="H919" t="str">
        <f>IF(COUNTIF(Sheet1!$A:$A,TEXT(A919,"0"))+COUNTIF(Sheet1!$A:$A,A919)&gt;0,"موجود","غير موجود")</f>
        <v>موجود</v>
      </c>
    </row>
    <row r="920" spans="1:8" x14ac:dyDescent="0.2">
      <c r="A920">
        <v>20309030542</v>
      </c>
      <c r="B920" t="s">
        <v>1024</v>
      </c>
      <c r="C920">
        <v>12.94</v>
      </c>
      <c r="D920">
        <v>15</v>
      </c>
      <c r="E920">
        <v>10.998999999999999</v>
      </c>
      <c r="F920" t="s">
        <v>78</v>
      </c>
      <c r="G920" t="s">
        <v>79</v>
      </c>
      <c r="H920" t="str">
        <f>IF(COUNTIF(Sheet1!$A:$A,TEXT(A920,"0"))+COUNTIF(Sheet1!$A:$A,A920)&gt;0,"موجود","غير موجود")</f>
        <v>موجود</v>
      </c>
    </row>
    <row r="921" spans="1:8" x14ac:dyDescent="0.2">
      <c r="A921">
        <v>20309030551</v>
      </c>
      <c r="B921" t="s">
        <v>1025</v>
      </c>
      <c r="C921">
        <v>21.71</v>
      </c>
      <c r="D921">
        <v>15</v>
      </c>
      <c r="E921">
        <v>18.453500000000002</v>
      </c>
      <c r="F921" t="s">
        <v>78</v>
      </c>
      <c r="G921" t="s">
        <v>79</v>
      </c>
      <c r="H921" t="str">
        <f>IF(COUNTIF(Sheet1!$A:$A,TEXT(A921,"0"))+COUNTIF(Sheet1!$A:$A,A921)&gt;0,"موجود","غير موجود")</f>
        <v>موجود</v>
      </c>
    </row>
    <row r="922" spans="1:8" x14ac:dyDescent="0.2">
      <c r="A922">
        <v>20309504100</v>
      </c>
      <c r="B922" t="s">
        <v>1026</v>
      </c>
      <c r="C922">
        <v>4.2300000000000004</v>
      </c>
      <c r="D922">
        <v>15</v>
      </c>
      <c r="E922">
        <v>3.5955000000000004</v>
      </c>
      <c r="F922" t="s">
        <v>78</v>
      </c>
      <c r="G922" t="s">
        <v>79</v>
      </c>
      <c r="H922" t="str">
        <f>IF(COUNTIF(Sheet1!$A:$A,TEXT(A922,"0"))+COUNTIF(Sheet1!$A:$A,A922)&gt;0,"موجود","غير موجود")</f>
        <v>موجود</v>
      </c>
    </row>
    <row r="923" spans="1:8" x14ac:dyDescent="0.2">
      <c r="A923">
        <v>20309504101</v>
      </c>
      <c r="B923" t="s">
        <v>1027</v>
      </c>
      <c r="C923">
        <v>18.079999999999998</v>
      </c>
      <c r="D923">
        <v>15</v>
      </c>
      <c r="E923">
        <v>15.367999999999999</v>
      </c>
      <c r="F923" t="s">
        <v>78</v>
      </c>
      <c r="G923" t="s">
        <v>79</v>
      </c>
      <c r="H923" t="str">
        <f>IF(COUNTIF(Sheet1!$A:$A,TEXT(A923,"0"))+COUNTIF(Sheet1!$A:$A,A923)&gt;0,"موجود","غير موجود")</f>
        <v>موجود</v>
      </c>
    </row>
    <row r="924" spans="1:8" x14ac:dyDescent="0.2">
      <c r="A924">
        <v>20309504102</v>
      </c>
      <c r="B924" t="s">
        <v>1028</v>
      </c>
      <c r="C924">
        <v>11.92</v>
      </c>
      <c r="D924">
        <v>15</v>
      </c>
      <c r="E924">
        <v>10.132</v>
      </c>
      <c r="F924" t="s">
        <v>78</v>
      </c>
      <c r="G924" t="s">
        <v>79</v>
      </c>
      <c r="H924" t="str">
        <f>IF(COUNTIF(Sheet1!$A:$A,TEXT(A924,"0"))+COUNTIF(Sheet1!$A:$A,A924)&gt;0,"موجود","غير موجود")</f>
        <v>موجود</v>
      </c>
    </row>
    <row r="925" spans="1:8" x14ac:dyDescent="0.2">
      <c r="A925">
        <v>20309504103</v>
      </c>
      <c r="B925" t="s">
        <v>1029</v>
      </c>
      <c r="C925">
        <v>22.69</v>
      </c>
      <c r="D925">
        <v>15</v>
      </c>
      <c r="E925">
        <v>19.2865</v>
      </c>
      <c r="F925" t="s">
        <v>78</v>
      </c>
      <c r="G925" t="s">
        <v>79</v>
      </c>
      <c r="H925" t="str">
        <f>IF(COUNTIF(Sheet1!$A:$A,TEXT(A925,"0"))+COUNTIF(Sheet1!$A:$A,A925)&gt;0,"موجود","غير موجود")</f>
        <v>موجود</v>
      </c>
    </row>
    <row r="926" spans="1:8" x14ac:dyDescent="0.2">
      <c r="A926">
        <v>20309504104</v>
      </c>
      <c r="B926" t="s">
        <v>1030</v>
      </c>
      <c r="C926">
        <v>21.92</v>
      </c>
      <c r="D926">
        <v>15</v>
      </c>
      <c r="E926">
        <v>18.632000000000001</v>
      </c>
      <c r="F926" t="s">
        <v>78</v>
      </c>
      <c r="G926" t="s">
        <v>79</v>
      </c>
      <c r="H926" t="str">
        <f>IF(COUNTIF(Sheet1!$A:$A,TEXT(A926,"0"))+COUNTIF(Sheet1!$A:$A,A926)&gt;0,"موجود","غير موجود")</f>
        <v>موجود</v>
      </c>
    </row>
    <row r="927" spans="1:8" x14ac:dyDescent="0.2">
      <c r="A927">
        <v>20309504105</v>
      </c>
      <c r="B927" t="s">
        <v>1031</v>
      </c>
      <c r="C927">
        <v>18.079999999999998</v>
      </c>
      <c r="D927">
        <v>15</v>
      </c>
      <c r="E927">
        <v>15.367999999999999</v>
      </c>
      <c r="F927" t="s">
        <v>78</v>
      </c>
      <c r="G927" t="s">
        <v>79</v>
      </c>
      <c r="H927" t="str">
        <f>IF(COUNTIF(Sheet1!$A:$A,TEXT(A927,"0"))+COUNTIF(Sheet1!$A:$A,A927)&gt;0,"موجود","غير موجود")</f>
        <v>موجود</v>
      </c>
    </row>
    <row r="928" spans="1:8" x14ac:dyDescent="0.2">
      <c r="A928">
        <v>20309504106</v>
      </c>
      <c r="B928" t="s">
        <v>1032</v>
      </c>
      <c r="C928">
        <v>11.92</v>
      </c>
      <c r="D928">
        <v>15</v>
      </c>
      <c r="E928">
        <v>10.132</v>
      </c>
      <c r="F928" t="s">
        <v>78</v>
      </c>
      <c r="G928" t="s">
        <v>79</v>
      </c>
      <c r="H928" t="str">
        <f>IF(COUNTIF(Sheet1!$A:$A,TEXT(A928,"0"))+COUNTIF(Sheet1!$A:$A,A928)&gt;0,"موجود","غير موجود")</f>
        <v>موجود</v>
      </c>
    </row>
    <row r="929" spans="1:8" x14ac:dyDescent="0.2">
      <c r="A929">
        <v>20309504107</v>
      </c>
      <c r="B929" t="s">
        <v>1033</v>
      </c>
      <c r="C929">
        <v>23.85</v>
      </c>
      <c r="D929">
        <v>15</v>
      </c>
      <c r="E929">
        <v>20.272500000000001</v>
      </c>
      <c r="F929" t="s">
        <v>78</v>
      </c>
      <c r="G929" t="s">
        <v>79</v>
      </c>
      <c r="H929" t="str">
        <f>IF(COUNTIF(Sheet1!$A:$A,TEXT(A929,"0"))+COUNTIF(Sheet1!$A:$A,A929)&gt;0,"موجود","غير موجود")</f>
        <v>موجود</v>
      </c>
    </row>
    <row r="930" spans="1:8" x14ac:dyDescent="0.2">
      <c r="A930">
        <v>20309504108</v>
      </c>
      <c r="B930" t="s">
        <v>1034</v>
      </c>
      <c r="C930">
        <v>23.85</v>
      </c>
      <c r="D930">
        <v>15</v>
      </c>
      <c r="E930">
        <v>20.272500000000001</v>
      </c>
      <c r="F930" t="s">
        <v>78</v>
      </c>
      <c r="G930" t="s">
        <v>79</v>
      </c>
      <c r="H930" t="str">
        <f>IF(COUNTIF(Sheet1!$A:$A,TEXT(A930,"0"))+COUNTIF(Sheet1!$A:$A,A930)&gt;0,"موجود","غير موجود")</f>
        <v>موجود</v>
      </c>
    </row>
    <row r="931" spans="1:8" x14ac:dyDescent="0.2">
      <c r="A931">
        <v>20309504109</v>
      </c>
      <c r="B931" t="s">
        <v>1035</v>
      </c>
      <c r="C931">
        <v>22.69</v>
      </c>
      <c r="D931">
        <v>15</v>
      </c>
      <c r="E931">
        <v>19.2865</v>
      </c>
      <c r="F931" t="s">
        <v>78</v>
      </c>
      <c r="G931" t="s">
        <v>79</v>
      </c>
      <c r="H931" t="str">
        <f>IF(COUNTIF(Sheet1!$A:$A,TEXT(A931,"0"))+COUNTIF(Sheet1!$A:$A,A931)&gt;0,"موجود","غير موجود")</f>
        <v>موجود</v>
      </c>
    </row>
    <row r="932" spans="1:8" x14ac:dyDescent="0.2">
      <c r="A932">
        <v>20309504110</v>
      </c>
      <c r="B932" t="s">
        <v>1036</v>
      </c>
      <c r="C932">
        <v>21.54</v>
      </c>
      <c r="D932">
        <v>15</v>
      </c>
      <c r="E932">
        <v>18.308999999999997</v>
      </c>
      <c r="F932" t="s">
        <v>78</v>
      </c>
      <c r="G932" t="s">
        <v>79</v>
      </c>
      <c r="H932" t="str">
        <f>IF(COUNTIF(Sheet1!$A:$A,TEXT(A932,"0"))+COUNTIF(Sheet1!$A:$A,A932)&gt;0,"موجود","غير موجود")</f>
        <v>موجود</v>
      </c>
    </row>
    <row r="933" spans="1:8" x14ac:dyDescent="0.2">
      <c r="A933">
        <v>20309504111</v>
      </c>
      <c r="B933" t="s">
        <v>1037</v>
      </c>
      <c r="C933">
        <v>21.54</v>
      </c>
      <c r="D933">
        <v>15</v>
      </c>
      <c r="E933">
        <v>18.308999999999997</v>
      </c>
      <c r="F933" t="s">
        <v>78</v>
      </c>
      <c r="G933" t="s">
        <v>79</v>
      </c>
      <c r="H933" t="str">
        <f>IF(COUNTIF(Sheet1!$A:$A,TEXT(A933,"0"))+COUNTIF(Sheet1!$A:$A,A933)&gt;0,"موجود","غير موجود")</f>
        <v>موجود</v>
      </c>
    </row>
    <row r="934" spans="1:8" x14ac:dyDescent="0.2">
      <c r="A934">
        <v>20309504112</v>
      </c>
      <c r="B934" t="s">
        <v>1038</v>
      </c>
      <c r="C934">
        <v>23.85</v>
      </c>
      <c r="D934">
        <v>15</v>
      </c>
      <c r="E934">
        <v>20.272500000000001</v>
      </c>
      <c r="F934" t="s">
        <v>78</v>
      </c>
      <c r="G934" t="s">
        <v>79</v>
      </c>
      <c r="H934" t="str">
        <f>IF(COUNTIF(Sheet1!$A:$A,TEXT(A934,"0"))+COUNTIF(Sheet1!$A:$A,A934)&gt;0,"موجود","غير موجود")</f>
        <v>موجود</v>
      </c>
    </row>
    <row r="935" spans="1:8" x14ac:dyDescent="0.2">
      <c r="A935">
        <v>20309504113</v>
      </c>
      <c r="B935" t="s">
        <v>1039</v>
      </c>
      <c r="C935">
        <v>19.62</v>
      </c>
      <c r="D935">
        <v>15</v>
      </c>
      <c r="E935">
        <v>16.677</v>
      </c>
      <c r="F935" t="s">
        <v>78</v>
      </c>
      <c r="G935" t="s">
        <v>79</v>
      </c>
      <c r="H935" t="str">
        <f>IF(COUNTIF(Sheet1!$A:$A,TEXT(A935,"0"))+COUNTIF(Sheet1!$A:$A,A935)&gt;0,"موجود","غير موجود")</f>
        <v>موجود</v>
      </c>
    </row>
    <row r="936" spans="1:8" x14ac:dyDescent="0.2">
      <c r="A936">
        <v>20309504114</v>
      </c>
      <c r="B936" t="s">
        <v>1040</v>
      </c>
      <c r="C936">
        <v>21.15</v>
      </c>
      <c r="D936">
        <v>15</v>
      </c>
      <c r="E936">
        <v>17.977499999999999</v>
      </c>
      <c r="F936" t="s">
        <v>78</v>
      </c>
      <c r="G936" t="s">
        <v>79</v>
      </c>
      <c r="H936" t="str">
        <f>IF(COUNTIF(Sheet1!$A:$A,TEXT(A936,"0"))+COUNTIF(Sheet1!$A:$A,A936)&gt;0,"موجود","غير موجود")</f>
        <v>موجود</v>
      </c>
    </row>
    <row r="937" spans="1:8" x14ac:dyDescent="0.2">
      <c r="A937">
        <v>20309504115</v>
      </c>
      <c r="B937" t="s">
        <v>1041</v>
      </c>
      <c r="C937">
        <v>42.31</v>
      </c>
      <c r="D937">
        <v>15</v>
      </c>
      <c r="E937">
        <v>35.963500000000003</v>
      </c>
      <c r="F937" t="s">
        <v>78</v>
      </c>
      <c r="G937" t="s">
        <v>79</v>
      </c>
      <c r="H937" t="str">
        <f>IF(COUNTIF(Sheet1!$A:$A,TEXT(A937,"0"))+COUNTIF(Sheet1!$A:$A,A937)&gt;0,"موجود","غير موجود")</f>
        <v>موجود</v>
      </c>
    </row>
    <row r="938" spans="1:8" x14ac:dyDescent="0.2">
      <c r="A938">
        <v>20715010294</v>
      </c>
      <c r="B938" t="s">
        <v>1042</v>
      </c>
      <c r="C938">
        <v>92.65</v>
      </c>
      <c r="D938">
        <v>7.5</v>
      </c>
      <c r="E938">
        <v>85.701250000000002</v>
      </c>
      <c r="F938" t="s">
        <v>78</v>
      </c>
      <c r="G938" t="s">
        <v>83</v>
      </c>
      <c r="H938" t="str">
        <f>IF(COUNTIF(Sheet1!$A:$A,TEXT(A938,"0"))+COUNTIF(Sheet1!$A:$A,A938)&gt;0,"موجود","غير موجود")</f>
        <v>موجود</v>
      </c>
    </row>
    <row r="939" spans="1:8" x14ac:dyDescent="0.2">
      <c r="A939">
        <v>20715010537</v>
      </c>
      <c r="B939" t="s">
        <v>1043</v>
      </c>
      <c r="C939">
        <v>92.6</v>
      </c>
      <c r="D939">
        <v>7.5</v>
      </c>
      <c r="E939">
        <v>85.655000000000001</v>
      </c>
      <c r="F939" t="s">
        <v>78</v>
      </c>
      <c r="G939" t="s">
        <v>83</v>
      </c>
      <c r="H939" t="str">
        <f>IF(COUNTIF(Sheet1!$A:$A,TEXT(A939,"0"))+COUNTIF(Sheet1!$A:$A,A939)&gt;0,"موجود","غير موجود")</f>
        <v>غير موجود</v>
      </c>
    </row>
    <row r="940" spans="1:8" x14ac:dyDescent="0.2">
      <c r="A940">
        <v>20715010538</v>
      </c>
      <c r="B940" t="s">
        <v>1044</v>
      </c>
      <c r="C940">
        <v>86.5</v>
      </c>
      <c r="D940">
        <v>7.5</v>
      </c>
      <c r="E940">
        <v>80.012500000000003</v>
      </c>
      <c r="F940" t="s">
        <v>78</v>
      </c>
      <c r="G940" t="s">
        <v>83</v>
      </c>
      <c r="H940" t="str">
        <f>IF(COUNTIF(Sheet1!$A:$A,TEXT(A940,"0"))+COUNTIF(Sheet1!$A:$A,A940)&gt;0,"موجود","غير موجود")</f>
        <v>موجود</v>
      </c>
    </row>
    <row r="941" spans="1:8" x14ac:dyDescent="0.2">
      <c r="A941">
        <v>20715010292</v>
      </c>
      <c r="B941" t="s">
        <v>1045</v>
      </c>
      <c r="C941">
        <v>97.3</v>
      </c>
      <c r="D941">
        <v>7.5</v>
      </c>
      <c r="E941">
        <v>90.002499999999998</v>
      </c>
      <c r="F941" t="s">
        <v>78</v>
      </c>
      <c r="G941" t="s">
        <v>83</v>
      </c>
      <c r="H941" t="str">
        <f>IF(COUNTIF(Sheet1!$A:$A,TEXT(A941,"0"))+COUNTIF(Sheet1!$A:$A,A941)&gt;0,"موجود","غير موجود")</f>
        <v>غير موجود</v>
      </c>
    </row>
    <row r="942" spans="1:8" x14ac:dyDescent="0.2">
      <c r="A942">
        <v>20715010527</v>
      </c>
      <c r="B942" t="s">
        <v>1046</v>
      </c>
      <c r="C942">
        <v>44</v>
      </c>
      <c r="D942">
        <v>10</v>
      </c>
      <c r="E942">
        <v>39.6</v>
      </c>
      <c r="F942" t="s">
        <v>78</v>
      </c>
      <c r="G942" t="s">
        <v>83</v>
      </c>
      <c r="H942" t="str">
        <f>IF(COUNTIF(Sheet1!$A:$A,TEXT(A942,"0"))+COUNTIF(Sheet1!$A:$A,A942)&gt;0,"موجود","غير موجود")</f>
        <v>موجود</v>
      </c>
    </row>
    <row r="943" spans="1:8" x14ac:dyDescent="0.2">
      <c r="A943">
        <v>20715010526</v>
      </c>
      <c r="B943" t="s">
        <v>1047</v>
      </c>
      <c r="C943">
        <v>44</v>
      </c>
      <c r="D943">
        <v>10</v>
      </c>
      <c r="E943">
        <v>39.6</v>
      </c>
      <c r="F943" t="s">
        <v>78</v>
      </c>
      <c r="G943" t="s">
        <v>83</v>
      </c>
      <c r="H943" t="str">
        <f>IF(COUNTIF(Sheet1!$A:$A,TEXT(A943,"0"))+COUNTIF(Sheet1!$A:$A,A943)&gt;0,"موجود","غير موجود")</f>
        <v>موجود</v>
      </c>
    </row>
    <row r="944" spans="1:8" x14ac:dyDescent="0.2">
      <c r="A944">
        <v>20715010525</v>
      </c>
      <c r="B944" t="s">
        <v>1048</v>
      </c>
      <c r="C944">
        <v>40</v>
      </c>
      <c r="D944">
        <v>10</v>
      </c>
      <c r="E944">
        <v>36</v>
      </c>
      <c r="F944" t="s">
        <v>78</v>
      </c>
      <c r="G944" t="s">
        <v>83</v>
      </c>
      <c r="H944" t="str">
        <f>IF(COUNTIF(Sheet1!$A:$A,TEXT(A944,"0"))+COUNTIF(Sheet1!$A:$A,A944)&gt;0,"موجود","غير موجود")</f>
        <v>موجود</v>
      </c>
    </row>
    <row r="945" spans="1:8" x14ac:dyDescent="0.2">
      <c r="A945">
        <v>20309504128</v>
      </c>
      <c r="B945" t="s">
        <v>1049</v>
      </c>
      <c r="C945">
        <v>18.48</v>
      </c>
      <c r="D945">
        <v>25</v>
      </c>
      <c r="E945">
        <v>12.381599999999999</v>
      </c>
      <c r="F945" t="s">
        <v>78</v>
      </c>
      <c r="G945" t="s">
        <v>79</v>
      </c>
      <c r="H945" t="str">
        <f>IF(COUNTIF(Sheet1!$A:$A,TEXT(A945,"0"))+COUNTIF(Sheet1!$A:$A,A945)&gt;0,"موجود","غير موجود")</f>
        <v>غير موجود</v>
      </c>
    </row>
    <row r="946" spans="1:8" x14ac:dyDescent="0.2">
      <c r="A946">
        <v>20309504132</v>
      </c>
      <c r="B946" t="s">
        <v>1050</v>
      </c>
      <c r="C946">
        <v>17.71</v>
      </c>
      <c r="D946">
        <v>25</v>
      </c>
      <c r="E946">
        <v>11.8657</v>
      </c>
      <c r="F946" t="s">
        <v>78</v>
      </c>
      <c r="G946" t="s">
        <v>79</v>
      </c>
      <c r="H946" t="str">
        <f>IF(COUNTIF(Sheet1!$A:$A,TEXT(A946,"0"))+COUNTIF(Sheet1!$A:$A,A946)&gt;0,"موجود","غير موجود")</f>
        <v>غير موجود</v>
      </c>
    </row>
    <row r="947" spans="1:8" x14ac:dyDescent="0.2">
      <c r="A947">
        <v>20309021314</v>
      </c>
      <c r="B947" t="s">
        <v>1051</v>
      </c>
      <c r="C947">
        <v>48.4</v>
      </c>
      <c r="D947">
        <v>25</v>
      </c>
      <c r="E947">
        <v>32.427999999999997</v>
      </c>
      <c r="F947" t="s">
        <v>78</v>
      </c>
      <c r="G947" t="s">
        <v>79</v>
      </c>
      <c r="H947" t="str">
        <f>IF(COUNTIF(Sheet1!$A:$A,TEXT(A947,"0"))+COUNTIF(Sheet1!$A:$A,A947)&gt;0,"موجود","غير موجود")</f>
        <v>غير موجود</v>
      </c>
    </row>
    <row r="948" spans="1:8" x14ac:dyDescent="0.2">
      <c r="A948">
        <v>20309504130</v>
      </c>
      <c r="B948" t="s">
        <v>1052</v>
      </c>
      <c r="C948">
        <v>17.71</v>
      </c>
      <c r="D948">
        <v>25</v>
      </c>
      <c r="E948">
        <v>11.8657</v>
      </c>
      <c r="F948" t="s">
        <v>78</v>
      </c>
      <c r="G948" t="s">
        <v>79</v>
      </c>
      <c r="H948" t="str">
        <f>IF(COUNTIF(Sheet1!$A:$A,TEXT(A948,"0"))+COUNTIF(Sheet1!$A:$A,A948)&gt;0,"موجود","غير موجود")</f>
        <v>غير موجود</v>
      </c>
    </row>
    <row r="949" spans="1:8" x14ac:dyDescent="0.2">
      <c r="A949">
        <v>20309021921</v>
      </c>
      <c r="B949" t="s">
        <v>1053</v>
      </c>
      <c r="C949">
        <v>24.64</v>
      </c>
      <c r="D949">
        <v>25</v>
      </c>
      <c r="E949">
        <v>16.508800000000001</v>
      </c>
      <c r="F949" t="s">
        <v>78</v>
      </c>
      <c r="G949" t="s">
        <v>79</v>
      </c>
      <c r="H949" t="str">
        <f>IF(COUNTIF(Sheet1!$A:$A,TEXT(A949,"0"))+COUNTIF(Sheet1!$A:$A,A949)&gt;0,"موجود","غير موجود")</f>
        <v>غير موجود</v>
      </c>
    </row>
    <row r="950" spans="1:8" x14ac:dyDescent="0.2">
      <c r="A950">
        <v>20309012333</v>
      </c>
      <c r="B950" t="s">
        <v>1054</v>
      </c>
      <c r="C950">
        <v>15.4</v>
      </c>
      <c r="D950">
        <v>25</v>
      </c>
      <c r="E950">
        <v>10.318000000000001</v>
      </c>
      <c r="F950" t="s">
        <v>78</v>
      </c>
      <c r="G950" t="s">
        <v>79</v>
      </c>
      <c r="H950" t="str">
        <f>IF(COUNTIF(Sheet1!$A:$A,TEXT(A950,"0"))+COUNTIF(Sheet1!$A:$A,A950)&gt;0,"موجود","غير موجود")</f>
        <v>غير موجود</v>
      </c>
    </row>
    <row r="951" spans="1:8" x14ac:dyDescent="0.2">
      <c r="A951">
        <v>20309012337</v>
      </c>
      <c r="B951" t="s">
        <v>1055</v>
      </c>
      <c r="C951">
        <v>15.4</v>
      </c>
      <c r="D951">
        <v>25</v>
      </c>
      <c r="E951">
        <v>10.318000000000001</v>
      </c>
      <c r="F951" t="s">
        <v>78</v>
      </c>
      <c r="G951" t="s">
        <v>79</v>
      </c>
      <c r="H951" t="str">
        <f>IF(COUNTIF(Sheet1!$A:$A,TEXT(A951,"0"))+COUNTIF(Sheet1!$A:$A,A951)&gt;0,"موجود","غير موجود")</f>
        <v>غير موجود</v>
      </c>
    </row>
    <row r="952" spans="1:8" x14ac:dyDescent="0.2">
      <c r="A952">
        <v>20309012338</v>
      </c>
      <c r="B952" t="s">
        <v>1056</v>
      </c>
      <c r="C952">
        <v>15.4</v>
      </c>
      <c r="D952">
        <v>25</v>
      </c>
      <c r="E952">
        <v>10.318000000000001</v>
      </c>
      <c r="F952" t="s">
        <v>78</v>
      </c>
      <c r="G952" t="s">
        <v>79</v>
      </c>
      <c r="H952" t="str">
        <f>IF(COUNTIF(Sheet1!$A:$A,TEXT(A952,"0"))+COUNTIF(Sheet1!$A:$A,A952)&gt;0,"موجود","غير موجود")</f>
        <v>غير موجود</v>
      </c>
    </row>
    <row r="953" spans="1:8" x14ac:dyDescent="0.2">
      <c r="A953">
        <v>20309012336</v>
      </c>
      <c r="B953" t="s">
        <v>1057</v>
      </c>
      <c r="C953">
        <v>15.4</v>
      </c>
      <c r="D953">
        <v>25</v>
      </c>
      <c r="E953">
        <v>10.318000000000001</v>
      </c>
      <c r="F953" t="s">
        <v>78</v>
      </c>
      <c r="G953" t="s">
        <v>79</v>
      </c>
      <c r="H953" t="str">
        <f>IF(COUNTIF(Sheet1!$A:$A,TEXT(A953,"0"))+COUNTIF(Sheet1!$A:$A,A953)&gt;0,"موجود","غير موجود")</f>
        <v>غير موجود</v>
      </c>
    </row>
    <row r="954" spans="1:8" x14ac:dyDescent="0.2">
      <c r="A954">
        <v>20309012335</v>
      </c>
      <c r="B954" t="s">
        <v>1058</v>
      </c>
      <c r="C954">
        <v>15.4</v>
      </c>
      <c r="D954">
        <v>25</v>
      </c>
      <c r="E954">
        <v>10.318000000000001</v>
      </c>
      <c r="F954" t="s">
        <v>78</v>
      </c>
      <c r="G954" t="s">
        <v>79</v>
      </c>
      <c r="H954" t="str">
        <f>IF(COUNTIF(Sheet1!$A:$A,TEXT(A954,"0"))+COUNTIF(Sheet1!$A:$A,A954)&gt;0,"موجود","غير موجود")</f>
        <v>غير موجود</v>
      </c>
    </row>
    <row r="955" spans="1:8" x14ac:dyDescent="0.2">
      <c r="A955">
        <v>20309012334</v>
      </c>
      <c r="B955" t="s">
        <v>1059</v>
      </c>
      <c r="C955">
        <v>15.4</v>
      </c>
      <c r="D955">
        <v>25</v>
      </c>
      <c r="E955">
        <v>10.318000000000001</v>
      </c>
      <c r="F955" t="s">
        <v>78</v>
      </c>
      <c r="G955" t="s">
        <v>79</v>
      </c>
      <c r="H955" t="str">
        <f>IF(COUNTIF(Sheet1!$A:$A,TEXT(A955,"0"))+COUNTIF(Sheet1!$A:$A,A955)&gt;0,"موجود","غير موجود")</f>
        <v>غير موجود</v>
      </c>
    </row>
    <row r="956" spans="1:8" x14ac:dyDescent="0.2">
      <c r="A956">
        <v>20309504131</v>
      </c>
      <c r="B956" t="s">
        <v>1060</v>
      </c>
      <c r="C956">
        <v>17.71</v>
      </c>
      <c r="D956">
        <v>25</v>
      </c>
      <c r="E956">
        <v>11.8657</v>
      </c>
      <c r="F956" t="s">
        <v>78</v>
      </c>
      <c r="G956" t="s">
        <v>79</v>
      </c>
      <c r="H956" t="str">
        <f>IF(COUNTIF(Sheet1!$A:$A,TEXT(A956,"0"))+COUNTIF(Sheet1!$A:$A,A956)&gt;0,"موجود","غير موجود")</f>
        <v>غير موجود</v>
      </c>
    </row>
    <row r="957" spans="1:8" x14ac:dyDescent="0.2">
      <c r="A957">
        <v>20309504143</v>
      </c>
      <c r="B957" t="s">
        <v>1061</v>
      </c>
      <c r="C957">
        <v>15.4</v>
      </c>
      <c r="D957">
        <v>25</v>
      </c>
      <c r="E957">
        <v>10.318000000000001</v>
      </c>
      <c r="F957" t="s">
        <v>78</v>
      </c>
      <c r="G957" t="s">
        <v>79</v>
      </c>
      <c r="H957" t="str">
        <f>IF(COUNTIF(Sheet1!$A:$A,TEXT(A957,"0"))+COUNTIF(Sheet1!$A:$A,A957)&gt;0,"موجود","غير موجود")</f>
        <v>غير موجود</v>
      </c>
    </row>
    <row r="958" spans="1:8" x14ac:dyDescent="0.2">
      <c r="A958">
        <v>20309021915</v>
      </c>
      <c r="B958" t="s">
        <v>1062</v>
      </c>
      <c r="C958">
        <v>12.94</v>
      </c>
      <c r="D958">
        <v>25</v>
      </c>
      <c r="E958">
        <v>8.6697999999999986</v>
      </c>
      <c r="F958" t="s">
        <v>78</v>
      </c>
      <c r="G958" t="s">
        <v>79</v>
      </c>
      <c r="H958" t="str">
        <f>IF(COUNTIF(Sheet1!$A:$A,TEXT(A958,"0"))+COUNTIF(Sheet1!$A:$A,A958)&gt;0,"موجود","غير موجود")</f>
        <v>غير موجود</v>
      </c>
    </row>
    <row r="959" spans="1:8" x14ac:dyDescent="0.2">
      <c r="A959">
        <v>20309021913</v>
      </c>
      <c r="B959" t="s">
        <v>1063</v>
      </c>
      <c r="C959">
        <v>12.94</v>
      </c>
      <c r="D959">
        <v>25</v>
      </c>
      <c r="E959">
        <v>8.6697999999999986</v>
      </c>
      <c r="F959" t="s">
        <v>78</v>
      </c>
      <c r="G959" t="s">
        <v>79</v>
      </c>
      <c r="H959" t="str">
        <f>IF(COUNTIF(Sheet1!$A:$A,TEXT(A959,"0"))+COUNTIF(Sheet1!$A:$A,A959)&gt;0,"موجود","غير موجود")</f>
        <v>غير موجود</v>
      </c>
    </row>
    <row r="960" spans="1:8" x14ac:dyDescent="0.2">
      <c r="A960">
        <v>20309021914</v>
      </c>
      <c r="B960" t="s">
        <v>1064</v>
      </c>
      <c r="C960">
        <v>12.94</v>
      </c>
      <c r="D960">
        <v>25</v>
      </c>
      <c r="E960">
        <v>8.6697999999999986</v>
      </c>
      <c r="F960" t="s">
        <v>78</v>
      </c>
      <c r="G960" t="s">
        <v>79</v>
      </c>
      <c r="H960" t="str">
        <f>IF(COUNTIF(Sheet1!$A:$A,TEXT(A960,"0"))+COUNTIF(Sheet1!$A:$A,A960)&gt;0,"موجود","غير موجود")</f>
        <v>غير موجود</v>
      </c>
    </row>
    <row r="961" spans="1:8" x14ac:dyDescent="0.2">
      <c r="A961">
        <v>20309504142</v>
      </c>
      <c r="B961" t="s">
        <v>1065</v>
      </c>
      <c r="C961">
        <v>7.7</v>
      </c>
      <c r="D961">
        <v>25</v>
      </c>
      <c r="E961">
        <v>5.1590000000000007</v>
      </c>
      <c r="F961" t="s">
        <v>78</v>
      </c>
      <c r="G961" t="s">
        <v>79</v>
      </c>
      <c r="H961" t="str">
        <f>IF(COUNTIF(Sheet1!$A:$A,TEXT(A961,"0"))+COUNTIF(Sheet1!$A:$A,A961)&gt;0,"موجود","غير موجود")</f>
        <v>غير موجود</v>
      </c>
    </row>
    <row r="962" spans="1:8" x14ac:dyDescent="0.2">
      <c r="A962">
        <v>20309504135</v>
      </c>
      <c r="B962" t="s">
        <v>1066</v>
      </c>
      <c r="C962">
        <v>10.72</v>
      </c>
      <c r="D962">
        <v>25</v>
      </c>
      <c r="E962">
        <v>7.1824000000000003</v>
      </c>
      <c r="F962" t="s">
        <v>78</v>
      </c>
      <c r="G962" t="s">
        <v>79</v>
      </c>
      <c r="H962" t="str">
        <f>IF(COUNTIF(Sheet1!$A:$A,TEXT(A962,"0"))+COUNTIF(Sheet1!$A:$A,A962)&gt;0,"موجود","غير موجود")</f>
        <v>غير موجود</v>
      </c>
    </row>
    <row r="963" spans="1:8" x14ac:dyDescent="0.2">
      <c r="A963">
        <v>20309504137</v>
      </c>
      <c r="B963" t="s">
        <v>1067</v>
      </c>
      <c r="C963">
        <v>10.72</v>
      </c>
      <c r="D963">
        <v>25</v>
      </c>
      <c r="E963">
        <v>7.1824000000000003</v>
      </c>
      <c r="F963" t="s">
        <v>78</v>
      </c>
      <c r="G963" t="s">
        <v>79</v>
      </c>
      <c r="H963" t="str">
        <f>IF(COUNTIF(Sheet1!$A:$A,TEXT(A963,"0"))+COUNTIF(Sheet1!$A:$A,A963)&gt;0,"موجود","غير موجود")</f>
        <v>غير موجود</v>
      </c>
    </row>
    <row r="964" spans="1:8" x14ac:dyDescent="0.2">
      <c r="A964">
        <v>20309504136</v>
      </c>
      <c r="B964" t="s">
        <v>1068</v>
      </c>
      <c r="C964">
        <v>10.72</v>
      </c>
      <c r="D964">
        <v>25</v>
      </c>
      <c r="E964">
        <v>7.1824000000000003</v>
      </c>
      <c r="F964" t="s">
        <v>78</v>
      </c>
      <c r="G964" t="s">
        <v>79</v>
      </c>
      <c r="H964" t="str">
        <f>IF(COUNTIF(Sheet1!$A:$A,TEXT(A964,"0"))+COUNTIF(Sheet1!$A:$A,A964)&gt;0,"موجود","غير موجود")</f>
        <v>غير موجود</v>
      </c>
    </row>
    <row r="965" spans="1:8" x14ac:dyDescent="0.2">
      <c r="A965">
        <v>20309504138</v>
      </c>
      <c r="B965" t="s">
        <v>1069</v>
      </c>
      <c r="C965">
        <v>10.72</v>
      </c>
      <c r="D965">
        <v>25</v>
      </c>
      <c r="E965">
        <v>7.1824000000000003</v>
      </c>
      <c r="F965" t="s">
        <v>78</v>
      </c>
      <c r="G965" t="s">
        <v>79</v>
      </c>
      <c r="H965" t="str">
        <f>IF(COUNTIF(Sheet1!$A:$A,TEXT(A965,"0"))+COUNTIF(Sheet1!$A:$A,A965)&gt;0,"موجود","غير موجود")</f>
        <v>غير موجود</v>
      </c>
    </row>
    <row r="966" spans="1:8" x14ac:dyDescent="0.2">
      <c r="A966">
        <v>20309504129</v>
      </c>
      <c r="B966" t="s">
        <v>1070</v>
      </c>
      <c r="C966">
        <v>18.48</v>
      </c>
      <c r="D966">
        <v>25</v>
      </c>
      <c r="E966">
        <v>12.381599999999999</v>
      </c>
      <c r="F966" t="s">
        <v>78</v>
      </c>
      <c r="G966" t="s">
        <v>79</v>
      </c>
      <c r="H966" t="str">
        <f>IF(COUNTIF(Sheet1!$A:$A,TEXT(A966,"0"))+COUNTIF(Sheet1!$A:$A,A966)&gt;0,"موجود","غير موجود")</f>
        <v>غير موجود</v>
      </c>
    </row>
    <row r="967" spans="1:8" x14ac:dyDescent="0.2">
      <c r="A967">
        <v>20309504133</v>
      </c>
      <c r="B967" t="s">
        <v>1071</v>
      </c>
      <c r="C967">
        <v>17.71</v>
      </c>
      <c r="D967">
        <v>25</v>
      </c>
      <c r="E967">
        <v>11.8657</v>
      </c>
      <c r="F967" t="s">
        <v>78</v>
      </c>
      <c r="G967" t="s">
        <v>79</v>
      </c>
      <c r="H967" t="str">
        <f>IF(COUNTIF(Sheet1!$A:$A,TEXT(A967,"0"))+COUNTIF(Sheet1!$A:$A,A967)&gt;0,"موجود","غير موجود")</f>
        <v>غير موجود</v>
      </c>
    </row>
    <row r="968" spans="1:8" x14ac:dyDescent="0.2">
      <c r="A968">
        <v>20309500471</v>
      </c>
      <c r="B968" t="s">
        <v>1072</v>
      </c>
      <c r="C968">
        <v>12</v>
      </c>
      <c r="D968">
        <v>25</v>
      </c>
      <c r="E968">
        <v>8.0399999999999991</v>
      </c>
      <c r="F968" t="s">
        <v>78</v>
      </c>
      <c r="G968" t="s">
        <v>79</v>
      </c>
      <c r="H968" t="str">
        <f>IF(COUNTIF(Sheet1!$A:$A,TEXT(A968,"0"))+COUNTIF(Sheet1!$A:$A,A968)&gt;0,"موجود","غير موجود")</f>
        <v>غير موجود</v>
      </c>
    </row>
    <row r="969" spans="1:8" x14ac:dyDescent="0.2">
      <c r="A969">
        <v>20309021919</v>
      </c>
      <c r="B969" t="s">
        <v>1073</v>
      </c>
      <c r="C969">
        <v>30.8</v>
      </c>
      <c r="D969">
        <v>25</v>
      </c>
      <c r="E969">
        <v>20.636000000000003</v>
      </c>
      <c r="F969" t="s">
        <v>78</v>
      </c>
      <c r="G969" t="s">
        <v>79</v>
      </c>
      <c r="H969" t="str">
        <f>IF(COUNTIF(Sheet1!$A:$A,TEXT(A969,"0"))+COUNTIF(Sheet1!$A:$A,A969)&gt;0,"موجود","غير موجود")</f>
        <v>غير موجود</v>
      </c>
    </row>
    <row r="970" spans="1:8" x14ac:dyDescent="0.2">
      <c r="A970">
        <v>20309021920</v>
      </c>
      <c r="B970" t="s">
        <v>1074</v>
      </c>
      <c r="C970">
        <v>30.8</v>
      </c>
      <c r="D970">
        <v>25</v>
      </c>
      <c r="E970">
        <v>20.636000000000003</v>
      </c>
      <c r="F970" t="s">
        <v>78</v>
      </c>
      <c r="G970" t="s">
        <v>79</v>
      </c>
      <c r="H970" t="str">
        <f>IF(COUNTIF(Sheet1!$A:$A,TEXT(A970,"0"))+COUNTIF(Sheet1!$A:$A,A970)&gt;0,"موجود","غير موجود")</f>
        <v>غير موجود</v>
      </c>
    </row>
    <row r="971" spans="1:8" x14ac:dyDescent="0.2">
      <c r="A971">
        <v>20309504141</v>
      </c>
      <c r="B971" t="s">
        <v>1075</v>
      </c>
      <c r="C971">
        <v>7.7</v>
      </c>
      <c r="D971">
        <v>25</v>
      </c>
      <c r="E971">
        <v>5.1590000000000007</v>
      </c>
      <c r="F971" t="s">
        <v>78</v>
      </c>
      <c r="G971" t="s">
        <v>79</v>
      </c>
      <c r="H971" t="str">
        <f>IF(COUNTIF(Sheet1!$A:$A,TEXT(A971,"0"))+COUNTIF(Sheet1!$A:$A,A971)&gt;0,"موجود","غير موجود")</f>
        <v>غير موجود</v>
      </c>
    </row>
    <row r="972" spans="1:8" x14ac:dyDescent="0.2">
      <c r="A972">
        <v>30420012551</v>
      </c>
      <c r="B972" t="s">
        <v>1076</v>
      </c>
      <c r="C972">
        <v>111</v>
      </c>
      <c r="D972">
        <v>25</v>
      </c>
      <c r="E972">
        <v>74.37</v>
      </c>
      <c r="F972" t="s">
        <v>78</v>
      </c>
      <c r="G972" t="s">
        <v>79</v>
      </c>
      <c r="H972" t="str">
        <f>IF(COUNTIF(Sheet1!$A:$A,TEXT(A972,"0"))+COUNTIF(Sheet1!$A:$A,A972)&gt;0,"موجود","غير موجود")</f>
        <v>غير موجود</v>
      </c>
    </row>
    <row r="973" spans="1:8" x14ac:dyDescent="0.2">
      <c r="A973">
        <v>20309012331</v>
      </c>
      <c r="B973" t="s">
        <v>1077</v>
      </c>
      <c r="C973">
        <v>12.32</v>
      </c>
      <c r="D973">
        <v>25</v>
      </c>
      <c r="E973">
        <v>8.2544000000000004</v>
      </c>
      <c r="F973" t="s">
        <v>78</v>
      </c>
      <c r="G973" t="s">
        <v>79</v>
      </c>
      <c r="H973" t="str">
        <f>IF(COUNTIF(Sheet1!$A:$A,TEXT(A973,"0"))+COUNTIF(Sheet1!$A:$A,A973)&gt;0,"موجود","غير موجود")</f>
        <v>غير موجود</v>
      </c>
    </row>
    <row r="974" spans="1:8" x14ac:dyDescent="0.2">
      <c r="A974">
        <v>20309503950</v>
      </c>
      <c r="B974" t="s">
        <v>1078</v>
      </c>
      <c r="C974">
        <v>25.23</v>
      </c>
      <c r="D974">
        <v>30</v>
      </c>
      <c r="E974">
        <v>17.661000000000001</v>
      </c>
      <c r="F974" t="s">
        <v>78</v>
      </c>
      <c r="G974" t="s">
        <v>79</v>
      </c>
      <c r="H974" t="str">
        <f>IF(COUNTIF(Sheet1!$A:$A,TEXT(A974,"0"))+COUNTIF(Sheet1!$A:$A,A974)&gt;0,"موجود","غير موجود")</f>
        <v>غير موجود</v>
      </c>
    </row>
    <row r="975" spans="1:8" x14ac:dyDescent="0.2">
      <c r="A975">
        <v>20309503951</v>
      </c>
      <c r="B975" t="s">
        <v>1079</v>
      </c>
      <c r="C975">
        <v>47.85</v>
      </c>
      <c r="D975">
        <v>30</v>
      </c>
      <c r="E975">
        <v>33.495000000000005</v>
      </c>
      <c r="F975" t="s">
        <v>78</v>
      </c>
      <c r="G975" t="s">
        <v>79</v>
      </c>
      <c r="H975" t="str">
        <f>IF(COUNTIF(Sheet1!$A:$A,TEXT(A975,"0"))+COUNTIF(Sheet1!$A:$A,A975)&gt;0,"موجود","غير موجود")</f>
        <v>غير موجود</v>
      </c>
    </row>
    <row r="976" spans="1:8" x14ac:dyDescent="0.2">
      <c r="A976">
        <v>20309503952</v>
      </c>
      <c r="B976" t="s">
        <v>1080</v>
      </c>
      <c r="C976">
        <v>25.23</v>
      </c>
      <c r="D976">
        <v>30</v>
      </c>
      <c r="E976">
        <v>17.661000000000001</v>
      </c>
      <c r="F976" t="s">
        <v>78</v>
      </c>
      <c r="G976" t="s">
        <v>79</v>
      </c>
      <c r="H976" t="str">
        <f>IF(COUNTIF(Sheet1!$A:$A,TEXT(A976,"0"))+COUNTIF(Sheet1!$A:$A,A976)&gt;0,"موجود","غير موجود")</f>
        <v>غير موجود</v>
      </c>
    </row>
    <row r="977" spans="1:8" x14ac:dyDescent="0.2">
      <c r="A977">
        <v>20309503953</v>
      </c>
      <c r="B977" t="s">
        <v>1081</v>
      </c>
      <c r="C977">
        <v>25.23</v>
      </c>
      <c r="D977">
        <v>30</v>
      </c>
      <c r="E977">
        <v>17.661000000000001</v>
      </c>
      <c r="F977" t="s">
        <v>78</v>
      </c>
      <c r="G977" t="s">
        <v>79</v>
      </c>
      <c r="H977" t="str">
        <f>IF(COUNTIF(Sheet1!$A:$A,TEXT(A977,"0"))+COUNTIF(Sheet1!$A:$A,A977)&gt;0,"موجود","غير موجود")</f>
        <v>غير موجود</v>
      </c>
    </row>
    <row r="978" spans="1:8" x14ac:dyDescent="0.2">
      <c r="A978">
        <v>20309503954</v>
      </c>
      <c r="B978" t="s">
        <v>1082</v>
      </c>
      <c r="C978">
        <v>39.15</v>
      </c>
      <c r="D978">
        <v>30</v>
      </c>
      <c r="E978">
        <v>27.405000000000001</v>
      </c>
      <c r="F978" t="s">
        <v>78</v>
      </c>
      <c r="G978" t="s">
        <v>79</v>
      </c>
      <c r="H978" t="str">
        <f>IF(COUNTIF(Sheet1!$A:$A,TEXT(A978,"0"))+COUNTIF(Sheet1!$A:$A,A978)&gt;0,"موجود","غير موجود")</f>
        <v>غير موجود</v>
      </c>
    </row>
    <row r="979" spans="1:8" x14ac:dyDescent="0.2">
      <c r="A979">
        <v>20309503955</v>
      </c>
      <c r="B979" t="s">
        <v>1083</v>
      </c>
      <c r="C979">
        <v>47.85</v>
      </c>
      <c r="D979">
        <v>30</v>
      </c>
      <c r="E979">
        <v>33.495000000000005</v>
      </c>
      <c r="F979" t="s">
        <v>78</v>
      </c>
      <c r="G979" t="s">
        <v>79</v>
      </c>
      <c r="H979" t="str">
        <f>IF(COUNTIF(Sheet1!$A:$A,TEXT(A979,"0"))+COUNTIF(Sheet1!$A:$A,A979)&gt;0,"موجود","غير موجود")</f>
        <v>غير موجود</v>
      </c>
    </row>
    <row r="980" spans="1:8" x14ac:dyDescent="0.2">
      <c r="A980">
        <v>20309503956</v>
      </c>
      <c r="B980" t="s">
        <v>1084</v>
      </c>
      <c r="C980">
        <v>73.91</v>
      </c>
      <c r="D980">
        <v>30</v>
      </c>
      <c r="E980">
        <v>51.736999999999995</v>
      </c>
      <c r="F980" t="s">
        <v>78</v>
      </c>
      <c r="G980" t="s">
        <v>79</v>
      </c>
      <c r="H980" t="str">
        <f>IF(COUNTIF(Sheet1!$A:$A,TEXT(A980,"0"))+COUNTIF(Sheet1!$A:$A,A980)&gt;0,"موجود","غير موجود")</f>
        <v>غير موجود</v>
      </c>
    </row>
    <row r="981" spans="1:8" x14ac:dyDescent="0.2">
      <c r="A981">
        <v>20309503957</v>
      </c>
      <c r="B981" t="s">
        <v>1085</v>
      </c>
      <c r="C981">
        <v>39.15</v>
      </c>
      <c r="D981">
        <v>30</v>
      </c>
      <c r="E981">
        <v>27.405000000000001</v>
      </c>
      <c r="F981" t="s">
        <v>78</v>
      </c>
      <c r="G981" t="s">
        <v>79</v>
      </c>
      <c r="H981" t="str">
        <f>IF(COUNTIF(Sheet1!$A:$A,TEXT(A981,"0"))+COUNTIF(Sheet1!$A:$A,A981)&gt;0,"موجود","غير موجود")</f>
        <v>غير موجود</v>
      </c>
    </row>
    <row r="982" spans="1:8" x14ac:dyDescent="0.2">
      <c r="A982">
        <v>20309503958</v>
      </c>
      <c r="B982" t="s">
        <v>1086</v>
      </c>
      <c r="C982">
        <v>33.93</v>
      </c>
      <c r="D982">
        <v>30</v>
      </c>
      <c r="E982">
        <v>23.750999999999998</v>
      </c>
      <c r="F982" t="s">
        <v>78</v>
      </c>
      <c r="G982" t="s">
        <v>79</v>
      </c>
      <c r="H982" t="str">
        <f>IF(COUNTIF(Sheet1!$A:$A,TEXT(A982,"0"))+COUNTIF(Sheet1!$A:$A,A982)&gt;0,"موجود","غير موجود")</f>
        <v>غير موجود</v>
      </c>
    </row>
    <row r="983" spans="1:8" x14ac:dyDescent="0.2">
      <c r="A983">
        <v>20309503959</v>
      </c>
      <c r="B983" t="s">
        <v>1087</v>
      </c>
      <c r="C983">
        <v>47.85</v>
      </c>
      <c r="D983">
        <v>30</v>
      </c>
      <c r="E983">
        <v>33.495000000000005</v>
      </c>
      <c r="F983" t="s">
        <v>78</v>
      </c>
      <c r="G983" t="s">
        <v>79</v>
      </c>
      <c r="H983" t="str">
        <f>IF(COUNTIF(Sheet1!$A:$A,TEXT(A983,"0"))+COUNTIF(Sheet1!$A:$A,A983)&gt;0,"موجود","غير موجود")</f>
        <v>غير موجود</v>
      </c>
    </row>
    <row r="984" spans="1:8" x14ac:dyDescent="0.2">
      <c r="A984">
        <v>20309503960</v>
      </c>
      <c r="B984" t="s">
        <v>1088</v>
      </c>
      <c r="C984">
        <v>47.85</v>
      </c>
      <c r="D984">
        <v>30</v>
      </c>
      <c r="E984">
        <v>33.495000000000005</v>
      </c>
      <c r="F984" t="s">
        <v>78</v>
      </c>
      <c r="G984" t="s">
        <v>79</v>
      </c>
      <c r="H984" t="str">
        <f>IF(COUNTIF(Sheet1!$A:$A,TEXT(A984,"0"))+COUNTIF(Sheet1!$A:$A,A984)&gt;0,"موجود","غير موجود")</f>
        <v>غير موجود</v>
      </c>
    </row>
    <row r="985" spans="1:8" x14ac:dyDescent="0.2">
      <c r="A985">
        <v>20309503961</v>
      </c>
      <c r="B985" t="s">
        <v>1089</v>
      </c>
      <c r="C985">
        <v>51.33</v>
      </c>
      <c r="D985">
        <v>30</v>
      </c>
      <c r="E985">
        <v>35.930999999999997</v>
      </c>
      <c r="F985" t="s">
        <v>78</v>
      </c>
      <c r="G985" t="s">
        <v>79</v>
      </c>
      <c r="H985" t="str">
        <f>IF(COUNTIF(Sheet1!$A:$A,TEXT(A985,"0"))+COUNTIF(Sheet1!$A:$A,A985)&gt;0,"موجود","غير موجود")</f>
        <v>غير موجود</v>
      </c>
    </row>
    <row r="986" spans="1:8" x14ac:dyDescent="0.2">
      <c r="A986">
        <v>20309503962</v>
      </c>
      <c r="B986" t="s">
        <v>1084</v>
      </c>
      <c r="C986">
        <v>73.91</v>
      </c>
      <c r="D986">
        <v>30</v>
      </c>
      <c r="E986">
        <v>51.736999999999995</v>
      </c>
      <c r="F986" t="s">
        <v>78</v>
      </c>
      <c r="G986" t="s">
        <v>79</v>
      </c>
      <c r="H986" t="str">
        <f>IF(COUNTIF(Sheet1!$A:$A,TEXT(A986,"0"))+COUNTIF(Sheet1!$A:$A,A986)&gt;0,"موجود","غير موجود")</f>
        <v>غير موجود</v>
      </c>
    </row>
    <row r="987" spans="1:8" x14ac:dyDescent="0.2">
      <c r="A987">
        <v>20309503963</v>
      </c>
      <c r="B987" t="s">
        <v>1090</v>
      </c>
      <c r="C987">
        <v>13.05</v>
      </c>
      <c r="D987">
        <v>30</v>
      </c>
      <c r="E987">
        <v>9.1350000000000016</v>
      </c>
      <c r="F987" t="s">
        <v>78</v>
      </c>
      <c r="G987" t="s">
        <v>79</v>
      </c>
      <c r="H987" t="str">
        <f>IF(COUNTIF(Sheet1!$A:$A,TEXT(A987,"0"))+COUNTIF(Sheet1!$A:$A,A987)&gt;0,"موجود","غير موجود")</f>
        <v>غير موجود</v>
      </c>
    </row>
    <row r="988" spans="1:8" x14ac:dyDescent="0.2">
      <c r="A988">
        <v>20309503964</v>
      </c>
      <c r="B988" t="s">
        <v>1081</v>
      </c>
      <c r="C988">
        <v>25.23</v>
      </c>
      <c r="D988">
        <v>30</v>
      </c>
      <c r="E988">
        <v>17.661000000000001</v>
      </c>
      <c r="F988" t="s">
        <v>78</v>
      </c>
      <c r="G988" t="s">
        <v>79</v>
      </c>
      <c r="H988" t="str">
        <f>IF(COUNTIF(Sheet1!$A:$A,TEXT(A988,"0"))+COUNTIF(Sheet1!$A:$A,A988)&gt;0,"موجود","غير موجود")</f>
        <v>غير موجود</v>
      </c>
    </row>
    <row r="989" spans="1:8" x14ac:dyDescent="0.2">
      <c r="A989">
        <v>20309503965</v>
      </c>
      <c r="B989" t="s">
        <v>1091</v>
      </c>
      <c r="C989">
        <v>21.75</v>
      </c>
      <c r="D989">
        <v>30</v>
      </c>
      <c r="E989">
        <v>15.225</v>
      </c>
      <c r="F989" t="s">
        <v>78</v>
      </c>
      <c r="G989" t="s">
        <v>79</v>
      </c>
      <c r="H989" t="str">
        <f>IF(COUNTIF(Sheet1!$A:$A,TEXT(A989,"0"))+COUNTIF(Sheet1!$A:$A,A989)&gt;0,"موجود","غير موجود")</f>
        <v>غير موجود</v>
      </c>
    </row>
    <row r="990" spans="1:8" x14ac:dyDescent="0.2">
      <c r="A990">
        <v>20309503966</v>
      </c>
      <c r="B990" t="s">
        <v>1092</v>
      </c>
      <c r="C990">
        <v>42.63</v>
      </c>
      <c r="D990">
        <v>30</v>
      </c>
      <c r="E990">
        <v>29.841000000000001</v>
      </c>
      <c r="F990" t="s">
        <v>78</v>
      </c>
      <c r="G990" t="s">
        <v>79</v>
      </c>
      <c r="H990" t="str">
        <f>IF(COUNTIF(Sheet1!$A:$A,TEXT(A990,"0"))+COUNTIF(Sheet1!$A:$A,A990)&gt;0,"موجود","غير موجود")</f>
        <v>غير موجود</v>
      </c>
    </row>
    <row r="991" spans="1:8" x14ac:dyDescent="0.2">
      <c r="A991">
        <v>20309503967</v>
      </c>
      <c r="B991" t="s">
        <v>1083</v>
      </c>
      <c r="C991">
        <v>47.85</v>
      </c>
      <c r="D991">
        <v>30</v>
      </c>
      <c r="E991">
        <v>33.495000000000005</v>
      </c>
      <c r="F991" t="s">
        <v>78</v>
      </c>
      <c r="G991" t="s">
        <v>79</v>
      </c>
      <c r="H991" t="str">
        <f>IF(COUNTIF(Sheet1!$A:$A,TEXT(A991,"0"))+COUNTIF(Sheet1!$A:$A,A991)&gt;0,"موجود","غير موجود")</f>
        <v>غير موجود</v>
      </c>
    </row>
    <row r="992" spans="1:8" x14ac:dyDescent="0.2">
      <c r="A992">
        <v>20309503968</v>
      </c>
      <c r="B992" t="s">
        <v>1085</v>
      </c>
      <c r="C992">
        <v>39.15</v>
      </c>
      <c r="D992">
        <v>30</v>
      </c>
      <c r="E992">
        <v>27.405000000000001</v>
      </c>
      <c r="F992" t="s">
        <v>78</v>
      </c>
      <c r="G992" t="s">
        <v>79</v>
      </c>
      <c r="H992" t="str">
        <f>IF(COUNTIF(Sheet1!$A:$A,TEXT(A992,"0"))+COUNTIF(Sheet1!$A:$A,A992)&gt;0,"موجود","غير موجود")</f>
        <v>غير موجود</v>
      </c>
    </row>
    <row r="993" spans="1:8" x14ac:dyDescent="0.2">
      <c r="A993">
        <v>20309503969</v>
      </c>
      <c r="B993" t="s">
        <v>1093</v>
      </c>
      <c r="C993">
        <v>25.23</v>
      </c>
      <c r="D993">
        <v>30</v>
      </c>
      <c r="E993">
        <v>17.661000000000001</v>
      </c>
      <c r="F993" t="s">
        <v>78</v>
      </c>
      <c r="G993" t="s">
        <v>79</v>
      </c>
      <c r="H993" t="str">
        <f>IF(COUNTIF(Sheet1!$A:$A,TEXT(A993,"0"))+COUNTIF(Sheet1!$A:$A,A993)&gt;0,"موجود","غير موجود")</f>
        <v>غير موجود</v>
      </c>
    </row>
    <row r="994" spans="1:8" x14ac:dyDescent="0.2">
      <c r="A994">
        <v>20309503970</v>
      </c>
      <c r="B994" t="s">
        <v>1088</v>
      </c>
      <c r="C994">
        <v>47.85</v>
      </c>
      <c r="D994">
        <v>30</v>
      </c>
      <c r="E994">
        <v>33.495000000000005</v>
      </c>
      <c r="F994" t="s">
        <v>78</v>
      </c>
      <c r="G994" t="s">
        <v>79</v>
      </c>
      <c r="H994" t="str">
        <f>IF(COUNTIF(Sheet1!$A:$A,TEXT(A994,"0"))+COUNTIF(Sheet1!$A:$A,A994)&gt;0,"موجود","غير موجود")</f>
        <v>غير موجود</v>
      </c>
    </row>
    <row r="995" spans="1:8" x14ac:dyDescent="0.2">
      <c r="A995">
        <v>20309503971</v>
      </c>
      <c r="B995" t="s">
        <v>1083</v>
      </c>
      <c r="C995">
        <v>47.85</v>
      </c>
      <c r="D995">
        <v>30</v>
      </c>
      <c r="E995">
        <v>33.495000000000005</v>
      </c>
      <c r="F995" t="s">
        <v>78</v>
      </c>
      <c r="G995" t="s">
        <v>79</v>
      </c>
      <c r="H995" t="str">
        <f>IF(COUNTIF(Sheet1!$A:$A,TEXT(A995,"0"))+COUNTIF(Sheet1!$A:$A,A995)&gt;0,"موجود","غير موجود")</f>
        <v>غير موجود</v>
      </c>
    </row>
    <row r="996" spans="1:8" x14ac:dyDescent="0.2">
      <c r="A996">
        <v>20309503972</v>
      </c>
      <c r="B996" t="s">
        <v>1086</v>
      </c>
      <c r="C996">
        <v>33.93</v>
      </c>
      <c r="D996">
        <v>30</v>
      </c>
      <c r="E996">
        <v>23.750999999999998</v>
      </c>
      <c r="F996" t="s">
        <v>78</v>
      </c>
      <c r="G996" t="s">
        <v>79</v>
      </c>
      <c r="H996" t="str">
        <f>IF(COUNTIF(Sheet1!$A:$A,TEXT(A996,"0"))+COUNTIF(Sheet1!$A:$A,A996)&gt;0,"موجود","غير موجود")</f>
        <v>غير موجود</v>
      </c>
    </row>
    <row r="997" spans="1:8" x14ac:dyDescent="0.2">
      <c r="A997">
        <v>20309503973</v>
      </c>
      <c r="B997" t="s">
        <v>1094</v>
      </c>
      <c r="C997">
        <v>30.45</v>
      </c>
      <c r="D997">
        <v>30</v>
      </c>
      <c r="E997">
        <v>21.314999999999998</v>
      </c>
      <c r="F997" t="s">
        <v>78</v>
      </c>
      <c r="G997" t="s">
        <v>79</v>
      </c>
      <c r="H997" t="str">
        <f>IF(COUNTIF(Sheet1!$A:$A,TEXT(A997,"0"))+COUNTIF(Sheet1!$A:$A,A997)&gt;0,"موجود","غير موجود")</f>
        <v>غير موجود</v>
      </c>
    </row>
    <row r="998" spans="1:8" x14ac:dyDescent="0.2">
      <c r="A998">
        <v>20309503974</v>
      </c>
      <c r="B998" t="s">
        <v>1095</v>
      </c>
      <c r="C998">
        <v>68.73</v>
      </c>
      <c r="D998">
        <v>30</v>
      </c>
      <c r="E998">
        <v>48.111000000000004</v>
      </c>
      <c r="F998" t="s">
        <v>78</v>
      </c>
      <c r="G998" t="s">
        <v>79</v>
      </c>
      <c r="H998" t="str">
        <f>IF(COUNTIF(Sheet1!$A:$A,TEXT(A998,"0"))+COUNTIF(Sheet1!$A:$A,A998)&gt;0,"موجود","غير موجود")</f>
        <v>غير موجود</v>
      </c>
    </row>
    <row r="999" spans="1:8" x14ac:dyDescent="0.2">
      <c r="A999">
        <v>20309503975</v>
      </c>
      <c r="B999" t="s">
        <v>1096</v>
      </c>
      <c r="C999">
        <v>39.15</v>
      </c>
      <c r="D999">
        <v>30</v>
      </c>
      <c r="E999">
        <v>27.405000000000001</v>
      </c>
      <c r="F999" t="s">
        <v>78</v>
      </c>
      <c r="G999" t="s">
        <v>79</v>
      </c>
      <c r="H999" t="str">
        <f>IF(COUNTIF(Sheet1!$A:$A,TEXT(A999,"0"))+COUNTIF(Sheet1!$A:$A,A999)&gt;0,"موجود","غير موجود")</f>
        <v>غير موجود</v>
      </c>
    </row>
    <row r="1000" spans="1:8" x14ac:dyDescent="0.2">
      <c r="A1000">
        <v>20309503976</v>
      </c>
      <c r="B1000" t="s">
        <v>1081</v>
      </c>
      <c r="C1000">
        <v>25.23</v>
      </c>
      <c r="D1000">
        <v>30</v>
      </c>
      <c r="E1000">
        <v>17.661000000000001</v>
      </c>
      <c r="F1000" t="s">
        <v>78</v>
      </c>
      <c r="G1000" t="s">
        <v>79</v>
      </c>
      <c r="H1000" t="str">
        <f>IF(COUNTIF(Sheet1!$A:$A,TEXT(A1000,"0"))+COUNTIF(Sheet1!$A:$A,A1000)&gt;0,"موجود","غير موجود")</f>
        <v>غير موجود</v>
      </c>
    </row>
    <row r="1001" spans="1:8" x14ac:dyDescent="0.2">
      <c r="A1001">
        <v>20309503977</v>
      </c>
      <c r="B1001" t="s">
        <v>1081</v>
      </c>
      <c r="C1001">
        <v>25.23</v>
      </c>
      <c r="D1001">
        <v>30</v>
      </c>
      <c r="E1001">
        <v>17.661000000000001</v>
      </c>
      <c r="F1001" t="s">
        <v>78</v>
      </c>
      <c r="G1001" t="s">
        <v>79</v>
      </c>
      <c r="H1001" t="str">
        <f>IF(COUNTIF(Sheet1!$A:$A,TEXT(A1001,"0"))+COUNTIF(Sheet1!$A:$A,A1001)&gt;0,"موجود","غير موجود")</f>
        <v>غير موجود</v>
      </c>
    </row>
    <row r="1002" spans="1:8" x14ac:dyDescent="0.2">
      <c r="A1002">
        <v>20309503978</v>
      </c>
      <c r="B1002" t="s">
        <v>1097</v>
      </c>
      <c r="C1002">
        <v>42.63</v>
      </c>
      <c r="D1002">
        <v>30</v>
      </c>
      <c r="E1002">
        <v>29.841000000000001</v>
      </c>
      <c r="F1002" t="s">
        <v>78</v>
      </c>
      <c r="G1002" t="s">
        <v>79</v>
      </c>
      <c r="H1002" t="str">
        <f>IF(COUNTIF(Sheet1!$A:$A,TEXT(A1002,"0"))+COUNTIF(Sheet1!$A:$A,A1002)&gt;0,"موجود","غير موجود")</f>
        <v>غير موجود</v>
      </c>
    </row>
    <row r="1003" spans="1:8" x14ac:dyDescent="0.2">
      <c r="A1003">
        <v>20309503979</v>
      </c>
      <c r="B1003" t="s">
        <v>1088</v>
      </c>
      <c r="C1003">
        <v>47.85</v>
      </c>
      <c r="D1003">
        <v>30</v>
      </c>
      <c r="E1003">
        <v>33.495000000000005</v>
      </c>
      <c r="F1003" t="s">
        <v>78</v>
      </c>
      <c r="G1003" t="s">
        <v>79</v>
      </c>
      <c r="H1003" t="str">
        <f>IF(COUNTIF(Sheet1!$A:$A,TEXT(A1003,"0"))+COUNTIF(Sheet1!$A:$A,A1003)&gt;0,"موجود","غير موجود")</f>
        <v>غير موجود</v>
      </c>
    </row>
    <row r="1004" spans="1:8" x14ac:dyDescent="0.2">
      <c r="A1004">
        <v>20309503980</v>
      </c>
      <c r="B1004" t="s">
        <v>1098</v>
      </c>
      <c r="C1004">
        <v>13.05</v>
      </c>
      <c r="D1004">
        <v>30</v>
      </c>
      <c r="E1004">
        <v>9.1350000000000016</v>
      </c>
      <c r="F1004" t="s">
        <v>78</v>
      </c>
      <c r="G1004" t="s">
        <v>79</v>
      </c>
      <c r="H1004" t="str">
        <f>IF(COUNTIF(Sheet1!$A:$A,TEXT(A1004,"0"))+COUNTIF(Sheet1!$A:$A,A1004)&gt;0,"موجود","غير موجود")</f>
        <v>غير موجود</v>
      </c>
    </row>
    <row r="1005" spans="1:8" x14ac:dyDescent="0.2">
      <c r="A1005">
        <v>20309503981</v>
      </c>
      <c r="B1005" t="s">
        <v>1099</v>
      </c>
      <c r="C1005">
        <v>47.85</v>
      </c>
      <c r="D1005">
        <v>30</v>
      </c>
      <c r="E1005">
        <v>33.495000000000005</v>
      </c>
      <c r="F1005" t="s">
        <v>78</v>
      </c>
      <c r="G1005" t="s">
        <v>79</v>
      </c>
      <c r="H1005" t="str">
        <f>IF(COUNTIF(Sheet1!$A:$A,TEXT(A1005,"0"))+COUNTIF(Sheet1!$A:$A,A1005)&gt;0,"موجود","غير موجود")</f>
        <v>غير موجود</v>
      </c>
    </row>
    <row r="1006" spans="1:8" x14ac:dyDescent="0.2">
      <c r="A1006">
        <v>20309503982</v>
      </c>
      <c r="B1006" t="s">
        <v>1098</v>
      </c>
      <c r="C1006">
        <v>13.05</v>
      </c>
      <c r="D1006">
        <v>30</v>
      </c>
      <c r="E1006">
        <v>9.1350000000000016</v>
      </c>
      <c r="F1006" t="s">
        <v>78</v>
      </c>
      <c r="G1006" t="s">
        <v>79</v>
      </c>
      <c r="H1006" t="str">
        <f>IF(COUNTIF(Sheet1!$A:$A,TEXT(A1006,"0"))+COUNTIF(Sheet1!$A:$A,A1006)&gt;0,"موجود","غير موجود")</f>
        <v>غير موجود</v>
      </c>
    </row>
    <row r="1007" spans="1:8" x14ac:dyDescent="0.2">
      <c r="A1007">
        <v>20309503983</v>
      </c>
      <c r="B1007" t="s">
        <v>1093</v>
      </c>
      <c r="C1007">
        <v>25.23</v>
      </c>
      <c r="D1007">
        <v>30</v>
      </c>
      <c r="E1007">
        <v>17.661000000000001</v>
      </c>
      <c r="F1007" t="s">
        <v>78</v>
      </c>
      <c r="G1007" t="s">
        <v>79</v>
      </c>
      <c r="H1007" t="str">
        <f>IF(COUNTIF(Sheet1!$A:$A,TEXT(A1007,"0"))+COUNTIF(Sheet1!$A:$A,A1007)&gt;0,"موجود","غير موجود")</f>
        <v>غير موجود</v>
      </c>
    </row>
    <row r="1008" spans="1:8" x14ac:dyDescent="0.2">
      <c r="A1008">
        <v>20309503984</v>
      </c>
      <c r="B1008" t="s">
        <v>1088</v>
      </c>
      <c r="C1008">
        <v>47.85</v>
      </c>
      <c r="D1008">
        <v>30</v>
      </c>
      <c r="E1008">
        <v>33.495000000000005</v>
      </c>
      <c r="F1008" t="s">
        <v>78</v>
      </c>
      <c r="G1008" t="s">
        <v>79</v>
      </c>
      <c r="H1008" t="str">
        <f>IF(COUNTIF(Sheet1!$A:$A,TEXT(A1008,"0"))+COUNTIF(Sheet1!$A:$A,A1008)&gt;0,"موجود","غير موجود")</f>
        <v>غير موجود</v>
      </c>
    </row>
    <row r="1009" spans="1:8" x14ac:dyDescent="0.2">
      <c r="A1009">
        <v>20309503985</v>
      </c>
      <c r="B1009" t="s">
        <v>1100</v>
      </c>
      <c r="C1009">
        <v>51.33</v>
      </c>
      <c r="D1009">
        <v>30</v>
      </c>
      <c r="E1009">
        <v>35.930999999999997</v>
      </c>
      <c r="F1009" t="s">
        <v>78</v>
      </c>
      <c r="G1009" t="s">
        <v>79</v>
      </c>
      <c r="H1009" t="str">
        <f>IF(COUNTIF(Sheet1!$A:$A,TEXT(A1009,"0"))+COUNTIF(Sheet1!$A:$A,A1009)&gt;0,"موجود","غير موجود")</f>
        <v>غير موجود</v>
      </c>
    </row>
    <row r="1010" spans="1:8" x14ac:dyDescent="0.2">
      <c r="A1010">
        <v>20309503986</v>
      </c>
      <c r="B1010" t="s">
        <v>1101</v>
      </c>
      <c r="C1010">
        <v>33.93</v>
      </c>
      <c r="D1010">
        <v>30</v>
      </c>
      <c r="E1010">
        <v>23.750999999999998</v>
      </c>
      <c r="F1010" t="s">
        <v>78</v>
      </c>
      <c r="G1010" t="s">
        <v>79</v>
      </c>
      <c r="H1010" t="str">
        <f>IF(COUNTIF(Sheet1!$A:$A,TEXT(A1010,"0"))+COUNTIF(Sheet1!$A:$A,A1010)&gt;0,"موجود","غير موجود")</f>
        <v>غير موجود</v>
      </c>
    </row>
    <row r="1011" spans="1:8" x14ac:dyDescent="0.2">
      <c r="A1011">
        <v>20309503987</v>
      </c>
      <c r="B1011" t="s">
        <v>1090</v>
      </c>
      <c r="C1011">
        <v>13.05</v>
      </c>
      <c r="D1011">
        <v>30</v>
      </c>
      <c r="E1011">
        <v>9.1350000000000016</v>
      </c>
      <c r="F1011" t="s">
        <v>78</v>
      </c>
      <c r="G1011" t="s">
        <v>79</v>
      </c>
      <c r="H1011" t="str">
        <f>IF(COUNTIF(Sheet1!$A:$A,TEXT(A1011,"0"))+COUNTIF(Sheet1!$A:$A,A1011)&gt;0,"موجود","غير موجود")</f>
        <v>غير موجود</v>
      </c>
    </row>
    <row r="1012" spans="1:8" x14ac:dyDescent="0.2">
      <c r="A1012">
        <v>20309503988</v>
      </c>
      <c r="B1012" t="s">
        <v>1102</v>
      </c>
      <c r="C1012">
        <v>56.55</v>
      </c>
      <c r="D1012">
        <v>30</v>
      </c>
      <c r="E1012">
        <v>39.584999999999994</v>
      </c>
      <c r="F1012" t="s">
        <v>78</v>
      </c>
      <c r="G1012" t="s">
        <v>79</v>
      </c>
      <c r="H1012" t="str">
        <f>IF(COUNTIF(Sheet1!$A:$A,TEXT(A1012,"0"))+COUNTIF(Sheet1!$A:$A,A1012)&gt;0,"موجود","غير موجود")</f>
        <v>غير موجود</v>
      </c>
    </row>
    <row r="1013" spans="1:8" x14ac:dyDescent="0.2">
      <c r="A1013">
        <v>20309503989</v>
      </c>
      <c r="B1013" t="s">
        <v>1103</v>
      </c>
      <c r="C1013">
        <v>42.63</v>
      </c>
      <c r="D1013">
        <v>30</v>
      </c>
      <c r="E1013">
        <v>29.841000000000001</v>
      </c>
      <c r="F1013" t="s">
        <v>78</v>
      </c>
      <c r="G1013" t="s">
        <v>79</v>
      </c>
      <c r="H1013" t="str">
        <f>IF(COUNTIF(Sheet1!$A:$A,TEXT(A1013,"0"))+COUNTIF(Sheet1!$A:$A,A1013)&gt;0,"موجود","غير موجود")</f>
        <v>غير موجود</v>
      </c>
    </row>
    <row r="1014" spans="1:8" x14ac:dyDescent="0.2">
      <c r="A1014">
        <v>20309503990</v>
      </c>
      <c r="B1014" t="s">
        <v>1104</v>
      </c>
      <c r="C1014">
        <v>47.85</v>
      </c>
      <c r="D1014">
        <v>30</v>
      </c>
      <c r="E1014">
        <v>33.495000000000005</v>
      </c>
      <c r="F1014" t="s">
        <v>78</v>
      </c>
      <c r="G1014" t="s">
        <v>79</v>
      </c>
      <c r="H1014" t="str">
        <f>IF(COUNTIF(Sheet1!$A:$A,TEXT(A1014,"0"))+COUNTIF(Sheet1!$A:$A,A1014)&gt;0,"موجود","غير موجود")</f>
        <v>غير موجود</v>
      </c>
    </row>
    <row r="1015" spans="1:8" x14ac:dyDescent="0.2">
      <c r="A1015">
        <v>20309503991</v>
      </c>
      <c r="B1015" t="s">
        <v>1101</v>
      </c>
      <c r="C1015">
        <v>33.93</v>
      </c>
      <c r="D1015">
        <v>30</v>
      </c>
      <c r="E1015">
        <v>23.750999999999998</v>
      </c>
      <c r="F1015" t="s">
        <v>78</v>
      </c>
      <c r="G1015" t="s">
        <v>79</v>
      </c>
      <c r="H1015" t="str">
        <f>IF(COUNTIF(Sheet1!$A:$A,TEXT(A1015,"0"))+COUNTIF(Sheet1!$A:$A,A1015)&gt;0,"موجود","غير موجود")</f>
        <v>غير موجود</v>
      </c>
    </row>
    <row r="1016" spans="1:8" x14ac:dyDescent="0.2">
      <c r="A1016">
        <v>20309503992</v>
      </c>
      <c r="B1016" t="s">
        <v>1105</v>
      </c>
      <c r="C1016">
        <v>25.23</v>
      </c>
      <c r="D1016">
        <v>30</v>
      </c>
      <c r="E1016">
        <v>17.661000000000001</v>
      </c>
      <c r="F1016" t="s">
        <v>78</v>
      </c>
      <c r="G1016" t="s">
        <v>79</v>
      </c>
      <c r="H1016" t="str">
        <f>IF(COUNTIF(Sheet1!$A:$A,TEXT(A1016,"0"))+COUNTIF(Sheet1!$A:$A,A1016)&gt;0,"موجود","غير موجود")</f>
        <v>غير موجود</v>
      </c>
    </row>
    <row r="1017" spans="1:8" x14ac:dyDescent="0.2">
      <c r="A1017">
        <v>20309503993</v>
      </c>
      <c r="B1017" t="s">
        <v>1106</v>
      </c>
      <c r="C1017">
        <v>47.85</v>
      </c>
      <c r="D1017">
        <v>30</v>
      </c>
      <c r="E1017">
        <v>33.495000000000005</v>
      </c>
      <c r="F1017" t="s">
        <v>78</v>
      </c>
      <c r="G1017" t="s">
        <v>79</v>
      </c>
      <c r="H1017" t="str">
        <f>IF(COUNTIF(Sheet1!$A:$A,TEXT(A1017,"0"))+COUNTIF(Sheet1!$A:$A,A1017)&gt;0,"موجود","غير موجود")</f>
        <v>غير موجود</v>
      </c>
    </row>
    <row r="1018" spans="1:8" x14ac:dyDescent="0.2">
      <c r="A1018">
        <v>20309503994</v>
      </c>
      <c r="B1018" t="s">
        <v>1107</v>
      </c>
      <c r="C1018">
        <v>51.33</v>
      </c>
      <c r="D1018">
        <v>30</v>
      </c>
      <c r="E1018">
        <v>35.930999999999997</v>
      </c>
      <c r="F1018" t="s">
        <v>78</v>
      </c>
      <c r="G1018" t="s">
        <v>79</v>
      </c>
      <c r="H1018" t="str">
        <f>IF(COUNTIF(Sheet1!$A:$A,TEXT(A1018,"0"))+COUNTIF(Sheet1!$A:$A,A1018)&gt;0,"موجود","غير موجود")</f>
        <v>غير موجود</v>
      </c>
    </row>
    <row r="1019" spans="1:8" x14ac:dyDescent="0.2">
      <c r="A1019">
        <v>20309503995</v>
      </c>
      <c r="B1019" t="s">
        <v>1108</v>
      </c>
      <c r="C1019">
        <v>25.23</v>
      </c>
      <c r="D1019">
        <v>30</v>
      </c>
      <c r="E1019">
        <v>17.661000000000001</v>
      </c>
      <c r="F1019" t="s">
        <v>78</v>
      </c>
      <c r="G1019" t="s">
        <v>79</v>
      </c>
      <c r="H1019" t="str">
        <f>IF(COUNTIF(Sheet1!$A:$A,TEXT(A1019,"0"))+COUNTIF(Sheet1!$A:$A,A1019)&gt;0,"موجود","غير موجود")</f>
        <v>غير موجود</v>
      </c>
    </row>
    <row r="1020" spans="1:8" x14ac:dyDescent="0.2">
      <c r="A1020">
        <v>20309503996</v>
      </c>
      <c r="B1020" t="s">
        <v>1083</v>
      </c>
      <c r="C1020">
        <v>47.85</v>
      </c>
      <c r="D1020">
        <v>30</v>
      </c>
      <c r="E1020">
        <v>33.495000000000005</v>
      </c>
      <c r="F1020" t="s">
        <v>78</v>
      </c>
      <c r="G1020" t="s">
        <v>79</v>
      </c>
      <c r="H1020" t="str">
        <f>IF(COUNTIF(Sheet1!$A:$A,TEXT(A1020,"0"))+COUNTIF(Sheet1!$A:$A,A1020)&gt;0,"موجود","غير موجود")</f>
        <v>غير موجود</v>
      </c>
    </row>
    <row r="1021" spans="1:8" x14ac:dyDescent="0.2">
      <c r="A1021">
        <v>20309503997</v>
      </c>
      <c r="B1021" t="s">
        <v>1109</v>
      </c>
      <c r="C1021">
        <v>25.23</v>
      </c>
      <c r="D1021">
        <v>30</v>
      </c>
      <c r="E1021">
        <v>17.661000000000001</v>
      </c>
      <c r="F1021" t="s">
        <v>78</v>
      </c>
      <c r="G1021" t="s">
        <v>79</v>
      </c>
      <c r="H1021" t="str">
        <f>IF(COUNTIF(Sheet1!$A:$A,TEXT(A1021,"0"))+COUNTIF(Sheet1!$A:$A,A1021)&gt;0,"موجود","غير موجود")</f>
        <v>غير موجود</v>
      </c>
    </row>
    <row r="1022" spans="1:8" x14ac:dyDescent="0.2">
      <c r="A1022">
        <v>20309503998</v>
      </c>
      <c r="B1022" t="s">
        <v>1110</v>
      </c>
      <c r="C1022">
        <v>60.03</v>
      </c>
      <c r="D1022">
        <v>30</v>
      </c>
      <c r="E1022">
        <v>42.021000000000001</v>
      </c>
      <c r="F1022" t="s">
        <v>78</v>
      </c>
      <c r="G1022" t="s">
        <v>79</v>
      </c>
      <c r="H1022" t="str">
        <f>IF(COUNTIF(Sheet1!$A:$A,TEXT(A1022,"0"))+COUNTIF(Sheet1!$A:$A,A1022)&gt;0,"موجود","غير موجود")</f>
        <v>غير موجود</v>
      </c>
    </row>
    <row r="1023" spans="1:8" x14ac:dyDescent="0.2">
      <c r="A1023">
        <v>20309503999</v>
      </c>
      <c r="B1023" t="s">
        <v>1090</v>
      </c>
      <c r="C1023">
        <v>13.05</v>
      </c>
      <c r="D1023">
        <v>30</v>
      </c>
      <c r="E1023">
        <v>9.1350000000000016</v>
      </c>
      <c r="F1023" t="s">
        <v>78</v>
      </c>
      <c r="G1023" t="s">
        <v>79</v>
      </c>
      <c r="H1023" t="str">
        <f>IF(COUNTIF(Sheet1!$A:$A,TEXT(A1023,"0"))+COUNTIF(Sheet1!$A:$A,A1023)&gt;0,"موجود","غير موجود")</f>
        <v>غير موجود</v>
      </c>
    </row>
    <row r="1024" spans="1:8" x14ac:dyDescent="0.2">
      <c r="A1024">
        <v>20309504000</v>
      </c>
      <c r="B1024" t="s">
        <v>1097</v>
      </c>
      <c r="C1024">
        <v>42.63</v>
      </c>
      <c r="D1024">
        <v>30</v>
      </c>
      <c r="E1024">
        <v>29.841000000000001</v>
      </c>
      <c r="F1024" t="s">
        <v>78</v>
      </c>
      <c r="G1024" t="s">
        <v>79</v>
      </c>
      <c r="H1024" t="str">
        <f>IF(COUNTIF(Sheet1!$A:$A,TEXT(A1024,"0"))+COUNTIF(Sheet1!$A:$A,A1024)&gt;0,"موجود","غير موجود")</f>
        <v>غير موجود</v>
      </c>
    </row>
    <row r="1025" spans="1:8" x14ac:dyDescent="0.2">
      <c r="A1025">
        <v>20309504001</v>
      </c>
      <c r="B1025" t="s">
        <v>1084</v>
      </c>
      <c r="C1025">
        <v>73.95</v>
      </c>
      <c r="D1025">
        <v>30</v>
      </c>
      <c r="E1025">
        <v>51.765000000000001</v>
      </c>
      <c r="F1025" t="s">
        <v>78</v>
      </c>
      <c r="G1025" t="s">
        <v>79</v>
      </c>
      <c r="H1025" t="str">
        <f>IF(COUNTIF(Sheet1!$A:$A,TEXT(A1025,"0"))+COUNTIF(Sheet1!$A:$A,A1025)&gt;0,"موجود","غير موجود")</f>
        <v>غير موجود</v>
      </c>
    </row>
    <row r="1026" spans="1:8" x14ac:dyDescent="0.2">
      <c r="A1026">
        <v>20309504002</v>
      </c>
      <c r="B1026" t="s">
        <v>1100</v>
      </c>
      <c r="C1026">
        <v>51.33</v>
      </c>
      <c r="D1026">
        <v>30</v>
      </c>
      <c r="E1026">
        <v>35.930999999999997</v>
      </c>
      <c r="F1026" t="s">
        <v>78</v>
      </c>
      <c r="G1026" t="s">
        <v>79</v>
      </c>
      <c r="H1026" t="str">
        <f>IF(COUNTIF(Sheet1!$A:$A,TEXT(A1026,"0"))+COUNTIF(Sheet1!$A:$A,A1026)&gt;0,"موجود","غير موجود")</f>
        <v>غير موجود</v>
      </c>
    </row>
    <row r="1027" spans="1:8" x14ac:dyDescent="0.2">
      <c r="A1027">
        <v>20309504003</v>
      </c>
      <c r="B1027" t="s">
        <v>1090</v>
      </c>
      <c r="C1027">
        <v>13.05</v>
      </c>
      <c r="D1027">
        <v>30</v>
      </c>
      <c r="E1027">
        <v>9.1350000000000016</v>
      </c>
      <c r="F1027" t="s">
        <v>78</v>
      </c>
      <c r="G1027" t="s">
        <v>79</v>
      </c>
      <c r="H1027" t="str">
        <f>IF(COUNTIF(Sheet1!$A:$A,TEXT(A1027,"0"))+COUNTIF(Sheet1!$A:$A,A1027)&gt;0,"موجود","غير موجود")</f>
        <v>غير موجود</v>
      </c>
    </row>
    <row r="1028" spans="1:8" x14ac:dyDescent="0.2">
      <c r="A1028">
        <v>20309504004</v>
      </c>
      <c r="B1028" t="s">
        <v>1083</v>
      </c>
      <c r="C1028">
        <v>47.85</v>
      </c>
      <c r="D1028">
        <v>30</v>
      </c>
      <c r="E1028">
        <v>33.495000000000005</v>
      </c>
      <c r="F1028" t="s">
        <v>78</v>
      </c>
      <c r="G1028" t="s">
        <v>79</v>
      </c>
      <c r="H1028" t="str">
        <f>IF(COUNTIF(Sheet1!$A:$A,TEXT(A1028,"0"))+COUNTIF(Sheet1!$A:$A,A1028)&gt;0,"موجود","غير موجود")</f>
        <v>غير موجود</v>
      </c>
    </row>
    <row r="1029" spans="1:8" x14ac:dyDescent="0.2">
      <c r="A1029">
        <v>20309504005</v>
      </c>
      <c r="B1029" t="s">
        <v>1088</v>
      </c>
      <c r="C1029">
        <v>47.85</v>
      </c>
      <c r="D1029">
        <v>30</v>
      </c>
      <c r="E1029">
        <v>33.495000000000005</v>
      </c>
      <c r="F1029" t="s">
        <v>78</v>
      </c>
      <c r="G1029" t="s">
        <v>79</v>
      </c>
      <c r="H1029" t="str">
        <f>IF(COUNTIF(Sheet1!$A:$A,TEXT(A1029,"0"))+COUNTIF(Sheet1!$A:$A,A1029)&gt;0,"موجود","غير موجود")</f>
        <v>غير موجود</v>
      </c>
    </row>
    <row r="1030" spans="1:8" x14ac:dyDescent="0.2">
      <c r="A1030">
        <v>20309504006</v>
      </c>
      <c r="B1030" t="s">
        <v>1111</v>
      </c>
      <c r="C1030">
        <v>51.33</v>
      </c>
      <c r="D1030">
        <v>30</v>
      </c>
      <c r="E1030">
        <v>35.930999999999997</v>
      </c>
      <c r="F1030" t="s">
        <v>78</v>
      </c>
      <c r="G1030" t="s">
        <v>79</v>
      </c>
      <c r="H1030" t="str">
        <f>IF(COUNTIF(Sheet1!$A:$A,TEXT(A1030,"0"))+COUNTIF(Sheet1!$A:$A,A1030)&gt;0,"موجود","غير موجود")</f>
        <v>غير موجود</v>
      </c>
    </row>
    <row r="1031" spans="1:8" x14ac:dyDescent="0.2">
      <c r="A1031">
        <v>20309504007</v>
      </c>
      <c r="B1031" t="s">
        <v>1112</v>
      </c>
      <c r="C1031">
        <v>25.23</v>
      </c>
      <c r="D1031">
        <v>30</v>
      </c>
      <c r="E1031">
        <v>17.661000000000001</v>
      </c>
      <c r="F1031" t="s">
        <v>78</v>
      </c>
      <c r="G1031" t="s">
        <v>79</v>
      </c>
      <c r="H1031" t="str">
        <f>IF(COUNTIF(Sheet1!$A:$A,TEXT(A1031,"0"))+COUNTIF(Sheet1!$A:$A,A1031)&gt;0,"موجود","غير موجود")</f>
        <v>غير موجود</v>
      </c>
    </row>
    <row r="1032" spans="1:8" x14ac:dyDescent="0.2">
      <c r="A1032">
        <v>20309504008</v>
      </c>
      <c r="B1032" t="s">
        <v>1109</v>
      </c>
      <c r="C1032">
        <v>25.23</v>
      </c>
      <c r="D1032">
        <v>30</v>
      </c>
      <c r="E1032">
        <v>17.661000000000001</v>
      </c>
      <c r="F1032" t="s">
        <v>78</v>
      </c>
      <c r="G1032" t="s">
        <v>79</v>
      </c>
      <c r="H1032" t="str">
        <f>IF(COUNTIF(Sheet1!$A:$A,TEXT(A1032,"0"))+COUNTIF(Sheet1!$A:$A,A1032)&gt;0,"موجود","غير موجود")</f>
        <v>غير موجود</v>
      </c>
    </row>
    <row r="1033" spans="1:8" x14ac:dyDescent="0.2">
      <c r="A1033">
        <v>20309504009</v>
      </c>
      <c r="B1033" t="s">
        <v>1113</v>
      </c>
      <c r="C1033">
        <v>42.63</v>
      </c>
      <c r="D1033">
        <v>30</v>
      </c>
      <c r="E1033">
        <v>29.841000000000001</v>
      </c>
      <c r="F1033" t="s">
        <v>78</v>
      </c>
      <c r="G1033" t="s">
        <v>79</v>
      </c>
      <c r="H1033" t="str">
        <f>IF(COUNTIF(Sheet1!$A:$A,TEXT(A1033,"0"))+COUNTIF(Sheet1!$A:$A,A1033)&gt;0,"موجود","غير موجود")</f>
        <v>غير موجود</v>
      </c>
    </row>
    <row r="1034" spans="1:8" x14ac:dyDescent="0.2">
      <c r="A1034">
        <v>20309504010</v>
      </c>
      <c r="B1034" t="s">
        <v>1114</v>
      </c>
      <c r="C1034">
        <v>21.75</v>
      </c>
      <c r="D1034">
        <v>30</v>
      </c>
      <c r="E1034">
        <v>15.225</v>
      </c>
      <c r="F1034" t="s">
        <v>78</v>
      </c>
      <c r="G1034" t="s">
        <v>79</v>
      </c>
      <c r="H1034" t="str">
        <f>IF(COUNTIF(Sheet1!$A:$A,TEXT(A1034,"0"))+COUNTIF(Sheet1!$A:$A,A1034)&gt;0,"موجود","غير موجود")</f>
        <v>غير موجود</v>
      </c>
    </row>
    <row r="1035" spans="1:8" x14ac:dyDescent="0.2">
      <c r="A1035">
        <v>20309504011</v>
      </c>
      <c r="B1035" t="s">
        <v>1083</v>
      </c>
      <c r="C1035">
        <v>47.85</v>
      </c>
      <c r="D1035">
        <v>30</v>
      </c>
      <c r="E1035">
        <v>33.495000000000005</v>
      </c>
      <c r="F1035" t="s">
        <v>78</v>
      </c>
      <c r="G1035" t="s">
        <v>79</v>
      </c>
      <c r="H1035" t="str">
        <f>IF(COUNTIF(Sheet1!$A:$A,TEXT(A1035,"0"))+COUNTIF(Sheet1!$A:$A,A1035)&gt;0,"موجود","غير موجود")</f>
        <v>غير موجود</v>
      </c>
    </row>
    <row r="1036" spans="1:8" x14ac:dyDescent="0.2">
      <c r="A1036">
        <v>20309504012</v>
      </c>
      <c r="B1036" t="s">
        <v>1098</v>
      </c>
      <c r="C1036">
        <v>13.05</v>
      </c>
      <c r="D1036">
        <v>30</v>
      </c>
      <c r="E1036">
        <v>9.1350000000000016</v>
      </c>
      <c r="F1036" t="s">
        <v>78</v>
      </c>
      <c r="G1036" t="s">
        <v>79</v>
      </c>
      <c r="H1036" t="str">
        <f>IF(COUNTIF(Sheet1!$A:$A,TEXT(A1036,"0"))+COUNTIF(Sheet1!$A:$A,A1036)&gt;0,"موجود","غير موجود")</f>
        <v>غير موجود</v>
      </c>
    </row>
    <row r="1037" spans="1:8" x14ac:dyDescent="0.2">
      <c r="A1037">
        <v>20309504013</v>
      </c>
      <c r="B1037" t="s">
        <v>1115</v>
      </c>
      <c r="C1037">
        <v>60.03</v>
      </c>
      <c r="D1037">
        <v>30</v>
      </c>
      <c r="E1037">
        <v>42.021000000000001</v>
      </c>
      <c r="F1037" t="s">
        <v>78</v>
      </c>
      <c r="G1037" t="s">
        <v>79</v>
      </c>
      <c r="H1037" t="str">
        <f>IF(COUNTIF(Sheet1!$A:$A,TEXT(A1037,"0"))+COUNTIF(Sheet1!$A:$A,A1037)&gt;0,"موجود","غير موجود")</f>
        <v>غير موجود</v>
      </c>
    </row>
    <row r="1038" spans="1:8" x14ac:dyDescent="0.2">
      <c r="A1038">
        <v>20309504014</v>
      </c>
      <c r="B1038" t="s">
        <v>1098</v>
      </c>
      <c r="C1038">
        <v>13.05</v>
      </c>
      <c r="D1038">
        <v>30</v>
      </c>
      <c r="E1038">
        <v>9.1350000000000016</v>
      </c>
      <c r="F1038" t="s">
        <v>78</v>
      </c>
      <c r="G1038" t="s">
        <v>79</v>
      </c>
      <c r="H1038" t="str">
        <f>IF(COUNTIF(Sheet1!$A:$A,TEXT(A1038,"0"))+COUNTIF(Sheet1!$A:$A,A1038)&gt;0,"موجود","غير موجود")</f>
        <v>غير موجود</v>
      </c>
    </row>
    <row r="1039" spans="1:8" x14ac:dyDescent="0.2">
      <c r="A1039">
        <v>20309504015</v>
      </c>
      <c r="B1039" t="s">
        <v>1089</v>
      </c>
      <c r="C1039">
        <v>51.33</v>
      </c>
      <c r="D1039">
        <v>30</v>
      </c>
      <c r="E1039">
        <v>35.930999999999997</v>
      </c>
      <c r="F1039" t="s">
        <v>78</v>
      </c>
      <c r="G1039" t="s">
        <v>79</v>
      </c>
      <c r="H1039" t="str">
        <f>IF(COUNTIF(Sheet1!$A:$A,TEXT(A1039,"0"))+COUNTIF(Sheet1!$A:$A,A1039)&gt;0,"موجود","غير موجود")</f>
        <v>غير موجود</v>
      </c>
    </row>
    <row r="1040" spans="1:8" x14ac:dyDescent="0.2">
      <c r="A1040">
        <v>20309504016</v>
      </c>
      <c r="B1040" t="s">
        <v>1083</v>
      </c>
      <c r="C1040">
        <v>47.85</v>
      </c>
      <c r="D1040">
        <v>30</v>
      </c>
      <c r="E1040">
        <v>33.495000000000005</v>
      </c>
      <c r="F1040" t="s">
        <v>78</v>
      </c>
      <c r="G1040" t="s">
        <v>79</v>
      </c>
      <c r="H1040" t="str">
        <f>IF(COUNTIF(Sheet1!$A:$A,TEXT(A1040,"0"))+COUNTIF(Sheet1!$A:$A,A1040)&gt;0,"موجود","غير موجود")</f>
        <v>غير موجود</v>
      </c>
    </row>
    <row r="1041" spans="1:8" x14ac:dyDescent="0.2">
      <c r="A1041">
        <v>20309504017</v>
      </c>
      <c r="B1041" t="s">
        <v>1116</v>
      </c>
      <c r="C1041">
        <v>68.73</v>
      </c>
      <c r="D1041">
        <v>30</v>
      </c>
      <c r="E1041">
        <v>48.111000000000004</v>
      </c>
      <c r="F1041" t="s">
        <v>78</v>
      </c>
      <c r="G1041" t="s">
        <v>79</v>
      </c>
      <c r="H1041" t="str">
        <f>IF(COUNTIF(Sheet1!$A:$A,TEXT(A1041,"0"))+COUNTIF(Sheet1!$A:$A,A1041)&gt;0,"موجود","غير موجود")</f>
        <v>غير موجود</v>
      </c>
    </row>
    <row r="1042" spans="1:8" x14ac:dyDescent="0.2">
      <c r="A1042">
        <v>20309504018</v>
      </c>
      <c r="B1042" t="s">
        <v>1112</v>
      </c>
      <c r="C1042">
        <v>25.23</v>
      </c>
      <c r="D1042">
        <v>30</v>
      </c>
      <c r="E1042">
        <v>17.661000000000001</v>
      </c>
      <c r="F1042" t="s">
        <v>78</v>
      </c>
      <c r="G1042" t="s">
        <v>79</v>
      </c>
      <c r="H1042" t="str">
        <f>IF(COUNTIF(Sheet1!$A:$A,TEXT(A1042,"0"))+COUNTIF(Sheet1!$A:$A,A1042)&gt;0,"موجود","غير موجود")</f>
        <v>غير موجود</v>
      </c>
    </row>
    <row r="1043" spans="1:8" x14ac:dyDescent="0.2">
      <c r="A1043">
        <v>20309504019</v>
      </c>
      <c r="B1043" t="s">
        <v>1117</v>
      </c>
      <c r="C1043">
        <v>65.25</v>
      </c>
      <c r="D1043">
        <v>30</v>
      </c>
      <c r="E1043">
        <v>45.674999999999997</v>
      </c>
      <c r="F1043" t="s">
        <v>78</v>
      </c>
      <c r="G1043" t="s">
        <v>79</v>
      </c>
      <c r="H1043" t="str">
        <f>IF(COUNTIF(Sheet1!$A:$A,TEXT(A1043,"0"))+COUNTIF(Sheet1!$A:$A,A1043)&gt;0,"موجود","غير موجود")</f>
        <v>غير موجود</v>
      </c>
    </row>
    <row r="1044" spans="1:8" x14ac:dyDescent="0.2">
      <c r="A1044">
        <v>20309504020</v>
      </c>
      <c r="B1044" t="s">
        <v>1093</v>
      </c>
      <c r="C1044">
        <v>25.23</v>
      </c>
      <c r="D1044">
        <v>30</v>
      </c>
      <c r="E1044">
        <v>17.661000000000001</v>
      </c>
      <c r="F1044" t="s">
        <v>78</v>
      </c>
      <c r="G1044" t="s">
        <v>79</v>
      </c>
      <c r="H1044" t="str">
        <f>IF(COUNTIF(Sheet1!$A:$A,TEXT(A1044,"0"))+COUNTIF(Sheet1!$A:$A,A1044)&gt;0,"موجود","غير موجود")</f>
        <v>غير موجود</v>
      </c>
    </row>
    <row r="1045" spans="1:8" x14ac:dyDescent="0.2">
      <c r="A1045">
        <v>20309504021</v>
      </c>
      <c r="B1045" t="s">
        <v>1098</v>
      </c>
      <c r="C1045">
        <v>13.05</v>
      </c>
      <c r="D1045">
        <v>30</v>
      </c>
      <c r="E1045">
        <v>9.1350000000000016</v>
      </c>
      <c r="F1045" t="s">
        <v>78</v>
      </c>
      <c r="G1045" t="s">
        <v>79</v>
      </c>
      <c r="H1045" t="str">
        <f>IF(COUNTIF(Sheet1!$A:$A,TEXT(A1045,"0"))+COUNTIF(Sheet1!$A:$A,A1045)&gt;0,"موجود","غير موجود")</f>
        <v>غير موجود</v>
      </c>
    </row>
    <row r="1046" spans="1:8" x14ac:dyDescent="0.2">
      <c r="A1046">
        <v>20309504022</v>
      </c>
      <c r="B1046" t="s">
        <v>1116</v>
      </c>
      <c r="C1046">
        <v>68.73</v>
      </c>
      <c r="D1046">
        <v>30</v>
      </c>
      <c r="E1046">
        <v>48.111000000000004</v>
      </c>
      <c r="F1046" t="s">
        <v>78</v>
      </c>
      <c r="G1046" t="s">
        <v>79</v>
      </c>
      <c r="H1046" t="str">
        <f>IF(COUNTIF(Sheet1!$A:$A,TEXT(A1046,"0"))+COUNTIF(Sheet1!$A:$A,A1046)&gt;0,"موجود","غير موجود")</f>
        <v>غير موجود</v>
      </c>
    </row>
    <row r="1047" spans="1:8" x14ac:dyDescent="0.2">
      <c r="A1047">
        <v>20309504023</v>
      </c>
      <c r="B1047" t="s">
        <v>1106</v>
      </c>
      <c r="C1047">
        <v>47.85</v>
      </c>
      <c r="D1047">
        <v>30</v>
      </c>
      <c r="E1047">
        <v>33.495000000000005</v>
      </c>
      <c r="F1047" t="s">
        <v>78</v>
      </c>
      <c r="G1047" t="s">
        <v>79</v>
      </c>
      <c r="H1047" t="str">
        <f>IF(COUNTIF(Sheet1!$A:$A,TEXT(A1047,"0"))+COUNTIF(Sheet1!$A:$A,A1047)&gt;0,"موجود","غير موجود")</f>
        <v>غير موجود</v>
      </c>
    </row>
    <row r="1048" spans="1:8" x14ac:dyDescent="0.2">
      <c r="A1048">
        <v>20309504024</v>
      </c>
      <c r="B1048" t="s">
        <v>1089</v>
      </c>
      <c r="C1048">
        <v>51.33</v>
      </c>
      <c r="D1048">
        <v>30</v>
      </c>
      <c r="E1048">
        <v>35.930999999999997</v>
      </c>
      <c r="F1048" t="s">
        <v>78</v>
      </c>
      <c r="G1048" t="s">
        <v>79</v>
      </c>
      <c r="H1048" t="str">
        <f>IF(COUNTIF(Sheet1!$A:$A,TEXT(A1048,"0"))+COUNTIF(Sheet1!$A:$A,A1048)&gt;0,"موجود","غير موجود")</f>
        <v>غير موجود</v>
      </c>
    </row>
    <row r="1049" spans="1:8" x14ac:dyDescent="0.2">
      <c r="A1049">
        <v>20309504025</v>
      </c>
      <c r="B1049" t="s">
        <v>1094</v>
      </c>
      <c r="C1049">
        <v>30.45</v>
      </c>
      <c r="D1049">
        <v>30</v>
      </c>
      <c r="E1049">
        <v>21.314999999999998</v>
      </c>
      <c r="F1049" t="s">
        <v>78</v>
      </c>
      <c r="G1049" t="s">
        <v>79</v>
      </c>
      <c r="H1049" t="str">
        <f>IF(COUNTIF(Sheet1!$A:$A,TEXT(A1049,"0"))+COUNTIF(Sheet1!$A:$A,A1049)&gt;0,"موجود","غير موجود")</f>
        <v>غير موجود</v>
      </c>
    </row>
    <row r="1050" spans="1:8" x14ac:dyDescent="0.2">
      <c r="A1050">
        <v>20309504026</v>
      </c>
      <c r="B1050" t="s">
        <v>1118</v>
      </c>
      <c r="C1050">
        <v>47.85</v>
      </c>
      <c r="D1050">
        <v>30</v>
      </c>
      <c r="E1050">
        <v>33.495000000000005</v>
      </c>
      <c r="F1050" t="s">
        <v>78</v>
      </c>
      <c r="G1050" t="s">
        <v>79</v>
      </c>
      <c r="H1050" t="str">
        <f>IF(COUNTIF(Sheet1!$A:$A,TEXT(A1050,"0"))+COUNTIF(Sheet1!$A:$A,A1050)&gt;0,"موجود","غير موجود")</f>
        <v>غير موجود</v>
      </c>
    </row>
    <row r="1051" spans="1:8" x14ac:dyDescent="0.2">
      <c r="A1051">
        <v>20309504027</v>
      </c>
      <c r="B1051" t="s">
        <v>1112</v>
      </c>
      <c r="C1051">
        <v>25.23</v>
      </c>
      <c r="D1051">
        <v>30</v>
      </c>
      <c r="E1051">
        <v>17.661000000000001</v>
      </c>
      <c r="F1051" t="s">
        <v>78</v>
      </c>
      <c r="G1051" t="s">
        <v>79</v>
      </c>
      <c r="H1051" t="str">
        <f>IF(COUNTIF(Sheet1!$A:$A,TEXT(A1051,"0"))+COUNTIF(Sheet1!$A:$A,A1051)&gt;0,"موجود","غير موجود")</f>
        <v>غير موجود</v>
      </c>
    </row>
    <row r="1052" spans="1:8" x14ac:dyDescent="0.2">
      <c r="A1052">
        <v>20309504028</v>
      </c>
      <c r="B1052" t="s">
        <v>1097</v>
      </c>
      <c r="C1052">
        <v>42.63</v>
      </c>
      <c r="D1052">
        <v>30</v>
      </c>
      <c r="E1052">
        <v>29.841000000000001</v>
      </c>
      <c r="F1052" t="s">
        <v>78</v>
      </c>
      <c r="G1052" t="s">
        <v>79</v>
      </c>
      <c r="H1052" t="str">
        <f>IF(COUNTIF(Sheet1!$A:$A,TEXT(A1052,"0"))+COUNTIF(Sheet1!$A:$A,A1052)&gt;0,"موجود","غير موجود")</f>
        <v>غير موجود</v>
      </c>
    </row>
    <row r="1053" spans="1:8" x14ac:dyDescent="0.2">
      <c r="A1053">
        <v>20309504029</v>
      </c>
      <c r="B1053" t="s">
        <v>1104</v>
      </c>
      <c r="C1053">
        <v>47.85</v>
      </c>
      <c r="D1053">
        <v>30</v>
      </c>
      <c r="E1053">
        <v>33.495000000000005</v>
      </c>
      <c r="F1053" t="s">
        <v>78</v>
      </c>
      <c r="G1053" t="s">
        <v>79</v>
      </c>
      <c r="H1053" t="str">
        <f>IF(COUNTIF(Sheet1!$A:$A,TEXT(A1053,"0"))+COUNTIF(Sheet1!$A:$A,A1053)&gt;0,"موجود","غير موجود")</f>
        <v>غير موجود</v>
      </c>
    </row>
    <row r="1054" spans="1:8" x14ac:dyDescent="0.2">
      <c r="A1054">
        <v>20309504030</v>
      </c>
      <c r="B1054" t="s">
        <v>1090</v>
      </c>
      <c r="C1054">
        <v>13.05</v>
      </c>
      <c r="D1054">
        <v>30</v>
      </c>
      <c r="E1054">
        <v>9.1350000000000016</v>
      </c>
      <c r="F1054" t="s">
        <v>78</v>
      </c>
      <c r="G1054" t="s">
        <v>79</v>
      </c>
      <c r="H1054" t="str">
        <f>IF(COUNTIF(Sheet1!$A:$A,TEXT(A1054,"0"))+COUNTIF(Sheet1!$A:$A,A1054)&gt;0,"موجود","غير موجود")</f>
        <v>غير موجود</v>
      </c>
    </row>
    <row r="1055" spans="1:8" x14ac:dyDescent="0.2">
      <c r="A1055">
        <v>20309504031</v>
      </c>
      <c r="B1055" t="s">
        <v>1085</v>
      </c>
      <c r="C1055">
        <v>39.15</v>
      </c>
      <c r="D1055">
        <v>30</v>
      </c>
      <c r="E1055">
        <v>27.405000000000001</v>
      </c>
      <c r="F1055" t="s">
        <v>78</v>
      </c>
      <c r="G1055" t="s">
        <v>79</v>
      </c>
      <c r="H1055" t="str">
        <f>IF(COUNTIF(Sheet1!$A:$A,TEXT(A1055,"0"))+COUNTIF(Sheet1!$A:$A,A1055)&gt;0,"موجود","غير موجود")</f>
        <v>غير موجود</v>
      </c>
    </row>
    <row r="1056" spans="1:8" x14ac:dyDescent="0.2">
      <c r="A1056">
        <v>20309504032</v>
      </c>
      <c r="B1056" t="s">
        <v>1081</v>
      </c>
      <c r="C1056">
        <v>25.23</v>
      </c>
      <c r="D1056">
        <v>30</v>
      </c>
      <c r="E1056">
        <v>17.661000000000001</v>
      </c>
      <c r="F1056" t="s">
        <v>78</v>
      </c>
      <c r="G1056" t="s">
        <v>79</v>
      </c>
      <c r="H1056" t="str">
        <f>IF(COUNTIF(Sheet1!$A:$A,TEXT(A1056,"0"))+COUNTIF(Sheet1!$A:$A,A1056)&gt;0,"موجود","غير موجود")</f>
        <v>غير موجود</v>
      </c>
    </row>
    <row r="1057" spans="1:8" x14ac:dyDescent="0.2">
      <c r="A1057">
        <v>20309504033</v>
      </c>
      <c r="B1057" t="s">
        <v>1083</v>
      </c>
      <c r="C1057">
        <v>47.85</v>
      </c>
      <c r="D1057">
        <v>30</v>
      </c>
      <c r="E1057">
        <v>33.495000000000005</v>
      </c>
      <c r="F1057" t="s">
        <v>78</v>
      </c>
      <c r="G1057" t="s">
        <v>79</v>
      </c>
      <c r="H1057" t="str">
        <f>IF(COUNTIF(Sheet1!$A:$A,TEXT(A1057,"0"))+COUNTIF(Sheet1!$A:$A,A1057)&gt;0,"موجود","غير موجود")</f>
        <v>غير موجود</v>
      </c>
    </row>
    <row r="1058" spans="1:8" x14ac:dyDescent="0.2">
      <c r="A1058">
        <v>20309504034</v>
      </c>
      <c r="B1058" t="s">
        <v>1088</v>
      </c>
      <c r="C1058">
        <v>47.85</v>
      </c>
      <c r="D1058">
        <v>30</v>
      </c>
      <c r="E1058">
        <v>33.495000000000005</v>
      </c>
      <c r="F1058" t="s">
        <v>78</v>
      </c>
      <c r="G1058" t="s">
        <v>79</v>
      </c>
      <c r="H1058" t="str">
        <f>IF(COUNTIF(Sheet1!$A:$A,TEXT(A1058,"0"))+COUNTIF(Sheet1!$A:$A,A1058)&gt;0,"موجود","غير موجود")</f>
        <v>غير موجود</v>
      </c>
    </row>
    <row r="1059" spans="1:8" x14ac:dyDescent="0.2">
      <c r="A1059">
        <v>20309504035</v>
      </c>
      <c r="B1059" t="s">
        <v>1106</v>
      </c>
      <c r="C1059">
        <v>47.85</v>
      </c>
      <c r="D1059">
        <v>30</v>
      </c>
      <c r="E1059">
        <v>33.495000000000005</v>
      </c>
      <c r="F1059" t="s">
        <v>78</v>
      </c>
      <c r="G1059" t="s">
        <v>79</v>
      </c>
      <c r="H1059" t="str">
        <f>IF(COUNTIF(Sheet1!$A:$A,TEXT(A1059,"0"))+COUNTIF(Sheet1!$A:$A,A1059)&gt;0,"موجود","غير موجود")</f>
        <v>غير موجود</v>
      </c>
    </row>
    <row r="1060" spans="1:8" x14ac:dyDescent="0.2">
      <c r="A1060">
        <v>20309504036</v>
      </c>
      <c r="B1060" t="s">
        <v>1085</v>
      </c>
      <c r="C1060">
        <v>39.15</v>
      </c>
      <c r="D1060">
        <v>30</v>
      </c>
      <c r="E1060">
        <v>27.405000000000001</v>
      </c>
      <c r="F1060" t="s">
        <v>78</v>
      </c>
      <c r="G1060" t="s">
        <v>79</v>
      </c>
      <c r="H1060" t="str">
        <f>IF(COUNTIF(Sheet1!$A:$A,TEXT(A1060,"0"))+COUNTIF(Sheet1!$A:$A,A1060)&gt;0,"موجود","غير موجود")</f>
        <v>غير موجود</v>
      </c>
    </row>
    <row r="1061" spans="1:8" x14ac:dyDescent="0.2">
      <c r="A1061">
        <v>20309504037</v>
      </c>
      <c r="B1061" t="s">
        <v>1111</v>
      </c>
      <c r="C1061">
        <v>51.33</v>
      </c>
      <c r="D1061">
        <v>30</v>
      </c>
      <c r="E1061">
        <v>35.930999999999997</v>
      </c>
      <c r="F1061" t="s">
        <v>78</v>
      </c>
      <c r="G1061" t="s">
        <v>79</v>
      </c>
      <c r="H1061" t="str">
        <f>IF(COUNTIF(Sheet1!$A:$A,TEXT(A1061,"0"))+COUNTIF(Sheet1!$A:$A,A1061)&gt;0,"موجود","غير موجود")</f>
        <v>غير موجود</v>
      </c>
    </row>
    <row r="1062" spans="1:8" x14ac:dyDescent="0.2">
      <c r="A1062">
        <v>20309504038</v>
      </c>
      <c r="B1062" t="s">
        <v>1090</v>
      </c>
      <c r="C1062">
        <v>13.05</v>
      </c>
      <c r="D1062">
        <v>30</v>
      </c>
      <c r="E1062">
        <v>9.1350000000000016</v>
      </c>
      <c r="F1062" t="s">
        <v>78</v>
      </c>
      <c r="G1062" t="s">
        <v>79</v>
      </c>
      <c r="H1062" t="str">
        <f>IF(COUNTIF(Sheet1!$A:$A,TEXT(A1062,"0"))+COUNTIF(Sheet1!$A:$A,A1062)&gt;0,"موجود","غير موجود")</f>
        <v>غير موجود</v>
      </c>
    </row>
    <row r="1063" spans="1:8" x14ac:dyDescent="0.2">
      <c r="A1063">
        <v>20309504039</v>
      </c>
      <c r="B1063" t="s">
        <v>1119</v>
      </c>
      <c r="C1063">
        <v>42.63</v>
      </c>
      <c r="D1063">
        <v>30</v>
      </c>
      <c r="E1063">
        <v>29.841000000000001</v>
      </c>
      <c r="F1063" t="s">
        <v>78</v>
      </c>
      <c r="G1063" t="s">
        <v>79</v>
      </c>
      <c r="H1063" t="str">
        <f>IF(COUNTIF(Sheet1!$A:$A,TEXT(A1063,"0"))+COUNTIF(Sheet1!$A:$A,A1063)&gt;0,"موجود","غير موجود")</f>
        <v>غير موجود</v>
      </c>
    </row>
    <row r="1064" spans="1:8" x14ac:dyDescent="0.2">
      <c r="A1064">
        <v>20309504040</v>
      </c>
      <c r="B1064" t="s">
        <v>1085</v>
      </c>
      <c r="C1064">
        <v>39.15</v>
      </c>
      <c r="D1064">
        <v>30</v>
      </c>
      <c r="E1064">
        <v>27.405000000000001</v>
      </c>
      <c r="F1064" t="s">
        <v>78</v>
      </c>
      <c r="G1064" t="s">
        <v>79</v>
      </c>
      <c r="H1064" t="str">
        <f>IF(COUNTIF(Sheet1!$A:$A,TEXT(A1064,"0"))+COUNTIF(Sheet1!$A:$A,A1064)&gt;0,"موجود","غير موجود")</f>
        <v>غير موجود</v>
      </c>
    </row>
    <row r="1065" spans="1:8" x14ac:dyDescent="0.2">
      <c r="A1065">
        <v>20309504041</v>
      </c>
      <c r="B1065" t="s">
        <v>1120</v>
      </c>
      <c r="C1065">
        <v>73.95</v>
      </c>
      <c r="D1065">
        <v>30</v>
      </c>
      <c r="E1065">
        <v>51.765000000000001</v>
      </c>
      <c r="F1065" t="s">
        <v>78</v>
      </c>
      <c r="G1065" t="s">
        <v>79</v>
      </c>
      <c r="H1065" t="str">
        <f>IF(COUNTIF(Sheet1!$A:$A,TEXT(A1065,"0"))+COUNTIF(Sheet1!$A:$A,A1065)&gt;0,"موجود","غير موجود")</f>
        <v>غير موجود</v>
      </c>
    </row>
    <row r="1066" spans="1:8" x14ac:dyDescent="0.2">
      <c r="A1066">
        <v>20309504042</v>
      </c>
      <c r="B1066" t="s">
        <v>1085</v>
      </c>
      <c r="C1066">
        <v>39.15</v>
      </c>
      <c r="D1066">
        <v>30</v>
      </c>
      <c r="E1066">
        <v>27.405000000000001</v>
      </c>
      <c r="F1066" t="s">
        <v>78</v>
      </c>
      <c r="G1066" t="s">
        <v>79</v>
      </c>
      <c r="H1066" t="str">
        <f>IF(COUNTIF(Sheet1!$A:$A,TEXT(A1066,"0"))+COUNTIF(Sheet1!$A:$A,A1066)&gt;0,"موجود","غير موجود")</f>
        <v>غير موجود</v>
      </c>
    </row>
    <row r="1067" spans="1:8" x14ac:dyDescent="0.2">
      <c r="A1067">
        <v>20309504043</v>
      </c>
      <c r="B1067" t="s">
        <v>1119</v>
      </c>
      <c r="C1067">
        <v>42.63</v>
      </c>
      <c r="D1067">
        <v>30</v>
      </c>
      <c r="E1067">
        <v>29.841000000000001</v>
      </c>
      <c r="F1067" t="s">
        <v>78</v>
      </c>
      <c r="G1067" t="s">
        <v>79</v>
      </c>
      <c r="H1067" t="str">
        <f>IF(COUNTIF(Sheet1!$A:$A,TEXT(A1067,"0"))+COUNTIF(Sheet1!$A:$A,A1067)&gt;0,"موجود","غير موجود")</f>
        <v>غير موجود</v>
      </c>
    </row>
    <row r="1068" spans="1:8" x14ac:dyDescent="0.2">
      <c r="A1068">
        <v>20309504044</v>
      </c>
      <c r="B1068" t="s">
        <v>1083</v>
      </c>
      <c r="C1068">
        <v>47.85</v>
      </c>
      <c r="D1068">
        <v>30</v>
      </c>
      <c r="E1068">
        <v>33.495000000000005</v>
      </c>
      <c r="F1068" t="s">
        <v>78</v>
      </c>
      <c r="G1068" t="s">
        <v>79</v>
      </c>
      <c r="H1068" t="str">
        <f>IF(COUNTIF(Sheet1!$A:$A,TEXT(A1068,"0"))+COUNTIF(Sheet1!$A:$A,A1068)&gt;0,"موجود","غير موجود")</f>
        <v>غير موجود</v>
      </c>
    </row>
    <row r="1069" spans="1:8" x14ac:dyDescent="0.2">
      <c r="A1069">
        <v>20309504045</v>
      </c>
      <c r="B1069" t="s">
        <v>1109</v>
      </c>
      <c r="C1069">
        <v>25.23</v>
      </c>
      <c r="D1069">
        <v>30</v>
      </c>
      <c r="E1069">
        <v>17.661000000000001</v>
      </c>
      <c r="F1069" t="s">
        <v>78</v>
      </c>
      <c r="G1069" t="s">
        <v>79</v>
      </c>
      <c r="H1069" t="str">
        <f>IF(COUNTIF(Sheet1!$A:$A,TEXT(A1069,"0"))+COUNTIF(Sheet1!$A:$A,A1069)&gt;0,"موجود","غير موجود")</f>
        <v>غير موجود</v>
      </c>
    </row>
    <row r="1070" spans="1:8" x14ac:dyDescent="0.2">
      <c r="A1070">
        <v>20309504046</v>
      </c>
      <c r="B1070" t="s">
        <v>1088</v>
      </c>
      <c r="C1070">
        <v>47.85</v>
      </c>
      <c r="D1070">
        <v>30</v>
      </c>
      <c r="E1070">
        <v>33.495000000000005</v>
      </c>
      <c r="F1070" t="s">
        <v>78</v>
      </c>
      <c r="G1070" t="s">
        <v>79</v>
      </c>
      <c r="H1070" t="str">
        <f>IF(COUNTIF(Sheet1!$A:$A,TEXT(A1070,"0"))+COUNTIF(Sheet1!$A:$A,A1070)&gt;0,"موجود","غير موجود")</f>
        <v>غير موجود</v>
      </c>
    </row>
    <row r="1071" spans="1:8" x14ac:dyDescent="0.2">
      <c r="A1071">
        <v>20309504047</v>
      </c>
      <c r="B1071" t="s">
        <v>1098</v>
      </c>
      <c r="C1071">
        <v>13.05</v>
      </c>
      <c r="D1071">
        <v>30</v>
      </c>
      <c r="E1071">
        <v>9.1350000000000016</v>
      </c>
      <c r="F1071" t="s">
        <v>78</v>
      </c>
      <c r="G1071" t="s">
        <v>79</v>
      </c>
      <c r="H1071" t="str">
        <f>IF(COUNTIF(Sheet1!$A:$A,TEXT(A1071,"0"))+COUNTIF(Sheet1!$A:$A,A1071)&gt;0,"موجود","غير موجود")</f>
        <v>غير موجود</v>
      </c>
    </row>
    <row r="1072" spans="1:8" x14ac:dyDescent="0.2">
      <c r="A1072">
        <v>20309504048</v>
      </c>
      <c r="B1072" t="s">
        <v>1093</v>
      </c>
      <c r="C1072">
        <v>25.23</v>
      </c>
      <c r="D1072">
        <v>30</v>
      </c>
      <c r="E1072">
        <v>17.661000000000001</v>
      </c>
      <c r="F1072" t="s">
        <v>78</v>
      </c>
      <c r="G1072" t="s">
        <v>79</v>
      </c>
      <c r="H1072" t="str">
        <f>IF(COUNTIF(Sheet1!$A:$A,TEXT(A1072,"0"))+COUNTIF(Sheet1!$A:$A,A1072)&gt;0,"موجود","غير موجود")</f>
        <v>غير موجود</v>
      </c>
    </row>
    <row r="1073" spans="1:8" x14ac:dyDescent="0.2">
      <c r="A1073">
        <v>20309504049</v>
      </c>
      <c r="B1073" t="s">
        <v>1100</v>
      </c>
      <c r="C1073">
        <v>51.33</v>
      </c>
      <c r="D1073">
        <v>30</v>
      </c>
      <c r="E1073">
        <v>35.930999999999997</v>
      </c>
      <c r="F1073" t="s">
        <v>78</v>
      </c>
      <c r="G1073" t="s">
        <v>79</v>
      </c>
      <c r="H1073" t="str">
        <f>IF(COUNTIF(Sheet1!$A:$A,TEXT(A1073,"0"))+COUNTIF(Sheet1!$A:$A,A1073)&gt;0,"موجود","غير موجود")</f>
        <v>غير موجود</v>
      </c>
    </row>
    <row r="1074" spans="1:8" x14ac:dyDescent="0.2">
      <c r="A1074">
        <v>20309504050</v>
      </c>
      <c r="B1074" t="s">
        <v>1111</v>
      </c>
      <c r="C1074">
        <v>51.33</v>
      </c>
      <c r="D1074">
        <v>30</v>
      </c>
      <c r="E1074">
        <v>35.930999999999997</v>
      </c>
      <c r="F1074" t="s">
        <v>78</v>
      </c>
      <c r="G1074" t="s">
        <v>79</v>
      </c>
      <c r="H1074" t="str">
        <f>IF(COUNTIF(Sheet1!$A:$A,TEXT(A1074,"0"))+COUNTIF(Sheet1!$A:$A,A1074)&gt;0,"موجود","غير موجود")</f>
        <v>غير موجود</v>
      </c>
    </row>
    <row r="1075" spans="1:8" x14ac:dyDescent="0.2">
      <c r="A1075">
        <v>20309504051</v>
      </c>
      <c r="B1075" t="s">
        <v>1121</v>
      </c>
      <c r="C1075">
        <v>47.85</v>
      </c>
      <c r="D1075">
        <v>30</v>
      </c>
      <c r="E1075">
        <v>33.495000000000005</v>
      </c>
      <c r="F1075" t="s">
        <v>78</v>
      </c>
      <c r="G1075" t="s">
        <v>79</v>
      </c>
      <c r="H1075" t="str">
        <f>IF(COUNTIF(Sheet1!$A:$A,TEXT(A1075,"0"))+COUNTIF(Sheet1!$A:$A,A1075)&gt;0,"موجود","غير موجود")</f>
        <v>غير موجود</v>
      </c>
    </row>
    <row r="1076" spans="1:8" x14ac:dyDescent="0.2">
      <c r="A1076">
        <v>20309504052</v>
      </c>
      <c r="B1076" t="s">
        <v>1119</v>
      </c>
      <c r="C1076">
        <v>42.63</v>
      </c>
      <c r="D1076">
        <v>30</v>
      </c>
      <c r="E1076">
        <v>29.841000000000001</v>
      </c>
      <c r="F1076" t="s">
        <v>78</v>
      </c>
      <c r="G1076" t="s">
        <v>79</v>
      </c>
      <c r="H1076" t="str">
        <f>IF(COUNTIF(Sheet1!$A:$A,TEXT(A1076,"0"))+COUNTIF(Sheet1!$A:$A,A1076)&gt;0,"موجود","غير موجود")</f>
        <v>غير موجود</v>
      </c>
    </row>
    <row r="1077" spans="1:8" x14ac:dyDescent="0.2">
      <c r="A1077">
        <v>20309504053</v>
      </c>
      <c r="B1077" t="s">
        <v>1100</v>
      </c>
      <c r="C1077">
        <v>51.33</v>
      </c>
      <c r="D1077">
        <v>30</v>
      </c>
      <c r="E1077">
        <v>35.930999999999997</v>
      </c>
      <c r="F1077" t="s">
        <v>78</v>
      </c>
      <c r="G1077" t="s">
        <v>79</v>
      </c>
      <c r="H1077" t="str">
        <f>IF(COUNTIF(Sheet1!$A:$A,TEXT(A1077,"0"))+COUNTIF(Sheet1!$A:$A,A1077)&gt;0,"موجود","غير موجود")</f>
        <v>غير موجود</v>
      </c>
    </row>
    <row r="1078" spans="1:8" x14ac:dyDescent="0.2">
      <c r="A1078">
        <v>20309504054</v>
      </c>
      <c r="B1078" t="s">
        <v>1093</v>
      </c>
      <c r="C1078">
        <v>25.23</v>
      </c>
      <c r="D1078">
        <v>30</v>
      </c>
      <c r="E1078">
        <v>17.661000000000001</v>
      </c>
      <c r="F1078" t="s">
        <v>78</v>
      </c>
      <c r="G1078" t="s">
        <v>79</v>
      </c>
      <c r="H1078" t="str">
        <f>IF(COUNTIF(Sheet1!$A:$A,TEXT(A1078,"0"))+COUNTIF(Sheet1!$A:$A,A1078)&gt;0,"موجود","غير موجود")</f>
        <v>غير موجود</v>
      </c>
    </row>
    <row r="1079" spans="1:8" x14ac:dyDescent="0.2">
      <c r="A1079">
        <v>20309504055</v>
      </c>
      <c r="B1079" t="s">
        <v>1097</v>
      </c>
      <c r="C1079">
        <v>42.63</v>
      </c>
      <c r="D1079">
        <v>30</v>
      </c>
      <c r="E1079">
        <v>29.841000000000001</v>
      </c>
      <c r="F1079" t="s">
        <v>78</v>
      </c>
      <c r="G1079" t="s">
        <v>79</v>
      </c>
      <c r="H1079" t="str">
        <f>IF(COUNTIF(Sheet1!$A:$A,TEXT(A1079,"0"))+COUNTIF(Sheet1!$A:$A,A1079)&gt;0,"موجود","غير موجود")</f>
        <v>غير موجود</v>
      </c>
    </row>
    <row r="1080" spans="1:8" x14ac:dyDescent="0.2">
      <c r="A1080">
        <v>20309504056</v>
      </c>
      <c r="B1080" t="s">
        <v>1122</v>
      </c>
      <c r="C1080">
        <v>33.93</v>
      </c>
      <c r="D1080">
        <v>30</v>
      </c>
      <c r="E1080">
        <v>23.750999999999998</v>
      </c>
      <c r="F1080" t="s">
        <v>78</v>
      </c>
      <c r="G1080" t="s">
        <v>79</v>
      </c>
      <c r="H1080" t="str">
        <f>IF(COUNTIF(Sheet1!$A:$A,TEXT(A1080,"0"))+COUNTIF(Sheet1!$A:$A,A1080)&gt;0,"موجود","غير موجود")</f>
        <v>غير موجود</v>
      </c>
    </row>
    <row r="1081" spans="1:8" x14ac:dyDescent="0.2">
      <c r="A1081">
        <v>20309504057</v>
      </c>
      <c r="B1081" t="s">
        <v>1083</v>
      </c>
      <c r="C1081">
        <v>47.85</v>
      </c>
      <c r="D1081">
        <v>30</v>
      </c>
      <c r="E1081">
        <v>33.495000000000005</v>
      </c>
      <c r="F1081" t="s">
        <v>78</v>
      </c>
      <c r="G1081" t="s">
        <v>79</v>
      </c>
      <c r="H1081" t="str">
        <f>IF(COUNTIF(Sheet1!$A:$A,TEXT(A1081,"0"))+COUNTIF(Sheet1!$A:$A,A1081)&gt;0,"موجود","غير موجود")</f>
        <v>غير موجود</v>
      </c>
    </row>
    <row r="1082" spans="1:8" x14ac:dyDescent="0.2">
      <c r="A1082">
        <v>20309504058</v>
      </c>
      <c r="B1082" t="s">
        <v>1088</v>
      </c>
      <c r="C1082">
        <v>47.85</v>
      </c>
      <c r="D1082">
        <v>30</v>
      </c>
      <c r="E1082">
        <v>33.495000000000005</v>
      </c>
      <c r="F1082" t="s">
        <v>78</v>
      </c>
      <c r="G1082" t="s">
        <v>79</v>
      </c>
      <c r="H1082" t="str">
        <f>IF(COUNTIF(Sheet1!$A:$A,TEXT(A1082,"0"))+COUNTIF(Sheet1!$A:$A,A1082)&gt;0,"موجود","غير موجود")</f>
        <v>غير موجود</v>
      </c>
    </row>
    <row r="1083" spans="1:8" x14ac:dyDescent="0.2">
      <c r="A1083">
        <v>20309504059</v>
      </c>
      <c r="B1083" t="s">
        <v>1123</v>
      </c>
      <c r="C1083">
        <v>42.63</v>
      </c>
      <c r="D1083">
        <v>30</v>
      </c>
      <c r="E1083">
        <v>29.841000000000001</v>
      </c>
      <c r="F1083" t="s">
        <v>78</v>
      </c>
      <c r="G1083" t="s">
        <v>79</v>
      </c>
      <c r="H1083" t="str">
        <f>IF(COUNTIF(Sheet1!$A:$A,TEXT(A1083,"0"))+COUNTIF(Sheet1!$A:$A,A1083)&gt;0,"موجود","غير موجود")</f>
        <v>غير موجود</v>
      </c>
    </row>
    <row r="1084" spans="1:8" x14ac:dyDescent="0.2">
      <c r="A1084">
        <v>20309504060</v>
      </c>
      <c r="B1084" t="s">
        <v>1088</v>
      </c>
      <c r="C1084">
        <v>47.85</v>
      </c>
      <c r="D1084">
        <v>30</v>
      </c>
      <c r="E1084">
        <v>33.495000000000005</v>
      </c>
      <c r="F1084" t="s">
        <v>78</v>
      </c>
      <c r="G1084" t="s">
        <v>79</v>
      </c>
      <c r="H1084" t="str">
        <f>IF(COUNTIF(Sheet1!$A:$A,TEXT(A1084,"0"))+COUNTIF(Sheet1!$A:$A,A1084)&gt;0,"موجود","غير موجود")</f>
        <v>غير موجود</v>
      </c>
    </row>
    <row r="1085" spans="1:8" x14ac:dyDescent="0.2">
      <c r="A1085">
        <v>20309504061</v>
      </c>
      <c r="B1085" t="s">
        <v>1081</v>
      </c>
      <c r="C1085">
        <v>25.23</v>
      </c>
      <c r="D1085">
        <v>30</v>
      </c>
      <c r="E1085">
        <v>17.661000000000001</v>
      </c>
      <c r="F1085" t="s">
        <v>78</v>
      </c>
      <c r="G1085" t="s">
        <v>79</v>
      </c>
      <c r="H1085" t="str">
        <f>IF(COUNTIF(Sheet1!$A:$A,TEXT(A1085,"0"))+COUNTIF(Sheet1!$A:$A,A1085)&gt;0,"موجود","غير موجود")</f>
        <v>غير موجود</v>
      </c>
    </row>
    <row r="1086" spans="1:8" x14ac:dyDescent="0.2">
      <c r="A1086">
        <v>20309504062</v>
      </c>
      <c r="B1086" t="s">
        <v>1091</v>
      </c>
      <c r="C1086">
        <v>21.75</v>
      </c>
      <c r="D1086">
        <v>30</v>
      </c>
      <c r="E1086">
        <v>15.225</v>
      </c>
      <c r="F1086" t="s">
        <v>78</v>
      </c>
      <c r="G1086" t="s">
        <v>79</v>
      </c>
      <c r="H1086" t="str">
        <f>IF(COUNTIF(Sheet1!$A:$A,TEXT(A1086,"0"))+COUNTIF(Sheet1!$A:$A,A1086)&gt;0,"موجود","غير موجود")</f>
        <v>غير موجود</v>
      </c>
    </row>
    <row r="1087" spans="1:8" x14ac:dyDescent="0.2">
      <c r="A1087">
        <v>20309504063</v>
      </c>
      <c r="B1087" t="s">
        <v>1098</v>
      </c>
      <c r="C1087">
        <v>13.05</v>
      </c>
      <c r="D1087">
        <v>30</v>
      </c>
      <c r="E1087">
        <v>9.1350000000000016</v>
      </c>
      <c r="F1087" t="s">
        <v>78</v>
      </c>
      <c r="G1087" t="s">
        <v>79</v>
      </c>
      <c r="H1087" t="str">
        <f>IF(COUNTIF(Sheet1!$A:$A,TEXT(A1087,"0"))+COUNTIF(Sheet1!$A:$A,A1087)&gt;0,"موجود","غير موجود")</f>
        <v>غير موجود</v>
      </c>
    </row>
    <row r="1088" spans="1:8" x14ac:dyDescent="0.2">
      <c r="A1088">
        <v>20309504064</v>
      </c>
      <c r="B1088" t="s">
        <v>1124</v>
      </c>
      <c r="C1088">
        <v>47.85</v>
      </c>
      <c r="D1088">
        <v>30</v>
      </c>
      <c r="E1088">
        <v>33.495000000000005</v>
      </c>
      <c r="F1088" t="s">
        <v>78</v>
      </c>
      <c r="G1088" t="s">
        <v>79</v>
      </c>
      <c r="H1088" t="str">
        <f>IF(COUNTIF(Sheet1!$A:$A,TEXT(A1088,"0"))+COUNTIF(Sheet1!$A:$A,A1088)&gt;0,"موجود","غير موجود")</f>
        <v>غير موجود</v>
      </c>
    </row>
    <row r="1089" spans="1:8" x14ac:dyDescent="0.2">
      <c r="A1089">
        <v>20309504065</v>
      </c>
      <c r="B1089" t="s">
        <v>1112</v>
      </c>
      <c r="C1089">
        <v>25.23</v>
      </c>
      <c r="D1089">
        <v>30</v>
      </c>
      <c r="E1089">
        <v>17.661000000000001</v>
      </c>
      <c r="F1089" t="s">
        <v>78</v>
      </c>
      <c r="G1089" t="s">
        <v>79</v>
      </c>
      <c r="H1089" t="str">
        <f>IF(COUNTIF(Sheet1!$A:$A,TEXT(A1089,"0"))+COUNTIF(Sheet1!$A:$A,A1089)&gt;0,"موجود","غير موجود")</f>
        <v>غير موجود</v>
      </c>
    </row>
    <row r="1090" spans="1:8" x14ac:dyDescent="0.2">
      <c r="A1090">
        <v>20309504066</v>
      </c>
      <c r="B1090" t="s">
        <v>1095</v>
      </c>
      <c r="C1090">
        <v>68.73</v>
      </c>
      <c r="D1090">
        <v>30</v>
      </c>
      <c r="E1090">
        <v>48.111000000000004</v>
      </c>
      <c r="F1090" t="s">
        <v>78</v>
      </c>
      <c r="G1090" t="s">
        <v>79</v>
      </c>
      <c r="H1090" t="str">
        <f>IF(COUNTIF(Sheet1!$A:$A,TEXT(A1090,"0"))+COUNTIF(Sheet1!$A:$A,A1090)&gt;0,"موجود","غير موجود")</f>
        <v>غير موجود</v>
      </c>
    </row>
    <row r="1091" spans="1:8" x14ac:dyDescent="0.2">
      <c r="A1091">
        <v>20309504067</v>
      </c>
      <c r="B1091" t="s">
        <v>1125</v>
      </c>
      <c r="C1091">
        <v>25.23</v>
      </c>
      <c r="D1091">
        <v>30</v>
      </c>
      <c r="E1091">
        <v>17.661000000000001</v>
      </c>
      <c r="F1091" t="s">
        <v>78</v>
      </c>
      <c r="G1091" t="s">
        <v>79</v>
      </c>
      <c r="H1091" t="str">
        <f>IF(COUNTIF(Sheet1!$A:$A,TEXT(A1091,"0"))+COUNTIF(Sheet1!$A:$A,A1091)&gt;0,"موجود","غير موجود")</f>
        <v>غير موجود</v>
      </c>
    </row>
    <row r="1092" spans="1:8" x14ac:dyDescent="0.2">
      <c r="A1092">
        <v>20309504068</v>
      </c>
      <c r="B1092" t="s">
        <v>1106</v>
      </c>
      <c r="C1092">
        <v>47.85</v>
      </c>
      <c r="D1092">
        <v>30</v>
      </c>
      <c r="E1092">
        <v>33.495000000000005</v>
      </c>
      <c r="F1092" t="s">
        <v>78</v>
      </c>
      <c r="G1092" t="s">
        <v>79</v>
      </c>
      <c r="H1092" t="str">
        <f>IF(COUNTIF(Sheet1!$A:$A,TEXT(A1092,"0"))+COUNTIF(Sheet1!$A:$A,A1092)&gt;0,"موجود","غير موجود")</f>
        <v>غير موجود</v>
      </c>
    </row>
    <row r="1093" spans="1:8" x14ac:dyDescent="0.2">
      <c r="A1093">
        <v>20309504069</v>
      </c>
      <c r="B1093" t="s">
        <v>1098</v>
      </c>
      <c r="C1093">
        <v>13.05</v>
      </c>
      <c r="D1093">
        <v>30</v>
      </c>
      <c r="E1093">
        <v>9.1350000000000016</v>
      </c>
      <c r="F1093" t="s">
        <v>78</v>
      </c>
      <c r="G1093" t="s">
        <v>79</v>
      </c>
      <c r="H1093" t="str">
        <f>IF(COUNTIF(Sheet1!$A:$A,TEXT(A1093,"0"))+COUNTIF(Sheet1!$A:$A,A1093)&gt;0,"موجود","غير موجود")</f>
        <v>غير موجود</v>
      </c>
    </row>
    <row r="1094" spans="1:8" x14ac:dyDescent="0.2">
      <c r="A1094">
        <v>20309504070</v>
      </c>
      <c r="B1094" t="s">
        <v>1126</v>
      </c>
      <c r="C1094">
        <v>42.63</v>
      </c>
      <c r="D1094">
        <v>30</v>
      </c>
      <c r="E1094">
        <v>29.841000000000001</v>
      </c>
      <c r="F1094" t="s">
        <v>78</v>
      </c>
      <c r="G1094" t="s">
        <v>79</v>
      </c>
      <c r="H1094" t="str">
        <f>IF(COUNTIF(Sheet1!$A:$A,TEXT(A1094,"0"))+COUNTIF(Sheet1!$A:$A,A1094)&gt;0,"موجود","غير موجود")</f>
        <v>غير موجود</v>
      </c>
    </row>
    <row r="1095" spans="1:8" x14ac:dyDescent="0.2">
      <c r="A1095">
        <v>20309504071</v>
      </c>
      <c r="B1095" t="s">
        <v>1094</v>
      </c>
      <c r="C1095">
        <v>30.45</v>
      </c>
      <c r="D1095">
        <v>30</v>
      </c>
      <c r="E1095">
        <v>21.314999999999998</v>
      </c>
      <c r="F1095" t="s">
        <v>78</v>
      </c>
      <c r="G1095" t="s">
        <v>79</v>
      </c>
      <c r="H1095" t="str">
        <f>IF(COUNTIF(Sheet1!$A:$A,TEXT(A1095,"0"))+COUNTIF(Sheet1!$A:$A,A1095)&gt;0,"موجود","غير موجود")</f>
        <v>غير موجود</v>
      </c>
    </row>
    <row r="1096" spans="1:8" x14ac:dyDescent="0.2">
      <c r="A1096">
        <v>20309504072</v>
      </c>
      <c r="B1096" t="s">
        <v>1083</v>
      </c>
      <c r="C1096">
        <v>47.85</v>
      </c>
      <c r="D1096">
        <v>30</v>
      </c>
      <c r="E1096">
        <v>33.495000000000005</v>
      </c>
      <c r="F1096" t="s">
        <v>78</v>
      </c>
      <c r="G1096" t="s">
        <v>79</v>
      </c>
      <c r="H1096" t="str">
        <f>IF(COUNTIF(Sheet1!$A:$A,TEXT(A1096,"0"))+COUNTIF(Sheet1!$A:$A,A1096)&gt;0,"موجود","غير موجود")</f>
        <v>غير موجود</v>
      </c>
    </row>
    <row r="1097" spans="1:8" x14ac:dyDescent="0.2">
      <c r="A1097">
        <v>20309504073</v>
      </c>
      <c r="B1097" t="s">
        <v>1114</v>
      </c>
      <c r="C1097">
        <v>21.75</v>
      </c>
      <c r="D1097">
        <v>30</v>
      </c>
      <c r="E1097">
        <v>15.225</v>
      </c>
      <c r="F1097" t="s">
        <v>78</v>
      </c>
      <c r="G1097" t="s">
        <v>79</v>
      </c>
      <c r="H1097" t="str">
        <f>IF(COUNTIF(Sheet1!$A:$A,TEXT(A1097,"0"))+COUNTIF(Sheet1!$A:$A,A1097)&gt;0,"موجود","غير موجود")</f>
        <v>غير موجود</v>
      </c>
    </row>
    <row r="1098" spans="1:8" x14ac:dyDescent="0.2">
      <c r="A1098">
        <v>20309504074</v>
      </c>
      <c r="B1098" t="s">
        <v>1090</v>
      </c>
      <c r="C1098">
        <v>13.05</v>
      </c>
      <c r="D1098">
        <v>30</v>
      </c>
      <c r="E1098">
        <v>9.1350000000000016</v>
      </c>
      <c r="F1098" t="s">
        <v>78</v>
      </c>
      <c r="G1098" t="s">
        <v>79</v>
      </c>
      <c r="H1098" t="str">
        <f>IF(COUNTIF(Sheet1!$A:$A,TEXT(A1098,"0"))+COUNTIF(Sheet1!$A:$A,A1098)&gt;0,"موجود","غير موجود")</f>
        <v>غير موجود</v>
      </c>
    </row>
    <row r="1099" spans="1:8" x14ac:dyDescent="0.2">
      <c r="A1099">
        <v>20309504075</v>
      </c>
      <c r="B1099" t="s">
        <v>1117</v>
      </c>
      <c r="C1099">
        <v>65.25</v>
      </c>
      <c r="D1099">
        <v>30</v>
      </c>
      <c r="E1099">
        <v>45.674999999999997</v>
      </c>
      <c r="F1099" t="s">
        <v>78</v>
      </c>
      <c r="G1099" t="s">
        <v>79</v>
      </c>
      <c r="H1099" t="str">
        <f>IF(COUNTIF(Sheet1!$A:$A,TEXT(A1099,"0"))+COUNTIF(Sheet1!$A:$A,A1099)&gt;0,"موجود","غير موجود")</f>
        <v>غير موجود</v>
      </c>
    </row>
    <row r="1100" spans="1:8" x14ac:dyDescent="0.2">
      <c r="A1100">
        <v>20309504076</v>
      </c>
      <c r="B1100" t="s">
        <v>1088</v>
      </c>
      <c r="C1100">
        <v>47.85</v>
      </c>
      <c r="D1100">
        <v>30</v>
      </c>
      <c r="E1100">
        <v>33.495000000000005</v>
      </c>
      <c r="F1100" t="s">
        <v>78</v>
      </c>
      <c r="G1100" t="s">
        <v>79</v>
      </c>
      <c r="H1100" t="str">
        <f>IF(COUNTIF(Sheet1!$A:$A,TEXT(A1100,"0"))+COUNTIF(Sheet1!$A:$A,A1100)&gt;0,"موجود","غير موجود")</f>
        <v>غير موجود</v>
      </c>
    </row>
    <row r="1101" spans="1:8" x14ac:dyDescent="0.2">
      <c r="A1101">
        <v>20309504077</v>
      </c>
      <c r="B1101" t="s">
        <v>1117</v>
      </c>
      <c r="C1101">
        <v>65.25</v>
      </c>
      <c r="D1101">
        <v>30</v>
      </c>
      <c r="E1101">
        <v>45.674999999999997</v>
      </c>
      <c r="F1101" t="s">
        <v>78</v>
      </c>
      <c r="G1101" t="s">
        <v>79</v>
      </c>
      <c r="H1101" t="str">
        <f>IF(COUNTIF(Sheet1!$A:$A,TEXT(A1101,"0"))+COUNTIF(Sheet1!$A:$A,A1101)&gt;0,"موجود","غير موجود")</f>
        <v>غير موجود</v>
      </c>
    </row>
    <row r="1102" spans="1:8" x14ac:dyDescent="0.2">
      <c r="A1102">
        <v>20309504078</v>
      </c>
      <c r="B1102" t="s">
        <v>1106</v>
      </c>
      <c r="C1102">
        <v>47.85</v>
      </c>
      <c r="D1102">
        <v>30</v>
      </c>
      <c r="E1102">
        <v>33.495000000000005</v>
      </c>
      <c r="F1102" t="s">
        <v>78</v>
      </c>
      <c r="G1102" t="s">
        <v>79</v>
      </c>
      <c r="H1102" t="str">
        <f>IF(COUNTIF(Sheet1!$A:$A,TEXT(A1102,"0"))+COUNTIF(Sheet1!$A:$A,A1102)&gt;0,"موجود","غير موجود")</f>
        <v>غير موجود</v>
      </c>
    </row>
    <row r="1103" spans="1:8" x14ac:dyDescent="0.2">
      <c r="A1103">
        <v>20309504079</v>
      </c>
      <c r="B1103" t="s">
        <v>1093</v>
      </c>
      <c r="C1103">
        <v>25.23</v>
      </c>
      <c r="D1103">
        <v>30</v>
      </c>
      <c r="E1103">
        <v>17.661000000000001</v>
      </c>
      <c r="F1103" t="s">
        <v>78</v>
      </c>
      <c r="G1103" t="s">
        <v>79</v>
      </c>
      <c r="H1103" t="str">
        <f>IF(COUNTIF(Sheet1!$A:$A,TEXT(A1103,"0"))+COUNTIF(Sheet1!$A:$A,A1103)&gt;0,"موجود","غير موجود")</f>
        <v>غير موجود</v>
      </c>
    </row>
    <row r="1104" spans="1:8" x14ac:dyDescent="0.2">
      <c r="A1104">
        <v>20309504080</v>
      </c>
      <c r="B1104" t="s">
        <v>1083</v>
      </c>
      <c r="C1104">
        <v>47.85</v>
      </c>
      <c r="D1104">
        <v>30</v>
      </c>
      <c r="E1104">
        <v>33.495000000000005</v>
      </c>
      <c r="F1104" t="s">
        <v>78</v>
      </c>
      <c r="G1104" t="s">
        <v>79</v>
      </c>
      <c r="H1104" t="str">
        <f>IF(COUNTIF(Sheet1!$A:$A,TEXT(A1104,"0"))+COUNTIF(Sheet1!$A:$A,A1104)&gt;0,"موجود","غير موجود")</f>
        <v>غير موجود</v>
      </c>
    </row>
    <row r="1105" spans="1:8" x14ac:dyDescent="0.2">
      <c r="A1105">
        <v>20309504081</v>
      </c>
      <c r="B1105" t="s">
        <v>1098</v>
      </c>
      <c r="C1105">
        <v>13.05</v>
      </c>
      <c r="D1105">
        <v>30</v>
      </c>
      <c r="E1105">
        <v>9.1350000000000016</v>
      </c>
      <c r="F1105" t="s">
        <v>78</v>
      </c>
      <c r="G1105" t="s">
        <v>79</v>
      </c>
      <c r="H1105" t="str">
        <f>IF(COUNTIF(Sheet1!$A:$A,TEXT(A1105,"0"))+COUNTIF(Sheet1!$A:$A,A1105)&gt;0,"موجود","غير موجود")</f>
        <v>غير موجود</v>
      </c>
    </row>
    <row r="1106" spans="1:8" x14ac:dyDescent="0.2">
      <c r="A1106">
        <v>20309504082</v>
      </c>
      <c r="B1106" t="s">
        <v>1106</v>
      </c>
      <c r="C1106">
        <v>47.85</v>
      </c>
      <c r="D1106">
        <v>30</v>
      </c>
      <c r="E1106">
        <v>33.495000000000005</v>
      </c>
      <c r="F1106" t="s">
        <v>78</v>
      </c>
      <c r="G1106" t="s">
        <v>79</v>
      </c>
      <c r="H1106" t="str">
        <f>IF(COUNTIF(Sheet1!$A:$A,TEXT(A1106,"0"))+COUNTIF(Sheet1!$A:$A,A1106)&gt;0,"موجود","غير موجود")</f>
        <v>غير موجود</v>
      </c>
    </row>
    <row r="1107" spans="1:8" x14ac:dyDescent="0.2">
      <c r="A1107">
        <v>20309504083</v>
      </c>
      <c r="B1107" t="s">
        <v>1095</v>
      </c>
      <c r="C1107">
        <v>68.73</v>
      </c>
      <c r="D1107">
        <v>30</v>
      </c>
      <c r="E1107">
        <v>48.111000000000004</v>
      </c>
      <c r="F1107" t="s">
        <v>78</v>
      </c>
      <c r="G1107" t="s">
        <v>79</v>
      </c>
      <c r="H1107" t="str">
        <f>IF(COUNTIF(Sheet1!$A:$A,TEXT(A1107,"0"))+COUNTIF(Sheet1!$A:$A,A1107)&gt;0,"موجود","غير موجود")</f>
        <v>غير موجود</v>
      </c>
    </row>
    <row r="1108" spans="1:8" x14ac:dyDescent="0.2">
      <c r="A1108">
        <v>20309504084</v>
      </c>
      <c r="B1108" t="s">
        <v>1116</v>
      </c>
      <c r="C1108">
        <v>68.73</v>
      </c>
      <c r="D1108">
        <v>30</v>
      </c>
      <c r="E1108">
        <v>48.111000000000004</v>
      </c>
      <c r="F1108" t="s">
        <v>78</v>
      </c>
      <c r="G1108" t="s">
        <v>79</v>
      </c>
      <c r="H1108" t="str">
        <f>IF(COUNTIF(Sheet1!$A:$A,TEXT(A1108,"0"))+COUNTIF(Sheet1!$A:$A,A1108)&gt;0,"موجود","غير موجود")</f>
        <v>غير موجود</v>
      </c>
    </row>
    <row r="1109" spans="1:8" x14ac:dyDescent="0.2">
      <c r="A1109">
        <v>20309504085</v>
      </c>
      <c r="B1109" t="s">
        <v>1127</v>
      </c>
      <c r="C1109">
        <v>47.85</v>
      </c>
      <c r="D1109">
        <v>30</v>
      </c>
      <c r="E1109">
        <v>33.495000000000005</v>
      </c>
      <c r="F1109" t="s">
        <v>78</v>
      </c>
      <c r="G1109" t="s">
        <v>79</v>
      </c>
      <c r="H1109" t="str">
        <f>IF(COUNTIF(Sheet1!$A:$A,TEXT(A1109,"0"))+COUNTIF(Sheet1!$A:$A,A1109)&gt;0,"موجود","غير موجود")</f>
        <v>غير موجود</v>
      </c>
    </row>
    <row r="1110" spans="1:8" x14ac:dyDescent="0.2">
      <c r="A1110">
        <v>20309504086</v>
      </c>
      <c r="B1110" t="s">
        <v>1097</v>
      </c>
      <c r="C1110">
        <v>42.63</v>
      </c>
      <c r="D1110">
        <v>30</v>
      </c>
      <c r="E1110">
        <v>29.841000000000001</v>
      </c>
      <c r="F1110" t="s">
        <v>78</v>
      </c>
      <c r="G1110" t="s">
        <v>79</v>
      </c>
      <c r="H1110" t="str">
        <f>IF(COUNTIF(Sheet1!$A:$A,TEXT(A1110,"0"))+COUNTIF(Sheet1!$A:$A,A1110)&gt;0,"موجود","غير موجود")</f>
        <v>غير موجود</v>
      </c>
    </row>
    <row r="1111" spans="1:8" x14ac:dyDescent="0.2">
      <c r="A1111">
        <v>20309504087</v>
      </c>
      <c r="B1111" t="s">
        <v>1114</v>
      </c>
      <c r="C1111">
        <v>21.75</v>
      </c>
      <c r="D1111">
        <v>30</v>
      </c>
      <c r="E1111">
        <v>15.225</v>
      </c>
      <c r="F1111" t="s">
        <v>78</v>
      </c>
      <c r="G1111" t="s">
        <v>79</v>
      </c>
      <c r="H1111" t="str">
        <f>IF(COUNTIF(Sheet1!$A:$A,TEXT(A1111,"0"))+COUNTIF(Sheet1!$A:$A,A1111)&gt;0,"موجود","غير موجود")</f>
        <v>غير موجود</v>
      </c>
    </row>
    <row r="1112" spans="1:8" x14ac:dyDescent="0.2">
      <c r="A1112">
        <v>20309504088</v>
      </c>
      <c r="B1112" t="s">
        <v>1090</v>
      </c>
      <c r="C1112">
        <v>13.05</v>
      </c>
      <c r="D1112">
        <v>30</v>
      </c>
      <c r="E1112">
        <v>9.1350000000000016</v>
      </c>
      <c r="F1112" t="s">
        <v>78</v>
      </c>
      <c r="G1112" t="s">
        <v>79</v>
      </c>
      <c r="H1112" t="str">
        <f>IF(COUNTIF(Sheet1!$A:$A,TEXT(A1112,"0"))+COUNTIF(Sheet1!$A:$A,A1112)&gt;0,"موجود","غير موجود")</f>
        <v>غير موجود</v>
      </c>
    </row>
    <row r="1113" spans="1:8" x14ac:dyDescent="0.2">
      <c r="A1113">
        <v>20309504089</v>
      </c>
      <c r="B1113" t="s">
        <v>1097</v>
      </c>
      <c r="C1113">
        <v>42.63</v>
      </c>
      <c r="D1113">
        <v>30</v>
      </c>
      <c r="E1113">
        <v>29.841000000000001</v>
      </c>
      <c r="F1113" t="s">
        <v>78</v>
      </c>
      <c r="G1113" t="s">
        <v>79</v>
      </c>
      <c r="H1113" t="str">
        <f>IF(COUNTIF(Sheet1!$A:$A,TEXT(A1113,"0"))+COUNTIF(Sheet1!$A:$A,A1113)&gt;0,"موجود","غير موجود")</f>
        <v>غير موجود</v>
      </c>
    </row>
    <row r="1114" spans="1:8" x14ac:dyDescent="0.2">
      <c r="A1114" t="s">
        <v>1128</v>
      </c>
      <c r="B1114" t="s">
        <v>1129</v>
      </c>
      <c r="C1114">
        <v>118</v>
      </c>
      <c r="D1114">
        <v>50</v>
      </c>
      <c r="E1114">
        <v>59</v>
      </c>
      <c r="F1114" t="s">
        <v>78</v>
      </c>
      <c r="G1114" t="s">
        <v>1130</v>
      </c>
      <c r="H1114" t="str">
        <f>IF(COUNTIF(Sheet1!$A:$A,TEXT(A1114,"0"))+COUNTIF(Sheet1!$A:$A,A1114)&gt;0,"موجود","غير موجود")</f>
        <v>غير موجود</v>
      </c>
    </row>
    <row r="1115" spans="1:8" x14ac:dyDescent="0.2">
      <c r="A1115" t="s">
        <v>46</v>
      </c>
      <c r="B1115" t="s">
        <v>1131</v>
      </c>
      <c r="C1115">
        <v>118</v>
      </c>
      <c r="D1115">
        <v>50</v>
      </c>
      <c r="E1115">
        <v>59</v>
      </c>
      <c r="F1115" t="s">
        <v>78</v>
      </c>
      <c r="G1115" t="s">
        <v>1130</v>
      </c>
      <c r="H1115" t="str">
        <f>IF(COUNTIF(Sheet1!$A:$A,TEXT(A1115,"0"))+COUNTIF(Sheet1!$A:$A,A1115)&gt;0,"موجود","غير موجود")</f>
        <v>موجود</v>
      </c>
    </row>
    <row r="1116" spans="1:8" x14ac:dyDescent="0.2">
      <c r="A1116" t="s">
        <v>36</v>
      </c>
      <c r="B1116" t="s">
        <v>1132</v>
      </c>
      <c r="C1116">
        <v>118</v>
      </c>
      <c r="D1116">
        <v>50</v>
      </c>
      <c r="E1116">
        <v>59</v>
      </c>
      <c r="F1116" t="s">
        <v>78</v>
      </c>
      <c r="G1116" t="s">
        <v>1130</v>
      </c>
      <c r="H1116" t="str">
        <f>IF(COUNTIF(Sheet1!$A:$A,TEXT(A1116,"0"))+COUNTIF(Sheet1!$A:$A,A1116)&gt;0,"موجود","غير موجود")</f>
        <v>موجود</v>
      </c>
    </row>
    <row r="1117" spans="1:8" x14ac:dyDescent="0.2">
      <c r="A1117">
        <v>20309020133</v>
      </c>
      <c r="B1117" t="s">
        <v>1133</v>
      </c>
      <c r="C1117">
        <v>30</v>
      </c>
      <c r="D1117">
        <v>15</v>
      </c>
      <c r="E1117">
        <v>25.5</v>
      </c>
      <c r="F1117" t="s">
        <v>78</v>
      </c>
      <c r="G1117" t="s">
        <v>79</v>
      </c>
      <c r="H1117" t="str">
        <f>IF(COUNTIF(Sheet1!$A:$A,TEXT(A1117,"0"))+COUNTIF(Sheet1!$A:$A,A1117)&gt;0,"موجود","غير موجود")</f>
        <v>موجود</v>
      </c>
    </row>
    <row r="1118" spans="1:8" x14ac:dyDescent="0.2">
      <c r="A1118">
        <v>20309020134</v>
      </c>
      <c r="B1118" t="s">
        <v>1134</v>
      </c>
      <c r="C1118">
        <v>30</v>
      </c>
      <c r="D1118">
        <v>15</v>
      </c>
      <c r="E1118">
        <v>25.5</v>
      </c>
      <c r="F1118" t="s">
        <v>78</v>
      </c>
      <c r="G1118" t="s">
        <v>79</v>
      </c>
      <c r="H1118" t="str">
        <f>IF(COUNTIF(Sheet1!$A:$A,TEXT(A1118,"0"))+COUNTIF(Sheet1!$A:$A,A1118)&gt;0,"موجود","غير موجود")</f>
        <v>موجود</v>
      </c>
    </row>
    <row r="1119" spans="1:8" x14ac:dyDescent="0.2">
      <c r="A1119">
        <v>20309020135</v>
      </c>
      <c r="B1119" t="s">
        <v>1135</v>
      </c>
      <c r="C1119">
        <v>30</v>
      </c>
      <c r="D1119">
        <v>15</v>
      </c>
      <c r="E1119">
        <v>25.5</v>
      </c>
      <c r="F1119" t="s">
        <v>78</v>
      </c>
      <c r="G1119" t="s">
        <v>79</v>
      </c>
      <c r="H1119" t="str">
        <f>IF(COUNTIF(Sheet1!$A:$A,TEXT(A1119,"0"))+COUNTIF(Sheet1!$A:$A,A1119)&gt;0,"موجود","غير موجود")</f>
        <v>موجود</v>
      </c>
    </row>
    <row r="1120" spans="1:8" x14ac:dyDescent="0.2">
      <c r="A1120">
        <v>20309500148</v>
      </c>
      <c r="B1120" t="s">
        <v>1136</v>
      </c>
      <c r="C1120">
        <v>30</v>
      </c>
      <c r="D1120">
        <v>15</v>
      </c>
      <c r="E1120">
        <v>25.5</v>
      </c>
      <c r="F1120" t="s">
        <v>78</v>
      </c>
      <c r="G1120" t="s">
        <v>79</v>
      </c>
      <c r="H1120" t="str">
        <f>IF(COUNTIF(Sheet1!$A:$A,TEXT(A1120,"0"))+COUNTIF(Sheet1!$A:$A,A1120)&gt;0,"موجود","غير موجود")</f>
        <v>موجود</v>
      </c>
    </row>
    <row r="1121" spans="1:8" x14ac:dyDescent="0.2">
      <c r="A1121">
        <v>20309500431</v>
      </c>
      <c r="B1121" t="s">
        <v>1137</v>
      </c>
      <c r="C1121">
        <v>32</v>
      </c>
      <c r="D1121">
        <v>15</v>
      </c>
      <c r="E1121">
        <v>27.2</v>
      </c>
      <c r="F1121" t="s">
        <v>78</v>
      </c>
      <c r="G1121" t="s">
        <v>79</v>
      </c>
      <c r="H1121" t="str">
        <f>IF(COUNTIF(Sheet1!$A:$A,TEXT(A1121,"0"))+COUNTIF(Sheet1!$A:$A,A1121)&gt;0,"موجود","غير موجود")</f>
        <v>موجود</v>
      </c>
    </row>
    <row r="1122" spans="1:8" x14ac:dyDescent="0.2">
      <c r="A1122">
        <v>20309501378</v>
      </c>
      <c r="B1122" t="s">
        <v>1138</v>
      </c>
      <c r="C1122">
        <v>32</v>
      </c>
      <c r="D1122">
        <v>15</v>
      </c>
      <c r="E1122">
        <v>27.2</v>
      </c>
      <c r="F1122" t="s">
        <v>78</v>
      </c>
      <c r="G1122" t="s">
        <v>79</v>
      </c>
      <c r="H1122" t="str">
        <f>IF(COUNTIF(Sheet1!$A:$A,TEXT(A1122,"0"))+COUNTIF(Sheet1!$A:$A,A1122)&gt;0,"موجود","غير موجود")</f>
        <v>موجود</v>
      </c>
    </row>
    <row r="1123" spans="1:8" x14ac:dyDescent="0.2">
      <c r="A1123">
        <v>20309502160</v>
      </c>
      <c r="B1123" t="s">
        <v>1139</v>
      </c>
      <c r="C1123">
        <v>25.6</v>
      </c>
      <c r="D1123">
        <v>15</v>
      </c>
      <c r="E1123">
        <v>21.76</v>
      </c>
      <c r="F1123" t="s">
        <v>78</v>
      </c>
      <c r="G1123" t="s">
        <v>79</v>
      </c>
      <c r="H1123" t="str">
        <f>IF(COUNTIF(Sheet1!$A:$A,TEXT(A1123,"0"))+COUNTIF(Sheet1!$A:$A,A1123)&gt;0,"موجود","غير موجود")</f>
        <v>موجود</v>
      </c>
    </row>
    <row r="1124" spans="1:8" x14ac:dyDescent="0.2">
      <c r="A1124">
        <v>20309502161</v>
      </c>
      <c r="B1124" t="s">
        <v>1140</v>
      </c>
      <c r="C1124">
        <v>25.6</v>
      </c>
      <c r="D1124">
        <v>15</v>
      </c>
      <c r="E1124">
        <v>21.76</v>
      </c>
      <c r="F1124" t="s">
        <v>78</v>
      </c>
      <c r="G1124" t="s">
        <v>79</v>
      </c>
      <c r="H1124" t="str">
        <f>IF(COUNTIF(Sheet1!$A:$A,TEXT(A1124,"0"))+COUNTIF(Sheet1!$A:$A,A1124)&gt;0,"موجود","غير موجود")</f>
        <v>موجود</v>
      </c>
    </row>
    <row r="1125" spans="1:8" x14ac:dyDescent="0.2">
      <c r="A1125">
        <v>20309502162</v>
      </c>
      <c r="B1125" t="s">
        <v>1141</v>
      </c>
      <c r="C1125">
        <v>25.6</v>
      </c>
      <c r="D1125">
        <v>15</v>
      </c>
      <c r="E1125">
        <v>21.76</v>
      </c>
      <c r="F1125" t="s">
        <v>78</v>
      </c>
      <c r="G1125" t="s">
        <v>79</v>
      </c>
      <c r="H1125" t="str">
        <f>IF(COUNTIF(Sheet1!$A:$A,TEXT(A1125,"0"))+COUNTIF(Sheet1!$A:$A,A1125)&gt;0,"موجود","غير موجود")</f>
        <v>موجود</v>
      </c>
    </row>
    <row r="1126" spans="1:8" x14ac:dyDescent="0.2">
      <c r="A1126">
        <v>20309502163</v>
      </c>
      <c r="B1126" t="s">
        <v>1142</v>
      </c>
      <c r="C1126">
        <v>16.5</v>
      </c>
      <c r="D1126">
        <v>15</v>
      </c>
      <c r="E1126">
        <v>14.025</v>
      </c>
      <c r="F1126" t="s">
        <v>78</v>
      </c>
      <c r="G1126" t="s">
        <v>79</v>
      </c>
      <c r="H1126" t="str">
        <f>IF(COUNTIF(Sheet1!$A:$A,TEXT(A1126,"0"))+COUNTIF(Sheet1!$A:$A,A1126)&gt;0,"موجود","غير موجود")</f>
        <v>موجود</v>
      </c>
    </row>
    <row r="1127" spans="1:8" x14ac:dyDescent="0.2">
      <c r="A1127">
        <v>20309502164</v>
      </c>
      <c r="B1127" t="s">
        <v>1143</v>
      </c>
      <c r="C1127">
        <v>16.5</v>
      </c>
      <c r="D1127">
        <v>15</v>
      </c>
      <c r="E1127">
        <v>14.025</v>
      </c>
      <c r="F1127" t="s">
        <v>78</v>
      </c>
      <c r="G1127" t="s">
        <v>79</v>
      </c>
      <c r="H1127" t="str">
        <f>IF(COUNTIF(Sheet1!$A:$A,TEXT(A1127,"0"))+COUNTIF(Sheet1!$A:$A,A1127)&gt;0,"موجود","غير موجود")</f>
        <v>موجود</v>
      </c>
    </row>
    <row r="1128" spans="1:8" x14ac:dyDescent="0.2">
      <c r="A1128">
        <v>20309502166</v>
      </c>
      <c r="B1128" t="s">
        <v>1144</v>
      </c>
      <c r="C1128">
        <v>27.2</v>
      </c>
      <c r="D1128">
        <v>15</v>
      </c>
      <c r="E1128">
        <v>23.119999999999997</v>
      </c>
      <c r="F1128" t="s">
        <v>78</v>
      </c>
      <c r="G1128" t="s">
        <v>79</v>
      </c>
      <c r="H1128" t="str">
        <f>IF(COUNTIF(Sheet1!$A:$A,TEXT(A1128,"0"))+COUNTIF(Sheet1!$A:$A,A1128)&gt;0,"موجود","غير موجود")</f>
        <v>موجود</v>
      </c>
    </row>
    <row r="1129" spans="1:8" x14ac:dyDescent="0.2">
      <c r="A1129">
        <v>30420010292</v>
      </c>
      <c r="B1129" t="s">
        <v>1145</v>
      </c>
      <c r="C1129">
        <v>28</v>
      </c>
      <c r="D1129">
        <v>15</v>
      </c>
      <c r="E1129">
        <v>23.8</v>
      </c>
      <c r="F1129" t="s">
        <v>78</v>
      </c>
      <c r="G1129" t="s">
        <v>79</v>
      </c>
      <c r="H1129" t="str">
        <f>IF(COUNTIF(Sheet1!$A:$A,TEXT(A1129,"0"))+COUNTIF(Sheet1!$A:$A,A1129)&gt;0,"موجود","غير موجود")</f>
        <v>موجود</v>
      </c>
    </row>
    <row r="1130" spans="1:8" x14ac:dyDescent="0.2">
      <c r="A1130">
        <v>30420010295</v>
      </c>
      <c r="B1130" t="s">
        <v>1146</v>
      </c>
      <c r="C1130">
        <v>17</v>
      </c>
      <c r="D1130">
        <v>15</v>
      </c>
      <c r="E1130">
        <v>14.45</v>
      </c>
      <c r="F1130" t="s">
        <v>78</v>
      </c>
      <c r="G1130" t="s">
        <v>79</v>
      </c>
      <c r="H1130" t="str">
        <f>IF(COUNTIF(Sheet1!$A:$A,TEXT(A1130,"0"))+COUNTIF(Sheet1!$A:$A,A1130)&gt;0,"موجود","غير موجود")</f>
        <v>موجود</v>
      </c>
    </row>
    <row r="1131" spans="1:8" x14ac:dyDescent="0.2">
      <c r="A1131">
        <v>30420010296</v>
      </c>
      <c r="B1131" t="s">
        <v>1147</v>
      </c>
      <c r="C1131">
        <v>10</v>
      </c>
      <c r="D1131">
        <v>15</v>
      </c>
      <c r="E1131">
        <v>8.5</v>
      </c>
      <c r="F1131" t="s">
        <v>78</v>
      </c>
      <c r="G1131" t="s">
        <v>79</v>
      </c>
      <c r="H1131" t="str">
        <f>IF(COUNTIF(Sheet1!$A:$A,TEXT(A1131,"0"))+COUNTIF(Sheet1!$A:$A,A1131)&gt;0,"موجود","غير موجود")</f>
        <v>غير موجود</v>
      </c>
    </row>
    <row r="1132" spans="1:8" x14ac:dyDescent="0.2">
      <c r="A1132">
        <v>30420010297</v>
      </c>
      <c r="B1132" t="s">
        <v>1148</v>
      </c>
      <c r="C1132">
        <v>18.329999999999998</v>
      </c>
      <c r="D1132">
        <v>15</v>
      </c>
      <c r="E1132">
        <v>15.580499999999999</v>
      </c>
      <c r="F1132" t="s">
        <v>78</v>
      </c>
      <c r="G1132" t="s">
        <v>79</v>
      </c>
      <c r="H1132" t="str">
        <f>IF(COUNTIF(Sheet1!$A:$A,TEXT(A1132,"0"))+COUNTIF(Sheet1!$A:$A,A1132)&gt;0,"موجود","غير موجود")</f>
        <v>موجود</v>
      </c>
    </row>
    <row r="1133" spans="1:8" x14ac:dyDescent="0.2">
      <c r="A1133">
        <v>30420010298</v>
      </c>
      <c r="B1133" t="s">
        <v>1149</v>
      </c>
      <c r="C1133">
        <v>25</v>
      </c>
      <c r="D1133">
        <v>15</v>
      </c>
      <c r="E1133">
        <v>21.25</v>
      </c>
      <c r="F1133" t="s">
        <v>78</v>
      </c>
      <c r="G1133" t="s">
        <v>79</v>
      </c>
      <c r="H1133" t="str">
        <f>IF(COUNTIF(Sheet1!$A:$A,TEXT(A1133,"0"))+COUNTIF(Sheet1!$A:$A,A1133)&gt;0,"موجود","غير موجود")</f>
        <v>موجود</v>
      </c>
    </row>
    <row r="1134" spans="1:8" x14ac:dyDescent="0.2">
      <c r="A1134">
        <v>30420010299</v>
      </c>
      <c r="B1134" t="s">
        <v>1150</v>
      </c>
      <c r="C1134">
        <v>32</v>
      </c>
      <c r="D1134">
        <v>15</v>
      </c>
      <c r="E1134">
        <v>27.2</v>
      </c>
      <c r="F1134" t="s">
        <v>78</v>
      </c>
      <c r="G1134" t="s">
        <v>79</v>
      </c>
      <c r="H1134" t="str">
        <f>IF(COUNTIF(Sheet1!$A:$A,TEXT(A1134,"0"))+COUNTIF(Sheet1!$A:$A,A1134)&gt;0,"موجود","غير موجود")</f>
        <v>موجود</v>
      </c>
    </row>
    <row r="1135" spans="1:8" x14ac:dyDescent="0.2">
      <c r="A1135">
        <v>30420010301</v>
      </c>
      <c r="B1135" t="s">
        <v>1151</v>
      </c>
      <c r="C1135">
        <v>22</v>
      </c>
      <c r="D1135">
        <v>15</v>
      </c>
      <c r="E1135">
        <v>18.7</v>
      </c>
      <c r="F1135" t="s">
        <v>78</v>
      </c>
      <c r="G1135" t="s">
        <v>79</v>
      </c>
      <c r="H1135" t="str">
        <f>IF(COUNTIF(Sheet1!$A:$A,TEXT(A1135,"0"))+COUNTIF(Sheet1!$A:$A,A1135)&gt;0,"موجود","غير موجود")</f>
        <v>موجود</v>
      </c>
    </row>
    <row r="1136" spans="1:8" x14ac:dyDescent="0.2">
      <c r="A1136">
        <v>30420010367</v>
      </c>
      <c r="B1136" t="s">
        <v>1152</v>
      </c>
      <c r="C1136">
        <v>30</v>
      </c>
      <c r="D1136">
        <v>15</v>
      </c>
      <c r="E1136">
        <v>25.5</v>
      </c>
      <c r="F1136" t="s">
        <v>78</v>
      </c>
      <c r="G1136" t="s">
        <v>79</v>
      </c>
      <c r="H1136" t="str">
        <f>IF(COUNTIF(Sheet1!$A:$A,TEXT(A1136,"0"))+COUNTIF(Sheet1!$A:$A,A1136)&gt;0,"موجود","غير موجود")</f>
        <v>غير موجود</v>
      </c>
    </row>
    <row r="1137" spans="1:8" x14ac:dyDescent="0.2">
      <c r="A1137">
        <v>30420010721</v>
      </c>
      <c r="B1137" t="s">
        <v>1153</v>
      </c>
      <c r="C1137">
        <v>36</v>
      </c>
      <c r="D1137">
        <v>15</v>
      </c>
      <c r="E1137">
        <v>30.6</v>
      </c>
      <c r="F1137" t="s">
        <v>78</v>
      </c>
      <c r="G1137" t="s">
        <v>79</v>
      </c>
      <c r="H1137" t="str">
        <f>IF(COUNTIF(Sheet1!$A:$A,TEXT(A1137,"0"))+COUNTIF(Sheet1!$A:$A,A1137)&gt;0,"موجود","غير موجود")</f>
        <v>موجود</v>
      </c>
    </row>
    <row r="1138" spans="1:8" x14ac:dyDescent="0.2">
      <c r="A1138">
        <v>30420010725</v>
      </c>
      <c r="B1138" t="s">
        <v>1154</v>
      </c>
      <c r="C1138">
        <v>25</v>
      </c>
      <c r="D1138">
        <v>15</v>
      </c>
      <c r="E1138">
        <v>21.25</v>
      </c>
      <c r="F1138" t="s">
        <v>78</v>
      </c>
      <c r="G1138" t="s">
        <v>79</v>
      </c>
      <c r="H1138" t="str">
        <f>IF(COUNTIF(Sheet1!$A:$A,TEXT(A1138,"0"))+COUNTIF(Sheet1!$A:$A,A1138)&gt;0,"موجود","غير موجود")</f>
        <v>موجود</v>
      </c>
    </row>
    <row r="1139" spans="1:8" x14ac:dyDescent="0.2">
      <c r="A1139">
        <v>30420011103</v>
      </c>
      <c r="B1139" t="s">
        <v>1155</v>
      </c>
      <c r="C1139">
        <v>23</v>
      </c>
      <c r="D1139">
        <v>15</v>
      </c>
      <c r="E1139">
        <v>19.55</v>
      </c>
      <c r="F1139" t="s">
        <v>78</v>
      </c>
      <c r="G1139" t="s">
        <v>79</v>
      </c>
      <c r="H1139" t="str">
        <f>IF(COUNTIF(Sheet1!$A:$A,TEXT(A1139,"0"))+COUNTIF(Sheet1!$A:$A,A1139)&gt;0,"موجود","غير موجود")</f>
        <v>موجود</v>
      </c>
    </row>
    <row r="1140" spans="1:8" x14ac:dyDescent="0.2">
      <c r="A1140">
        <v>30420011948</v>
      </c>
      <c r="B1140" t="s">
        <v>1156</v>
      </c>
      <c r="C1140">
        <v>17</v>
      </c>
      <c r="D1140">
        <v>15</v>
      </c>
      <c r="E1140">
        <v>14.45</v>
      </c>
      <c r="F1140" t="s">
        <v>78</v>
      </c>
      <c r="G1140" t="s">
        <v>79</v>
      </c>
      <c r="H1140" t="str">
        <f>IF(COUNTIF(Sheet1!$A:$A,TEXT(A1140,"0"))+COUNTIF(Sheet1!$A:$A,A1140)&gt;0,"موجود","غير موجود")</f>
        <v>موجود</v>
      </c>
    </row>
    <row r="1141" spans="1:8" x14ac:dyDescent="0.2">
      <c r="A1141">
        <v>30420010756</v>
      </c>
      <c r="B1141" t="s">
        <v>1157</v>
      </c>
      <c r="C1141">
        <v>75</v>
      </c>
      <c r="D1141">
        <v>10</v>
      </c>
      <c r="E1141">
        <v>67.5</v>
      </c>
      <c r="F1141" t="s">
        <v>78</v>
      </c>
      <c r="G1141" t="s">
        <v>79</v>
      </c>
      <c r="H1141" t="str">
        <f>IF(COUNTIF(Sheet1!$A:$A,TEXT(A1141,"0"))+COUNTIF(Sheet1!$A:$A,A1141)&gt;0,"موجود","غير موجود")</f>
        <v>موجود</v>
      </c>
    </row>
    <row r="1142" spans="1:8" x14ac:dyDescent="0.2">
      <c r="A1142">
        <v>30420012044</v>
      </c>
      <c r="B1142" t="s">
        <v>1158</v>
      </c>
      <c r="C1142">
        <v>70</v>
      </c>
      <c r="D1142">
        <v>10</v>
      </c>
      <c r="E1142">
        <v>63</v>
      </c>
      <c r="F1142" t="s">
        <v>78</v>
      </c>
      <c r="G1142" t="s">
        <v>79</v>
      </c>
      <c r="H1142" t="str">
        <f>IF(COUNTIF(Sheet1!$A:$A,TEXT(A1142,"0"))+COUNTIF(Sheet1!$A:$A,A1142)&gt;0,"موجود","غير موجود")</f>
        <v>غير موجود</v>
      </c>
    </row>
    <row r="1143" spans="1:8" x14ac:dyDescent="0.2">
      <c r="A1143">
        <v>20615010011</v>
      </c>
      <c r="B1143" t="s">
        <v>1159</v>
      </c>
      <c r="C1143">
        <v>44</v>
      </c>
      <c r="D1143">
        <v>20</v>
      </c>
      <c r="E1143">
        <v>35.200000000000003</v>
      </c>
      <c r="F1143" t="s">
        <v>78</v>
      </c>
      <c r="G1143" t="s">
        <v>79</v>
      </c>
      <c r="H1143" t="str">
        <f>IF(COUNTIF(Sheet1!$A:$A,TEXT(A1143,"0"))+COUNTIF(Sheet1!$A:$A,A1143)&gt;0,"موجود","غير موجود")</f>
        <v>غير موجود</v>
      </c>
    </row>
    <row r="1144" spans="1:8" x14ac:dyDescent="0.2">
      <c r="A1144">
        <v>20615010024</v>
      </c>
      <c r="B1144" t="s">
        <v>1160</v>
      </c>
      <c r="C1144">
        <v>44</v>
      </c>
      <c r="D1144">
        <v>20</v>
      </c>
      <c r="E1144">
        <v>35.200000000000003</v>
      </c>
      <c r="F1144" t="s">
        <v>78</v>
      </c>
      <c r="G1144" t="s">
        <v>79</v>
      </c>
      <c r="H1144" t="str">
        <f>IF(COUNTIF(Sheet1!$A:$A,TEXT(A1144,"0"))+COUNTIF(Sheet1!$A:$A,A1144)&gt;0,"موجود","غير موجود")</f>
        <v>غير موجود</v>
      </c>
    </row>
    <row r="1145" spans="1:8" x14ac:dyDescent="0.2">
      <c r="A1145">
        <v>20615010041</v>
      </c>
      <c r="B1145" t="s">
        <v>1161</v>
      </c>
      <c r="C1145">
        <v>62</v>
      </c>
      <c r="D1145">
        <v>20</v>
      </c>
      <c r="E1145">
        <v>49.6</v>
      </c>
      <c r="F1145" t="s">
        <v>78</v>
      </c>
      <c r="G1145" t="s">
        <v>79</v>
      </c>
      <c r="H1145" t="str">
        <f>IF(COUNTIF(Sheet1!$A:$A,TEXT(A1145,"0"))+COUNTIF(Sheet1!$A:$A,A1145)&gt;0,"موجود","غير موجود")</f>
        <v>موجود</v>
      </c>
    </row>
    <row r="1146" spans="1:8" x14ac:dyDescent="0.2">
      <c r="A1146">
        <v>20615010042</v>
      </c>
      <c r="B1146" t="s">
        <v>1162</v>
      </c>
      <c r="C1146">
        <v>62</v>
      </c>
      <c r="D1146">
        <v>20</v>
      </c>
      <c r="E1146">
        <v>49.6</v>
      </c>
      <c r="F1146" t="s">
        <v>78</v>
      </c>
      <c r="G1146" t="s">
        <v>79</v>
      </c>
      <c r="H1146" t="str">
        <f>IF(COUNTIF(Sheet1!$A:$A,TEXT(A1146,"0"))+COUNTIF(Sheet1!$A:$A,A1146)&gt;0,"موجود","غير موجود")</f>
        <v>موجود</v>
      </c>
    </row>
    <row r="1147" spans="1:8" x14ac:dyDescent="0.2">
      <c r="A1147">
        <v>20615010093</v>
      </c>
      <c r="B1147" t="s">
        <v>1163</v>
      </c>
      <c r="C1147">
        <v>44</v>
      </c>
      <c r="D1147">
        <v>20</v>
      </c>
      <c r="E1147">
        <v>35.200000000000003</v>
      </c>
      <c r="F1147" t="s">
        <v>78</v>
      </c>
      <c r="G1147" t="s">
        <v>79</v>
      </c>
      <c r="H1147" t="str">
        <f>IF(COUNTIF(Sheet1!$A:$A,TEXT(A1147,"0"))+COUNTIF(Sheet1!$A:$A,A1147)&gt;0,"موجود","غير موجود")</f>
        <v>موجود</v>
      </c>
    </row>
    <row r="1148" spans="1:8" x14ac:dyDescent="0.2">
      <c r="A1148">
        <v>20615010094</v>
      </c>
      <c r="B1148" t="s">
        <v>1164</v>
      </c>
      <c r="C1148">
        <v>64</v>
      </c>
      <c r="D1148">
        <v>20</v>
      </c>
      <c r="E1148">
        <v>51.2</v>
      </c>
      <c r="F1148" t="s">
        <v>78</v>
      </c>
      <c r="G1148" t="s">
        <v>79</v>
      </c>
      <c r="H1148" t="str">
        <f>IF(COUNTIF(Sheet1!$A:$A,TEXT(A1148,"0"))+COUNTIF(Sheet1!$A:$A,A1148)&gt;0,"موجود","غير موجود")</f>
        <v>موجود</v>
      </c>
    </row>
    <row r="1149" spans="1:8" x14ac:dyDescent="0.2">
      <c r="A1149">
        <v>20615010095</v>
      </c>
      <c r="B1149" t="s">
        <v>1165</v>
      </c>
      <c r="C1149">
        <v>64</v>
      </c>
      <c r="D1149">
        <v>20</v>
      </c>
      <c r="E1149">
        <v>51.2</v>
      </c>
      <c r="F1149" t="s">
        <v>78</v>
      </c>
      <c r="G1149" t="s">
        <v>79</v>
      </c>
      <c r="H1149" t="str">
        <f>IF(COUNTIF(Sheet1!$A:$A,TEXT(A1149,"0"))+COUNTIF(Sheet1!$A:$A,A1149)&gt;0,"موجود","غير موجود")</f>
        <v>موجود</v>
      </c>
    </row>
    <row r="1150" spans="1:8" x14ac:dyDescent="0.2">
      <c r="A1150">
        <v>20615010096</v>
      </c>
      <c r="B1150" t="s">
        <v>1166</v>
      </c>
      <c r="C1150">
        <v>44</v>
      </c>
      <c r="D1150">
        <v>20</v>
      </c>
      <c r="E1150">
        <v>35.200000000000003</v>
      </c>
      <c r="F1150" t="s">
        <v>78</v>
      </c>
      <c r="G1150" t="s">
        <v>79</v>
      </c>
      <c r="H1150" t="str">
        <f>IF(COUNTIF(Sheet1!$A:$A,TEXT(A1150,"0"))+COUNTIF(Sheet1!$A:$A,A1150)&gt;0,"موجود","غير موجود")</f>
        <v>موجود</v>
      </c>
    </row>
    <row r="1151" spans="1:8" x14ac:dyDescent="0.2">
      <c r="A1151">
        <v>20615010097</v>
      </c>
      <c r="B1151" t="s">
        <v>1167</v>
      </c>
      <c r="C1151">
        <v>44</v>
      </c>
      <c r="D1151">
        <v>20</v>
      </c>
      <c r="E1151">
        <v>35.200000000000003</v>
      </c>
      <c r="F1151" t="s">
        <v>78</v>
      </c>
      <c r="G1151" t="s">
        <v>79</v>
      </c>
      <c r="H1151" t="str">
        <f>IF(COUNTIF(Sheet1!$A:$A,TEXT(A1151,"0"))+COUNTIF(Sheet1!$A:$A,A1151)&gt;0,"موجود","غير موجود")</f>
        <v>موجود</v>
      </c>
    </row>
    <row r="1152" spans="1:8" x14ac:dyDescent="0.2">
      <c r="A1152">
        <v>20615010098</v>
      </c>
      <c r="B1152" t="s">
        <v>1168</v>
      </c>
      <c r="C1152">
        <v>64</v>
      </c>
      <c r="D1152">
        <v>20</v>
      </c>
      <c r="E1152">
        <v>51.2</v>
      </c>
      <c r="F1152" t="s">
        <v>78</v>
      </c>
      <c r="G1152" t="s">
        <v>79</v>
      </c>
      <c r="H1152" t="str">
        <f>IF(COUNTIF(Sheet1!$A:$A,TEXT(A1152,"0"))+COUNTIF(Sheet1!$A:$A,A1152)&gt;0,"موجود","غير موجود")</f>
        <v>موجود</v>
      </c>
    </row>
    <row r="1153" spans="1:8" x14ac:dyDescent="0.2">
      <c r="A1153">
        <v>20615010238</v>
      </c>
      <c r="B1153" t="s">
        <v>1169</v>
      </c>
      <c r="C1153">
        <v>64</v>
      </c>
      <c r="D1153">
        <v>20</v>
      </c>
      <c r="E1153">
        <v>51.2</v>
      </c>
      <c r="F1153" t="s">
        <v>78</v>
      </c>
      <c r="G1153" t="s">
        <v>79</v>
      </c>
      <c r="H1153" t="str">
        <f>IF(COUNTIF(Sheet1!$A:$A,TEXT(A1153,"0"))+COUNTIF(Sheet1!$A:$A,A1153)&gt;0,"موجود","غير موجود")</f>
        <v>موجود</v>
      </c>
    </row>
    <row r="1154" spans="1:8" x14ac:dyDescent="0.2">
      <c r="A1154">
        <v>20615010338</v>
      </c>
      <c r="B1154" t="s">
        <v>1170</v>
      </c>
      <c r="C1154">
        <v>119.95</v>
      </c>
      <c r="D1154">
        <v>20</v>
      </c>
      <c r="E1154">
        <v>95.960000000000008</v>
      </c>
      <c r="F1154" t="s">
        <v>78</v>
      </c>
      <c r="G1154" t="s">
        <v>79</v>
      </c>
      <c r="H1154" t="str">
        <f>IF(COUNTIF(Sheet1!$A:$A,TEXT(A1154,"0"))+COUNTIF(Sheet1!$A:$A,A1154)&gt;0,"موجود","غير موجود")</f>
        <v>موجود</v>
      </c>
    </row>
    <row r="1155" spans="1:8" x14ac:dyDescent="0.2">
      <c r="A1155">
        <v>20620030026</v>
      </c>
      <c r="B1155" t="s">
        <v>1171</v>
      </c>
      <c r="C1155">
        <v>69</v>
      </c>
      <c r="D1155">
        <v>20</v>
      </c>
      <c r="E1155">
        <v>55.2</v>
      </c>
      <c r="F1155" t="s">
        <v>78</v>
      </c>
      <c r="G1155" t="s">
        <v>79</v>
      </c>
      <c r="H1155" t="str">
        <f>IF(COUNTIF(Sheet1!$A:$A,TEXT(A1155,"0"))+COUNTIF(Sheet1!$A:$A,A1155)&gt;0,"موجود","غير موجود")</f>
        <v>موجود</v>
      </c>
    </row>
    <row r="1156" spans="1:8" x14ac:dyDescent="0.2">
      <c r="A1156">
        <v>20620030027</v>
      </c>
      <c r="B1156" t="s">
        <v>1172</v>
      </c>
      <c r="C1156">
        <v>69</v>
      </c>
      <c r="D1156">
        <v>20</v>
      </c>
      <c r="E1156">
        <v>55.2</v>
      </c>
      <c r="F1156" t="s">
        <v>78</v>
      </c>
      <c r="G1156" t="s">
        <v>79</v>
      </c>
      <c r="H1156" t="str">
        <f>IF(COUNTIF(Sheet1!$A:$A,TEXT(A1156,"0"))+COUNTIF(Sheet1!$A:$A,A1156)&gt;0,"موجود","غير موجود")</f>
        <v>موجود</v>
      </c>
    </row>
    <row r="1157" spans="1:8" x14ac:dyDescent="0.2">
      <c r="A1157">
        <v>20620030028</v>
      </c>
      <c r="B1157" t="s">
        <v>1173</v>
      </c>
      <c r="C1157">
        <v>44</v>
      </c>
      <c r="D1157">
        <v>20</v>
      </c>
      <c r="E1157">
        <v>35.200000000000003</v>
      </c>
      <c r="F1157" t="s">
        <v>78</v>
      </c>
      <c r="G1157" t="s">
        <v>79</v>
      </c>
      <c r="H1157" t="str">
        <f>IF(COUNTIF(Sheet1!$A:$A,TEXT(A1157,"0"))+COUNTIF(Sheet1!$A:$A,A1157)&gt;0,"موجود","غير موجود")</f>
        <v>موجود</v>
      </c>
    </row>
    <row r="1158" spans="1:8" x14ac:dyDescent="0.2">
      <c r="A1158">
        <v>20620030047</v>
      </c>
      <c r="B1158" t="s">
        <v>1174</v>
      </c>
      <c r="C1158">
        <v>119.95</v>
      </c>
      <c r="D1158">
        <v>20</v>
      </c>
      <c r="E1158">
        <v>95.960000000000008</v>
      </c>
      <c r="F1158" t="s">
        <v>78</v>
      </c>
      <c r="G1158" t="s">
        <v>79</v>
      </c>
      <c r="H1158" t="str">
        <f>IF(COUNTIF(Sheet1!$A:$A,TEXT(A1158,"0"))+COUNTIF(Sheet1!$A:$A,A1158)&gt;0,"موجود","غير موجود")</f>
        <v>موجود</v>
      </c>
    </row>
    <row r="1159" spans="1:8" x14ac:dyDescent="0.2">
      <c r="A1159">
        <v>20620030048</v>
      </c>
      <c r="B1159" t="s">
        <v>1175</v>
      </c>
      <c r="C1159">
        <v>80</v>
      </c>
      <c r="D1159">
        <v>20</v>
      </c>
      <c r="E1159">
        <v>64</v>
      </c>
      <c r="F1159" t="s">
        <v>78</v>
      </c>
      <c r="G1159" t="s">
        <v>79</v>
      </c>
      <c r="H1159" t="str">
        <f>IF(COUNTIF(Sheet1!$A:$A,TEXT(A1159,"0"))+COUNTIF(Sheet1!$A:$A,A1159)&gt;0,"موجود","غير موجود")</f>
        <v>غير موجود</v>
      </c>
    </row>
    <row r="1160" spans="1:8" x14ac:dyDescent="0.2">
      <c r="A1160">
        <v>20615010375</v>
      </c>
      <c r="B1160" t="s">
        <v>1176</v>
      </c>
      <c r="C1160">
        <v>85</v>
      </c>
      <c r="D1160">
        <v>15</v>
      </c>
      <c r="E1160">
        <v>72.25</v>
      </c>
      <c r="F1160" t="s">
        <v>78</v>
      </c>
      <c r="G1160" t="s">
        <v>79</v>
      </c>
      <c r="H1160" t="str">
        <f>IF(COUNTIF(Sheet1!$A:$A,TEXT(A1160,"0"))+COUNTIF(Sheet1!$A:$A,A1160)&gt;0,"موجود","غير موجود")</f>
        <v>غير موجود</v>
      </c>
    </row>
    <row r="1161" spans="1:8" x14ac:dyDescent="0.2">
      <c r="A1161">
        <v>20309010739</v>
      </c>
      <c r="B1161" t="s">
        <v>1177</v>
      </c>
      <c r="C1161">
        <v>27.7</v>
      </c>
      <c r="D1161">
        <v>25</v>
      </c>
      <c r="E1161">
        <v>20.774999999999999</v>
      </c>
      <c r="F1161" t="s">
        <v>78</v>
      </c>
      <c r="G1161" t="s">
        <v>79</v>
      </c>
      <c r="H1161" t="str">
        <f>IF(COUNTIF(Sheet1!$A:$A,TEXT(A1161,"0"))+COUNTIF(Sheet1!$A:$A,A1161)&gt;0,"موجود","غير موجود")</f>
        <v>موجود</v>
      </c>
    </row>
    <row r="1162" spans="1:8" x14ac:dyDescent="0.2">
      <c r="A1162">
        <v>20309010742</v>
      </c>
      <c r="B1162" t="s">
        <v>1178</v>
      </c>
      <c r="C1162">
        <v>27.7</v>
      </c>
      <c r="D1162">
        <v>25</v>
      </c>
      <c r="E1162">
        <v>20.774999999999999</v>
      </c>
      <c r="F1162" t="s">
        <v>78</v>
      </c>
      <c r="G1162" t="s">
        <v>79</v>
      </c>
      <c r="H1162" t="str">
        <f>IF(COUNTIF(Sheet1!$A:$A,TEXT(A1162,"0"))+COUNTIF(Sheet1!$A:$A,A1162)&gt;0,"موجود","غير موجود")</f>
        <v>موجود</v>
      </c>
    </row>
    <row r="1163" spans="1:8" x14ac:dyDescent="0.2">
      <c r="A1163">
        <v>20309010929</v>
      </c>
      <c r="B1163" t="s">
        <v>1179</v>
      </c>
      <c r="C1163">
        <v>21</v>
      </c>
      <c r="D1163">
        <v>25</v>
      </c>
      <c r="E1163">
        <v>15.75</v>
      </c>
      <c r="F1163" t="s">
        <v>78</v>
      </c>
      <c r="G1163" t="s">
        <v>79</v>
      </c>
      <c r="H1163" t="str">
        <f>IF(COUNTIF(Sheet1!$A:$A,TEXT(A1163,"0"))+COUNTIF(Sheet1!$A:$A,A1163)&gt;0,"موجود","غير موجود")</f>
        <v>موجود</v>
      </c>
    </row>
    <row r="1164" spans="1:8" x14ac:dyDescent="0.2">
      <c r="A1164">
        <v>20309010931</v>
      </c>
      <c r="B1164" t="s">
        <v>1180</v>
      </c>
      <c r="C1164">
        <v>27.7</v>
      </c>
      <c r="D1164">
        <v>25</v>
      </c>
      <c r="E1164">
        <v>20.774999999999999</v>
      </c>
      <c r="F1164" t="s">
        <v>78</v>
      </c>
      <c r="G1164" t="s">
        <v>79</v>
      </c>
      <c r="H1164" t="str">
        <f>IF(COUNTIF(Sheet1!$A:$A,TEXT(A1164,"0"))+COUNTIF(Sheet1!$A:$A,A1164)&gt;0,"موجود","غير موجود")</f>
        <v>موجود</v>
      </c>
    </row>
    <row r="1165" spans="1:8" x14ac:dyDescent="0.2">
      <c r="A1165">
        <v>20309011830</v>
      </c>
      <c r="B1165" t="s">
        <v>1181</v>
      </c>
      <c r="C1165">
        <v>21</v>
      </c>
      <c r="D1165">
        <v>25</v>
      </c>
      <c r="E1165">
        <v>15.75</v>
      </c>
      <c r="F1165" t="s">
        <v>78</v>
      </c>
      <c r="G1165" t="s">
        <v>79</v>
      </c>
      <c r="H1165" t="str">
        <f>IF(COUNTIF(Sheet1!$A:$A,TEXT(A1165,"0"))+COUNTIF(Sheet1!$A:$A,A1165)&gt;0,"موجود","غير موجود")</f>
        <v>موجود</v>
      </c>
    </row>
    <row r="1166" spans="1:8" x14ac:dyDescent="0.2">
      <c r="A1166">
        <v>20309012114</v>
      </c>
      <c r="B1166" t="s">
        <v>1182</v>
      </c>
      <c r="C1166">
        <v>27.7</v>
      </c>
      <c r="D1166">
        <v>25</v>
      </c>
      <c r="E1166">
        <v>20.774999999999999</v>
      </c>
      <c r="F1166" t="s">
        <v>78</v>
      </c>
      <c r="G1166" t="s">
        <v>79</v>
      </c>
      <c r="H1166" t="str">
        <f>IF(COUNTIF(Sheet1!$A:$A,TEXT(A1166,"0"))+COUNTIF(Sheet1!$A:$A,A1166)&gt;0,"موجود","غير موجود")</f>
        <v>غير موجود</v>
      </c>
    </row>
    <row r="1167" spans="1:8" x14ac:dyDescent="0.2">
      <c r="A1167">
        <v>20309012115</v>
      </c>
      <c r="B1167" t="s">
        <v>1183</v>
      </c>
      <c r="C1167">
        <v>21</v>
      </c>
      <c r="D1167">
        <v>25</v>
      </c>
      <c r="E1167">
        <v>15.75</v>
      </c>
      <c r="F1167" t="s">
        <v>78</v>
      </c>
      <c r="G1167" t="s">
        <v>79</v>
      </c>
      <c r="H1167" t="str">
        <f>IF(COUNTIF(Sheet1!$A:$A,TEXT(A1167,"0"))+COUNTIF(Sheet1!$A:$A,A1167)&gt;0,"موجود","غير موجود")</f>
        <v>غير موجود</v>
      </c>
    </row>
    <row r="1168" spans="1:8" x14ac:dyDescent="0.2">
      <c r="A1168">
        <v>20309012116</v>
      </c>
      <c r="B1168" t="s">
        <v>1184</v>
      </c>
      <c r="C1168">
        <v>27.7</v>
      </c>
      <c r="D1168">
        <v>25</v>
      </c>
      <c r="E1168">
        <v>20.774999999999999</v>
      </c>
      <c r="F1168" t="s">
        <v>78</v>
      </c>
      <c r="G1168" t="s">
        <v>79</v>
      </c>
      <c r="H1168" t="str">
        <f>IF(COUNTIF(Sheet1!$A:$A,TEXT(A1168,"0"))+COUNTIF(Sheet1!$A:$A,A1168)&gt;0,"موجود","غير موجود")</f>
        <v>غير موجود</v>
      </c>
    </row>
    <row r="1169" spans="1:8" x14ac:dyDescent="0.2">
      <c r="A1169">
        <v>20309012118</v>
      </c>
      <c r="B1169" t="s">
        <v>1185</v>
      </c>
      <c r="C1169">
        <v>27.7</v>
      </c>
      <c r="D1169">
        <v>25</v>
      </c>
      <c r="E1169">
        <v>20.774999999999999</v>
      </c>
      <c r="F1169" t="s">
        <v>78</v>
      </c>
      <c r="G1169" t="s">
        <v>79</v>
      </c>
      <c r="H1169" t="str">
        <f>IF(COUNTIF(Sheet1!$A:$A,TEXT(A1169,"0"))+COUNTIF(Sheet1!$A:$A,A1169)&gt;0,"موجود","غير موجود")</f>
        <v>غير موجود</v>
      </c>
    </row>
    <row r="1170" spans="1:8" x14ac:dyDescent="0.2">
      <c r="A1170">
        <v>20309501822</v>
      </c>
      <c r="B1170" t="s">
        <v>1186</v>
      </c>
      <c r="C1170">
        <v>33</v>
      </c>
      <c r="D1170">
        <v>25</v>
      </c>
      <c r="E1170">
        <v>24.75</v>
      </c>
      <c r="F1170" t="s">
        <v>78</v>
      </c>
      <c r="G1170" t="s">
        <v>79</v>
      </c>
      <c r="H1170" t="str">
        <f>IF(COUNTIF(Sheet1!$A:$A,TEXT(A1170,"0"))+COUNTIF(Sheet1!$A:$A,A1170)&gt;0,"موجود","غير موجود")</f>
        <v>موجود</v>
      </c>
    </row>
    <row r="1171" spans="1:8" x14ac:dyDescent="0.2">
      <c r="A1171">
        <v>20309501828</v>
      </c>
      <c r="B1171" t="s">
        <v>1187</v>
      </c>
      <c r="C1171">
        <v>21</v>
      </c>
      <c r="D1171">
        <v>25</v>
      </c>
      <c r="E1171">
        <v>15.75</v>
      </c>
      <c r="F1171" t="s">
        <v>78</v>
      </c>
      <c r="G1171" t="s">
        <v>79</v>
      </c>
      <c r="H1171" t="str">
        <f>IF(COUNTIF(Sheet1!$A:$A,TEXT(A1171,"0"))+COUNTIF(Sheet1!$A:$A,A1171)&gt;0,"موجود","غير موجود")</f>
        <v>موجود</v>
      </c>
    </row>
    <row r="1172" spans="1:8" x14ac:dyDescent="0.2">
      <c r="A1172">
        <v>20309501898</v>
      </c>
      <c r="B1172" t="s">
        <v>1188</v>
      </c>
      <c r="C1172">
        <v>21</v>
      </c>
      <c r="D1172">
        <v>25</v>
      </c>
      <c r="E1172">
        <v>15.75</v>
      </c>
      <c r="F1172" t="s">
        <v>78</v>
      </c>
      <c r="G1172" t="s">
        <v>79</v>
      </c>
      <c r="H1172" t="str">
        <f>IF(COUNTIF(Sheet1!$A:$A,TEXT(A1172,"0"))+COUNTIF(Sheet1!$A:$A,A1172)&gt;0,"موجود","غير موجود")</f>
        <v>موجود</v>
      </c>
    </row>
    <row r="1173" spans="1:8" x14ac:dyDescent="0.2">
      <c r="A1173">
        <v>20309501910</v>
      </c>
      <c r="B1173" t="s">
        <v>1189</v>
      </c>
      <c r="C1173">
        <v>21</v>
      </c>
      <c r="D1173">
        <v>25</v>
      </c>
      <c r="E1173">
        <v>15.75</v>
      </c>
      <c r="F1173" t="s">
        <v>78</v>
      </c>
      <c r="G1173" t="s">
        <v>79</v>
      </c>
      <c r="H1173" t="str">
        <f>IF(COUNTIF(Sheet1!$A:$A,TEXT(A1173,"0"))+COUNTIF(Sheet1!$A:$A,A1173)&gt;0,"موجود","غير موجود")</f>
        <v>غير موجود</v>
      </c>
    </row>
    <row r="1174" spans="1:8" x14ac:dyDescent="0.2">
      <c r="A1174">
        <v>20309501912</v>
      </c>
      <c r="B1174" t="s">
        <v>1190</v>
      </c>
      <c r="C1174">
        <v>20.2</v>
      </c>
      <c r="D1174">
        <v>25</v>
      </c>
      <c r="E1174">
        <v>15.149999999999999</v>
      </c>
      <c r="F1174" t="s">
        <v>78</v>
      </c>
      <c r="G1174" t="s">
        <v>79</v>
      </c>
      <c r="H1174" t="str">
        <f>IF(COUNTIF(Sheet1!$A:$A,TEXT(A1174,"0"))+COUNTIF(Sheet1!$A:$A,A1174)&gt;0,"موجود","غير موجود")</f>
        <v>غير موجود</v>
      </c>
    </row>
    <row r="1175" spans="1:8" x14ac:dyDescent="0.2">
      <c r="A1175">
        <v>20309011993</v>
      </c>
      <c r="B1175" t="s">
        <v>1191</v>
      </c>
      <c r="C1175">
        <v>23.1</v>
      </c>
      <c r="D1175">
        <v>10</v>
      </c>
      <c r="E1175">
        <v>20.790000000000003</v>
      </c>
      <c r="F1175" t="s">
        <v>78</v>
      </c>
      <c r="G1175" t="s">
        <v>79</v>
      </c>
      <c r="H1175" t="str">
        <f>IF(COUNTIF(Sheet1!$A:$A,TEXT(A1175,"0"))+COUNTIF(Sheet1!$A:$A,A1175)&gt;0,"موجود","غير موجود")</f>
        <v>غير موجود</v>
      </c>
    </row>
    <row r="1176" spans="1:8" x14ac:dyDescent="0.2">
      <c r="A1176">
        <v>20309011997</v>
      </c>
      <c r="B1176" t="s">
        <v>1192</v>
      </c>
      <c r="C1176">
        <v>23.1</v>
      </c>
      <c r="D1176">
        <v>10</v>
      </c>
      <c r="E1176">
        <v>20.790000000000003</v>
      </c>
      <c r="F1176" t="s">
        <v>78</v>
      </c>
      <c r="G1176" t="s">
        <v>79</v>
      </c>
      <c r="H1176" t="str">
        <f>IF(COUNTIF(Sheet1!$A:$A,TEXT(A1176,"0"))+COUNTIF(Sheet1!$A:$A,A1176)&gt;0,"موجود","غير موجود")</f>
        <v>غير موجود</v>
      </c>
    </row>
    <row r="1177" spans="1:8" x14ac:dyDescent="0.2">
      <c r="A1177">
        <v>20309012001</v>
      </c>
      <c r="B1177" t="s">
        <v>1193</v>
      </c>
      <c r="C1177">
        <v>23.1</v>
      </c>
      <c r="D1177">
        <v>10</v>
      </c>
      <c r="E1177">
        <v>20.790000000000003</v>
      </c>
      <c r="F1177" t="s">
        <v>78</v>
      </c>
      <c r="G1177" t="s">
        <v>79</v>
      </c>
      <c r="H1177" t="str">
        <f>IF(COUNTIF(Sheet1!$A:$A,TEXT(A1177,"0"))+COUNTIF(Sheet1!$A:$A,A1177)&gt;0,"موجود","غير موجود")</f>
        <v>موجود</v>
      </c>
    </row>
    <row r="1178" spans="1:8" x14ac:dyDescent="0.2">
      <c r="A1178">
        <v>20309012002</v>
      </c>
      <c r="B1178" t="s">
        <v>1194</v>
      </c>
      <c r="C1178">
        <v>23.1</v>
      </c>
      <c r="D1178">
        <v>10</v>
      </c>
      <c r="E1178">
        <v>20.790000000000003</v>
      </c>
      <c r="F1178" t="s">
        <v>78</v>
      </c>
      <c r="G1178" t="s">
        <v>79</v>
      </c>
      <c r="H1178" t="str">
        <f>IF(COUNTIF(Sheet1!$A:$A,TEXT(A1178,"0"))+COUNTIF(Sheet1!$A:$A,A1178)&gt;0,"موجود","غير موجود")</f>
        <v>موجود</v>
      </c>
    </row>
    <row r="1179" spans="1:8" x14ac:dyDescent="0.2">
      <c r="A1179">
        <v>20309012029</v>
      </c>
      <c r="B1179" t="s">
        <v>1195</v>
      </c>
      <c r="C1179">
        <v>26.18</v>
      </c>
      <c r="D1179">
        <v>10</v>
      </c>
      <c r="E1179">
        <v>23.561999999999998</v>
      </c>
      <c r="F1179" t="s">
        <v>78</v>
      </c>
      <c r="G1179" t="s">
        <v>79</v>
      </c>
      <c r="H1179" t="str">
        <f>IF(COUNTIF(Sheet1!$A:$A,TEXT(A1179,"0"))+COUNTIF(Sheet1!$A:$A,A1179)&gt;0,"موجود","غير موجود")</f>
        <v>غير موجود</v>
      </c>
    </row>
    <row r="1180" spans="1:8" x14ac:dyDescent="0.2">
      <c r="A1180">
        <v>20309012033</v>
      </c>
      <c r="B1180" t="s">
        <v>1196</v>
      </c>
      <c r="C1180">
        <v>33.880000000000003</v>
      </c>
      <c r="D1180">
        <v>10</v>
      </c>
      <c r="E1180">
        <v>30.492000000000004</v>
      </c>
      <c r="F1180" t="s">
        <v>78</v>
      </c>
      <c r="G1180" t="s">
        <v>79</v>
      </c>
      <c r="H1180" t="str">
        <f>IF(COUNTIF(Sheet1!$A:$A,TEXT(A1180,"0"))+COUNTIF(Sheet1!$A:$A,A1180)&gt;0,"موجود","غير موجود")</f>
        <v>موجود</v>
      </c>
    </row>
    <row r="1181" spans="1:8" x14ac:dyDescent="0.2">
      <c r="A1181">
        <v>20309012036</v>
      </c>
      <c r="B1181" t="s">
        <v>1197</v>
      </c>
      <c r="C1181">
        <v>29.26</v>
      </c>
      <c r="D1181">
        <v>10</v>
      </c>
      <c r="E1181">
        <v>26.334000000000003</v>
      </c>
      <c r="F1181" t="s">
        <v>78</v>
      </c>
      <c r="G1181" t="s">
        <v>79</v>
      </c>
      <c r="H1181" t="str">
        <f>IF(COUNTIF(Sheet1!$A:$A,TEXT(A1181,"0"))+COUNTIF(Sheet1!$A:$A,A1181)&gt;0,"موجود","غير موجود")</f>
        <v>موجود</v>
      </c>
    </row>
    <row r="1182" spans="1:8" x14ac:dyDescent="0.2">
      <c r="A1182">
        <v>20309012354</v>
      </c>
      <c r="B1182" t="s">
        <v>1198</v>
      </c>
      <c r="C1182">
        <v>32.340000000000003</v>
      </c>
      <c r="D1182">
        <v>10</v>
      </c>
      <c r="E1182">
        <v>29.106000000000002</v>
      </c>
      <c r="F1182" t="s">
        <v>78</v>
      </c>
      <c r="G1182" t="s">
        <v>79</v>
      </c>
      <c r="H1182" t="str">
        <f>IF(COUNTIF(Sheet1!$A:$A,TEXT(A1182,"0"))+COUNTIF(Sheet1!$A:$A,A1182)&gt;0,"موجود","غير موجود")</f>
        <v>موجود</v>
      </c>
    </row>
    <row r="1183" spans="1:8" x14ac:dyDescent="0.2">
      <c r="A1183">
        <v>20309012355</v>
      </c>
      <c r="B1183" t="s">
        <v>1199</v>
      </c>
      <c r="C1183">
        <v>24.64</v>
      </c>
      <c r="D1183">
        <v>10</v>
      </c>
      <c r="E1183">
        <v>22.176000000000002</v>
      </c>
      <c r="F1183" t="s">
        <v>78</v>
      </c>
      <c r="G1183" t="s">
        <v>79</v>
      </c>
      <c r="H1183" t="str">
        <f>IF(COUNTIF(Sheet1!$A:$A,TEXT(A1183,"0"))+COUNTIF(Sheet1!$A:$A,A1183)&gt;0,"موجود","غير موجود")</f>
        <v>موجود</v>
      </c>
    </row>
    <row r="1184" spans="1:8" x14ac:dyDescent="0.2">
      <c r="A1184">
        <v>20309012356</v>
      </c>
      <c r="B1184" t="s">
        <v>1200</v>
      </c>
      <c r="C1184">
        <v>15.4</v>
      </c>
      <c r="D1184">
        <v>10</v>
      </c>
      <c r="E1184">
        <v>13.86</v>
      </c>
      <c r="F1184" t="s">
        <v>78</v>
      </c>
      <c r="G1184" t="s">
        <v>79</v>
      </c>
      <c r="H1184" t="str">
        <f>IF(COUNTIF(Sheet1!$A:$A,TEXT(A1184,"0"))+COUNTIF(Sheet1!$A:$A,A1184)&gt;0,"موجود","غير موجود")</f>
        <v>غير موجود</v>
      </c>
    </row>
    <row r="1185" spans="1:8" x14ac:dyDescent="0.2">
      <c r="A1185">
        <v>20309012357</v>
      </c>
      <c r="B1185" t="s">
        <v>1201</v>
      </c>
      <c r="C1185">
        <v>28.49</v>
      </c>
      <c r="D1185">
        <v>10</v>
      </c>
      <c r="E1185">
        <v>25.640999999999998</v>
      </c>
      <c r="F1185" t="s">
        <v>78</v>
      </c>
      <c r="G1185" t="s">
        <v>79</v>
      </c>
      <c r="H1185" t="str">
        <f>IF(COUNTIF(Sheet1!$A:$A,TEXT(A1185,"0"))+COUNTIF(Sheet1!$A:$A,A1185)&gt;0,"موجود","غير موجود")</f>
        <v>غير موجود</v>
      </c>
    </row>
    <row r="1186" spans="1:8" x14ac:dyDescent="0.2">
      <c r="A1186">
        <v>20309012358</v>
      </c>
      <c r="B1186" t="s">
        <v>1202</v>
      </c>
      <c r="C1186">
        <v>29.26</v>
      </c>
      <c r="D1186">
        <v>10</v>
      </c>
      <c r="E1186">
        <v>26.334000000000003</v>
      </c>
      <c r="F1186" t="s">
        <v>78</v>
      </c>
      <c r="G1186" t="s">
        <v>79</v>
      </c>
      <c r="H1186" t="str">
        <f>IF(COUNTIF(Sheet1!$A:$A,TEXT(A1186,"0"))+COUNTIF(Sheet1!$A:$A,A1186)&gt;0,"موجود","غير موجود")</f>
        <v>موجود</v>
      </c>
    </row>
    <row r="1187" spans="1:8" x14ac:dyDescent="0.2">
      <c r="A1187">
        <v>20309012359</v>
      </c>
      <c r="B1187" t="s">
        <v>1203</v>
      </c>
      <c r="C1187">
        <v>30.8</v>
      </c>
      <c r="D1187">
        <v>10</v>
      </c>
      <c r="E1187">
        <v>27.72</v>
      </c>
      <c r="F1187" t="s">
        <v>78</v>
      </c>
      <c r="G1187" t="s">
        <v>79</v>
      </c>
      <c r="H1187" t="str">
        <f>IF(COUNTIF(Sheet1!$A:$A,TEXT(A1187,"0"))+COUNTIF(Sheet1!$A:$A,A1187)&gt;0,"موجود","غير موجود")</f>
        <v>موجود</v>
      </c>
    </row>
    <row r="1188" spans="1:8" x14ac:dyDescent="0.2">
      <c r="A1188">
        <v>20309021924</v>
      </c>
      <c r="B1188" t="s">
        <v>1204</v>
      </c>
      <c r="C1188">
        <v>27.72</v>
      </c>
      <c r="D1188">
        <v>10</v>
      </c>
      <c r="E1188">
        <v>24.948</v>
      </c>
      <c r="F1188" t="s">
        <v>78</v>
      </c>
      <c r="G1188" t="s">
        <v>79</v>
      </c>
      <c r="H1188" t="str">
        <f>IF(COUNTIF(Sheet1!$A:$A,TEXT(A1188,"0"))+COUNTIF(Sheet1!$A:$A,A1188)&gt;0,"موجود","غير موجود")</f>
        <v>موجود</v>
      </c>
    </row>
    <row r="1189" spans="1:8" x14ac:dyDescent="0.2">
      <c r="A1189">
        <v>20309021925</v>
      </c>
      <c r="B1189" t="s">
        <v>1205</v>
      </c>
      <c r="C1189">
        <v>33.880000000000003</v>
      </c>
      <c r="D1189">
        <v>10</v>
      </c>
      <c r="E1189">
        <v>30.492000000000004</v>
      </c>
      <c r="F1189" t="s">
        <v>78</v>
      </c>
      <c r="G1189" t="s">
        <v>79</v>
      </c>
      <c r="H1189" t="str">
        <f>IF(COUNTIF(Sheet1!$A:$A,TEXT(A1189,"0"))+COUNTIF(Sheet1!$A:$A,A1189)&gt;0,"موجود","غير موجود")</f>
        <v>غير موجود</v>
      </c>
    </row>
    <row r="1190" spans="1:8" x14ac:dyDescent="0.2">
      <c r="A1190">
        <v>20309021926</v>
      </c>
      <c r="B1190" t="s">
        <v>1206</v>
      </c>
      <c r="C1190">
        <v>41.58</v>
      </c>
      <c r="D1190">
        <v>10</v>
      </c>
      <c r="E1190">
        <v>37.421999999999997</v>
      </c>
      <c r="F1190" t="s">
        <v>78</v>
      </c>
      <c r="G1190" t="s">
        <v>79</v>
      </c>
      <c r="H1190" t="str">
        <f>IF(COUNTIF(Sheet1!$A:$A,TEXT(A1190,"0"))+COUNTIF(Sheet1!$A:$A,A1190)&gt;0,"موجود","غير موجود")</f>
        <v>غير موجود</v>
      </c>
    </row>
    <row r="1191" spans="1:8" x14ac:dyDescent="0.2">
      <c r="A1191">
        <v>20309021927</v>
      </c>
      <c r="B1191" t="s">
        <v>1207</v>
      </c>
      <c r="C1191">
        <v>40</v>
      </c>
      <c r="D1191">
        <v>10</v>
      </c>
      <c r="E1191">
        <v>36</v>
      </c>
      <c r="F1191" t="s">
        <v>78</v>
      </c>
      <c r="G1191" t="s">
        <v>79</v>
      </c>
      <c r="H1191" t="str">
        <f>IF(COUNTIF(Sheet1!$A:$A,TEXT(A1191,"0"))+COUNTIF(Sheet1!$A:$A,A1191)&gt;0,"موجود","غير موجود")</f>
        <v>غير موجود</v>
      </c>
    </row>
    <row r="1192" spans="1:8" x14ac:dyDescent="0.2">
      <c r="A1192">
        <v>20309021928</v>
      </c>
      <c r="B1192" t="s">
        <v>1208</v>
      </c>
      <c r="C1192">
        <v>43.12</v>
      </c>
      <c r="D1192">
        <v>10</v>
      </c>
      <c r="E1192">
        <v>38.808</v>
      </c>
      <c r="F1192" t="s">
        <v>78</v>
      </c>
      <c r="G1192" t="s">
        <v>79</v>
      </c>
      <c r="H1192" t="str">
        <f>IF(COUNTIF(Sheet1!$A:$A,TEXT(A1192,"0"))+COUNTIF(Sheet1!$A:$A,A1192)&gt;0,"موجود","غير موجود")</f>
        <v>غير موجود</v>
      </c>
    </row>
    <row r="1193" spans="1:8" x14ac:dyDescent="0.2">
      <c r="A1193">
        <v>20309021929</v>
      </c>
      <c r="B1193" t="s">
        <v>1209</v>
      </c>
      <c r="C1193">
        <v>46.2</v>
      </c>
      <c r="D1193">
        <v>10</v>
      </c>
      <c r="E1193">
        <v>41.580000000000005</v>
      </c>
      <c r="F1193" t="s">
        <v>78</v>
      </c>
      <c r="G1193" t="s">
        <v>79</v>
      </c>
      <c r="H1193" t="str">
        <f>IF(COUNTIF(Sheet1!$A:$A,TEXT(A1193,"0"))+COUNTIF(Sheet1!$A:$A,A1193)&gt;0,"موجود","غير موجود")</f>
        <v>غير موجود</v>
      </c>
    </row>
    <row r="1194" spans="1:8" x14ac:dyDescent="0.2">
      <c r="A1194">
        <v>20309021938</v>
      </c>
      <c r="B1194" t="s">
        <v>1210</v>
      </c>
      <c r="C1194">
        <v>47.74</v>
      </c>
      <c r="D1194">
        <v>10</v>
      </c>
      <c r="E1194">
        <v>42.966000000000001</v>
      </c>
      <c r="F1194" t="s">
        <v>78</v>
      </c>
      <c r="G1194" t="s">
        <v>79</v>
      </c>
      <c r="H1194" t="str">
        <f>IF(COUNTIF(Sheet1!$A:$A,TEXT(A1194,"0"))+COUNTIF(Sheet1!$A:$A,A1194)&gt;0,"موجود","غير موجود")</f>
        <v>غير موجود</v>
      </c>
    </row>
    <row r="1195" spans="1:8" x14ac:dyDescent="0.2">
      <c r="A1195">
        <v>20309021939</v>
      </c>
      <c r="B1195" t="s">
        <v>1211</v>
      </c>
      <c r="C1195">
        <v>72.38</v>
      </c>
      <c r="D1195">
        <v>10</v>
      </c>
      <c r="E1195">
        <v>65.141999999999996</v>
      </c>
      <c r="F1195" t="s">
        <v>78</v>
      </c>
      <c r="G1195" t="s">
        <v>79</v>
      </c>
      <c r="H1195" t="str">
        <f>IF(COUNTIF(Sheet1!$A:$A,TEXT(A1195,"0"))+COUNTIF(Sheet1!$A:$A,A1195)&gt;0,"موجود","غير موجود")</f>
        <v>غير موجود</v>
      </c>
    </row>
    <row r="1196" spans="1:8" x14ac:dyDescent="0.2">
      <c r="A1196">
        <v>20309021940</v>
      </c>
      <c r="B1196" t="s">
        <v>1212</v>
      </c>
      <c r="C1196">
        <v>63.14</v>
      </c>
      <c r="D1196">
        <v>10</v>
      </c>
      <c r="E1196">
        <v>56.826000000000001</v>
      </c>
      <c r="F1196" t="s">
        <v>78</v>
      </c>
      <c r="G1196" t="s">
        <v>79</v>
      </c>
      <c r="H1196" t="str">
        <f>IF(COUNTIF(Sheet1!$A:$A,TEXT(A1196,"0"))+COUNTIF(Sheet1!$A:$A,A1196)&gt;0,"موجود","غير موجود")</f>
        <v>غير موجود</v>
      </c>
    </row>
    <row r="1197" spans="1:8" x14ac:dyDescent="0.2">
      <c r="A1197">
        <v>20309503417</v>
      </c>
      <c r="B1197" t="s">
        <v>1213</v>
      </c>
      <c r="C1197">
        <v>29.26</v>
      </c>
      <c r="D1197">
        <v>10</v>
      </c>
      <c r="E1197">
        <v>26.334000000000003</v>
      </c>
      <c r="F1197" t="s">
        <v>78</v>
      </c>
      <c r="G1197" t="s">
        <v>79</v>
      </c>
      <c r="H1197" t="str">
        <f>IF(COUNTIF(Sheet1!$A:$A,TEXT(A1197,"0"))+COUNTIF(Sheet1!$A:$A,A1197)&gt;0,"موجود","غير موجود")</f>
        <v>موجود</v>
      </c>
    </row>
    <row r="1198" spans="1:8" x14ac:dyDescent="0.2">
      <c r="A1198">
        <v>20309503418</v>
      </c>
      <c r="B1198" t="s">
        <v>1214</v>
      </c>
      <c r="C1198">
        <v>36.96</v>
      </c>
      <c r="D1198">
        <v>10</v>
      </c>
      <c r="E1198">
        <v>33.264000000000003</v>
      </c>
      <c r="F1198" t="s">
        <v>78</v>
      </c>
      <c r="G1198" t="s">
        <v>79</v>
      </c>
      <c r="H1198" t="str">
        <f>IF(COUNTIF(Sheet1!$A:$A,TEXT(A1198,"0"))+COUNTIF(Sheet1!$A:$A,A1198)&gt;0,"موجود","غير موجود")</f>
        <v>موجود</v>
      </c>
    </row>
    <row r="1199" spans="1:8" x14ac:dyDescent="0.2">
      <c r="A1199">
        <v>20309503420</v>
      </c>
      <c r="B1199" t="s">
        <v>1215</v>
      </c>
      <c r="C1199">
        <v>26.18</v>
      </c>
      <c r="D1199">
        <v>10</v>
      </c>
      <c r="E1199">
        <v>23.561999999999998</v>
      </c>
      <c r="F1199" t="s">
        <v>78</v>
      </c>
      <c r="G1199" t="s">
        <v>79</v>
      </c>
      <c r="H1199" t="str">
        <f>IF(COUNTIF(Sheet1!$A:$A,TEXT(A1199,"0"))+COUNTIF(Sheet1!$A:$A,A1199)&gt;0,"موجود","غير موجود")</f>
        <v>غير موجود</v>
      </c>
    </row>
    <row r="1200" spans="1:8" x14ac:dyDescent="0.2">
      <c r="A1200">
        <v>20309503427</v>
      </c>
      <c r="B1200" t="s">
        <v>1216</v>
      </c>
      <c r="C1200">
        <v>23.1</v>
      </c>
      <c r="D1200">
        <v>10</v>
      </c>
      <c r="E1200">
        <v>20.790000000000003</v>
      </c>
      <c r="F1200" t="s">
        <v>78</v>
      </c>
      <c r="G1200" t="s">
        <v>79</v>
      </c>
      <c r="H1200" t="str">
        <f>IF(COUNTIF(Sheet1!$A:$A,TEXT(A1200,"0"))+COUNTIF(Sheet1!$A:$A,A1200)&gt;0,"موجود","غير موجود")</f>
        <v>موجود</v>
      </c>
    </row>
    <row r="1201" spans="1:8" x14ac:dyDescent="0.2">
      <c r="A1201">
        <v>20309504157</v>
      </c>
      <c r="B1201" t="s">
        <v>1217</v>
      </c>
      <c r="C1201">
        <v>29.26</v>
      </c>
      <c r="D1201">
        <v>10</v>
      </c>
      <c r="E1201">
        <v>26.334000000000003</v>
      </c>
      <c r="F1201" t="s">
        <v>78</v>
      </c>
      <c r="G1201" t="s">
        <v>79</v>
      </c>
      <c r="H1201" t="str">
        <f>IF(COUNTIF(Sheet1!$A:$A,TEXT(A1201,"0"))+COUNTIF(Sheet1!$A:$A,A1201)&gt;0,"موجود","غير موجود")</f>
        <v>موجود</v>
      </c>
    </row>
    <row r="1202" spans="1:8" x14ac:dyDescent="0.2">
      <c r="A1202">
        <v>20312051406</v>
      </c>
      <c r="B1202" t="s">
        <v>1218</v>
      </c>
      <c r="C1202">
        <v>50.82</v>
      </c>
      <c r="D1202">
        <v>10</v>
      </c>
      <c r="E1202">
        <v>45.738</v>
      </c>
      <c r="F1202" t="s">
        <v>78</v>
      </c>
      <c r="G1202" t="s">
        <v>79</v>
      </c>
      <c r="H1202" t="str">
        <f>IF(COUNTIF(Sheet1!$A:$A,TEXT(A1202,"0"))+COUNTIF(Sheet1!$A:$A,A1202)&gt;0,"موجود","غير موجود")</f>
        <v>غير موجود</v>
      </c>
    </row>
    <row r="1203" spans="1:8" x14ac:dyDescent="0.2">
      <c r="A1203">
        <v>20312051407</v>
      </c>
      <c r="B1203" t="s">
        <v>1219</v>
      </c>
      <c r="C1203">
        <v>50.82</v>
      </c>
      <c r="D1203">
        <v>10</v>
      </c>
      <c r="E1203">
        <v>45.738</v>
      </c>
      <c r="F1203" t="s">
        <v>78</v>
      </c>
      <c r="G1203" t="s">
        <v>79</v>
      </c>
      <c r="H1203" t="str">
        <f>IF(COUNTIF(Sheet1!$A:$A,TEXT(A1203,"0"))+COUNTIF(Sheet1!$A:$A,A1203)&gt;0,"موجود","غير موجود")</f>
        <v>غير موجود</v>
      </c>
    </row>
    <row r="1204" spans="1:8" x14ac:dyDescent="0.2">
      <c r="A1204">
        <v>20715010395</v>
      </c>
      <c r="B1204" t="s">
        <v>1220</v>
      </c>
      <c r="C1204">
        <v>39.9</v>
      </c>
      <c r="D1204">
        <v>40</v>
      </c>
      <c r="E1204">
        <v>23.939999999999998</v>
      </c>
      <c r="F1204" t="s">
        <v>78</v>
      </c>
      <c r="G1204" t="s">
        <v>1130</v>
      </c>
      <c r="H1204" t="str">
        <f>IF(COUNTIF(Sheet1!$A:$A,TEXT(A1204,"0"))+COUNTIF(Sheet1!$A:$A,A1204)&gt;0,"موجود","غير موجود")</f>
        <v>موجود</v>
      </c>
    </row>
    <row r="1205" spans="1:8" x14ac:dyDescent="0.2">
      <c r="A1205">
        <v>20715010407</v>
      </c>
      <c r="B1205" t="s">
        <v>1221</v>
      </c>
      <c r="C1205">
        <v>39.9</v>
      </c>
      <c r="D1205">
        <v>40</v>
      </c>
      <c r="E1205">
        <v>23.939999999999998</v>
      </c>
      <c r="F1205" t="s">
        <v>78</v>
      </c>
      <c r="G1205" t="s">
        <v>1130</v>
      </c>
      <c r="H1205" t="str">
        <f>IF(COUNTIF(Sheet1!$A:$A,TEXT(A1205,"0"))+COUNTIF(Sheet1!$A:$A,A1205)&gt;0,"موجود","غير موجود")</f>
        <v>موجود</v>
      </c>
    </row>
    <row r="1206" spans="1:8" x14ac:dyDescent="0.2">
      <c r="A1206">
        <v>20715010408</v>
      </c>
      <c r="B1206" t="s">
        <v>1222</v>
      </c>
      <c r="C1206">
        <v>37.1</v>
      </c>
      <c r="D1206">
        <v>40</v>
      </c>
      <c r="E1206">
        <v>22.26</v>
      </c>
      <c r="F1206" t="s">
        <v>78</v>
      </c>
      <c r="G1206" t="s">
        <v>1130</v>
      </c>
      <c r="H1206" t="str">
        <f>IF(COUNTIF(Sheet1!$A:$A,TEXT(A1206,"0"))+COUNTIF(Sheet1!$A:$A,A1206)&gt;0,"موجود","غير موجود")</f>
        <v>موجود</v>
      </c>
    </row>
    <row r="1207" spans="1:8" x14ac:dyDescent="0.2">
      <c r="A1207" t="s">
        <v>22</v>
      </c>
      <c r="B1207" t="s">
        <v>1223</v>
      </c>
      <c r="C1207">
        <v>100</v>
      </c>
      <c r="D1207">
        <v>33</v>
      </c>
      <c r="E1207">
        <v>67</v>
      </c>
      <c r="F1207" t="s">
        <v>78</v>
      </c>
      <c r="G1207" t="s">
        <v>79</v>
      </c>
      <c r="H1207" t="str">
        <f>IF(COUNTIF(Sheet1!$A:$A,TEXT(A1207,"0"))+COUNTIF(Sheet1!$A:$A,A1207)&gt;0,"موجود","غير موجود")</f>
        <v>موجود</v>
      </c>
    </row>
    <row r="1208" spans="1:8" x14ac:dyDescent="0.2">
      <c r="A1208" t="s">
        <v>23</v>
      </c>
      <c r="B1208" t="s">
        <v>1224</v>
      </c>
      <c r="C1208">
        <v>190</v>
      </c>
      <c r="D1208">
        <v>50</v>
      </c>
      <c r="E1208">
        <v>95</v>
      </c>
      <c r="F1208" t="s">
        <v>78</v>
      </c>
      <c r="G1208" t="s">
        <v>79</v>
      </c>
      <c r="H1208" t="str">
        <f>IF(COUNTIF(Sheet1!$A:$A,TEXT(A1208,"0"))+COUNTIF(Sheet1!$A:$A,A1208)&gt;0,"موجود","غير موجود")</f>
        <v>موجود</v>
      </c>
    </row>
    <row r="1209" spans="1:8" x14ac:dyDescent="0.2">
      <c r="A1209" t="s">
        <v>20</v>
      </c>
      <c r="B1209" t="s">
        <v>1225</v>
      </c>
      <c r="C1209">
        <v>195</v>
      </c>
      <c r="D1209">
        <v>50</v>
      </c>
      <c r="E1209">
        <v>97.5</v>
      </c>
      <c r="F1209" t="s">
        <v>78</v>
      </c>
      <c r="G1209" t="s">
        <v>79</v>
      </c>
      <c r="H1209" t="str">
        <f>IF(COUNTIF(Sheet1!$A:$A,TEXT(A1209,"0"))+COUNTIF(Sheet1!$A:$A,A1209)&gt;0,"موجود","غير موجود")</f>
        <v>موجود</v>
      </c>
    </row>
    <row r="1210" spans="1:8" x14ac:dyDescent="0.2">
      <c r="A1210" t="s">
        <v>19</v>
      </c>
      <c r="B1210" t="s">
        <v>1226</v>
      </c>
      <c r="C1210">
        <v>160</v>
      </c>
      <c r="D1210">
        <v>50</v>
      </c>
      <c r="E1210">
        <v>80</v>
      </c>
      <c r="F1210" t="s">
        <v>78</v>
      </c>
      <c r="G1210" t="s">
        <v>79</v>
      </c>
      <c r="H1210" t="str">
        <f>IF(COUNTIF(Sheet1!$A:$A,TEXT(A1210,"0"))+COUNTIF(Sheet1!$A:$A,A1210)&gt;0,"موجود","غير موجود")</f>
        <v>موجود</v>
      </c>
    </row>
    <row r="1211" spans="1:8" x14ac:dyDescent="0.2">
      <c r="A1211" t="s">
        <v>1227</v>
      </c>
      <c r="B1211" t="s">
        <v>1228</v>
      </c>
      <c r="C1211">
        <v>130</v>
      </c>
      <c r="D1211">
        <v>50</v>
      </c>
      <c r="E1211">
        <v>65</v>
      </c>
      <c r="F1211" t="s">
        <v>78</v>
      </c>
      <c r="G1211" t="s">
        <v>79</v>
      </c>
      <c r="H1211" t="str">
        <f>IF(COUNTIF(Sheet1!$A:$A,TEXT(A1211,"0"))+COUNTIF(Sheet1!$A:$A,A1211)&gt;0,"موجود","غير موجود")</f>
        <v>غير موجود</v>
      </c>
    </row>
    <row r="1212" spans="1:8" x14ac:dyDescent="0.2">
      <c r="A1212" t="s">
        <v>55</v>
      </c>
      <c r="B1212" t="s">
        <v>1229</v>
      </c>
      <c r="C1212">
        <v>15.61</v>
      </c>
      <c r="D1212">
        <v>25</v>
      </c>
      <c r="E1212">
        <v>11.7075</v>
      </c>
      <c r="F1212" t="s">
        <v>78</v>
      </c>
      <c r="G1212" t="s">
        <v>79</v>
      </c>
      <c r="H1212" t="str">
        <f>IF(COUNTIF(Sheet1!$A:$A,TEXT(A1212,"0"))+COUNTIF(Sheet1!$A:$A,A1212)&gt;0,"موجود","غير موجود")</f>
        <v>موجود</v>
      </c>
    </row>
    <row r="1213" spans="1:8" x14ac:dyDescent="0.2">
      <c r="A1213" t="s">
        <v>39</v>
      </c>
      <c r="B1213" t="s">
        <v>1230</v>
      </c>
      <c r="C1213">
        <v>129.57</v>
      </c>
      <c r="D1213">
        <v>50</v>
      </c>
      <c r="E1213">
        <v>64.784999999999997</v>
      </c>
      <c r="F1213" t="s">
        <v>78</v>
      </c>
      <c r="G1213" t="s">
        <v>79</v>
      </c>
      <c r="H1213" t="str">
        <f>IF(COUNTIF(Sheet1!$A:$A,TEXT(A1213,"0"))+COUNTIF(Sheet1!$A:$A,A1213)&gt;0,"موجود","غير موجود")</f>
        <v>موجود</v>
      </c>
    </row>
    <row r="1214" spans="1:8" x14ac:dyDescent="0.2">
      <c r="A1214" t="s">
        <v>40</v>
      </c>
      <c r="B1214" t="s">
        <v>1231</v>
      </c>
      <c r="C1214">
        <v>21.73</v>
      </c>
      <c r="D1214">
        <v>33</v>
      </c>
      <c r="E1214">
        <v>14.559100000000001</v>
      </c>
      <c r="F1214" t="s">
        <v>78</v>
      </c>
      <c r="G1214" t="s">
        <v>79</v>
      </c>
      <c r="H1214" t="str">
        <f>IF(COUNTIF(Sheet1!$A:$A,TEXT(A1214,"0"))+COUNTIF(Sheet1!$A:$A,A1214)&gt;0,"موجود","غير موجود")</f>
        <v>موجود</v>
      </c>
    </row>
    <row r="1215" spans="1:8" x14ac:dyDescent="0.2">
      <c r="A1215" t="s">
        <v>38</v>
      </c>
      <c r="B1215" t="s">
        <v>1232</v>
      </c>
      <c r="C1215">
        <v>120</v>
      </c>
      <c r="D1215">
        <v>50</v>
      </c>
      <c r="E1215">
        <v>60</v>
      </c>
      <c r="F1215" t="s">
        <v>78</v>
      </c>
      <c r="G1215" t="s">
        <v>79</v>
      </c>
      <c r="H1215" t="str">
        <f>IF(COUNTIF(Sheet1!$A:$A,TEXT(A1215,"0"))+COUNTIF(Sheet1!$A:$A,A1215)&gt;0,"موجود","غير موجود")</f>
        <v>موجود</v>
      </c>
    </row>
    <row r="1216" spans="1:8" x14ac:dyDescent="0.2">
      <c r="A1216" t="s">
        <v>37</v>
      </c>
      <c r="B1216" t="s">
        <v>1233</v>
      </c>
      <c r="C1216">
        <v>68.7</v>
      </c>
      <c r="D1216">
        <v>50</v>
      </c>
      <c r="E1216">
        <v>34.35</v>
      </c>
      <c r="F1216" t="s">
        <v>78</v>
      </c>
      <c r="G1216" t="s">
        <v>79</v>
      </c>
      <c r="H1216" t="str">
        <f>IF(COUNTIF(Sheet1!$A:$A,TEXT(A1216,"0"))+COUNTIF(Sheet1!$A:$A,A1216)&gt;0,"موجود","غير موجود")</f>
        <v>موجود</v>
      </c>
    </row>
    <row r="1217" spans="1:8" x14ac:dyDescent="0.2">
      <c r="A1217">
        <v>20614020064</v>
      </c>
      <c r="B1217" t="s">
        <v>1234</v>
      </c>
      <c r="C1217">
        <v>16.25</v>
      </c>
      <c r="D1217">
        <v>7.5</v>
      </c>
      <c r="E1217">
        <v>15.03125</v>
      </c>
      <c r="F1217" t="s">
        <v>78</v>
      </c>
      <c r="G1217" t="s">
        <v>79</v>
      </c>
      <c r="H1217" t="str">
        <f>IF(COUNTIF(Sheet1!$A:$A,TEXT(A1217,"0"))+COUNTIF(Sheet1!$A:$A,A1217)&gt;0,"موجود","غير موجود")</f>
        <v>موجود</v>
      </c>
    </row>
    <row r="1218" spans="1:8" x14ac:dyDescent="0.2">
      <c r="A1218">
        <v>20614020065</v>
      </c>
      <c r="B1218" t="s">
        <v>1235</v>
      </c>
      <c r="C1218">
        <v>16.46</v>
      </c>
      <c r="D1218">
        <v>7.5</v>
      </c>
      <c r="E1218">
        <v>15.2255</v>
      </c>
      <c r="F1218" t="s">
        <v>78</v>
      </c>
      <c r="G1218" t="s">
        <v>79</v>
      </c>
      <c r="H1218" t="str">
        <f>IF(COUNTIF(Sheet1!$A:$A,TEXT(A1218,"0"))+COUNTIF(Sheet1!$A:$A,A1218)&gt;0,"موجود","غير موجود")</f>
        <v>موجود</v>
      </c>
    </row>
    <row r="1219" spans="1:8" x14ac:dyDescent="0.2">
      <c r="A1219">
        <v>20614020066</v>
      </c>
      <c r="B1219" t="s">
        <v>1236</v>
      </c>
      <c r="C1219">
        <v>15.5</v>
      </c>
      <c r="D1219">
        <v>7.5</v>
      </c>
      <c r="E1219">
        <v>14.3375</v>
      </c>
      <c r="F1219" t="s">
        <v>78</v>
      </c>
      <c r="G1219" t="s">
        <v>79</v>
      </c>
      <c r="H1219" t="str">
        <f>IF(COUNTIF(Sheet1!$A:$A,TEXT(A1219,"0"))+COUNTIF(Sheet1!$A:$A,A1219)&gt;0,"موجود","غير موجود")</f>
        <v>موجود</v>
      </c>
    </row>
    <row r="1220" spans="1:8" x14ac:dyDescent="0.2">
      <c r="A1220">
        <v>20614020087</v>
      </c>
      <c r="B1220" t="s">
        <v>1237</v>
      </c>
      <c r="C1220">
        <v>18.54</v>
      </c>
      <c r="D1220">
        <v>7.5</v>
      </c>
      <c r="E1220">
        <v>17.1495</v>
      </c>
      <c r="F1220" t="s">
        <v>78</v>
      </c>
      <c r="G1220" t="s">
        <v>79</v>
      </c>
      <c r="H1220" t="str">
        <f>IF(COUNTIF(Sheet1!$A:$A,TEXT(A1220,"0"))+COUNTIF(Sheet1!$A:$A,A1220)&gt;0,"موجود","غير موجود")</f>
        <v>موجود</v>
      </c>
    </row>
    <row r="1221" spans="1:8" x14ac:dyDescent="0.2">
      <c r="A1221">
        <v>20614020088</v>
      </c>
      <c r="B1221" t="s">
        <v>1238</v>
      </c>
      <c r="C1221">
        <v>18.54</v>
      </c>
      <c r="D1221">
        <v>7.5</v>
      </c>
      <c r="E1221">
        <v>17.1495</v>
      </c>
      <c r="F1221" t="s">
        <v>78</v>
      </c>
      <c r="G1221" t="s">
        <v>79</v>
      </c>
      <c r="H1221" t="str">
        <f>IF(COUNTIF(Sheet1!$A:$A,TEXT(A1221,"0"))+COUNTIF(Sheet1!$A:$A,A1221)&gt;0,"موجود","غير موجود")</f>
        <v>موجود</v>
      </c>
    </row>
    <row r="1222" spans="1:8" x14ac:dyDescent="0.2">
      <c r="A1222">
        <v>20614020093</v>
      </c>
      <c r="B1222" t="s">
        <v>1239</v>
      </c>
      <c r="C1222">
        <v>6.98</v>
      </c>
      <c r="D1222">
        <v>7.5</v>
      </c>
      <c r="E1222">
        <v>6.4565000000000001</v>
      </c>
      <c r="F1222" t="s">
        <v>78</v>
      </c>
      <c r="G1222" t="s">
        <v>79</v>
      </c>
      <c r="H1222" t="str">
        <f>IF(COUNTIF(Sheet1!$A:$A,TEXT(A1222,"0"))+COUNTIF(Sheet1!$A:$A,A1222)&gt;0,"موجود","غير موجود")</f>
        <v>غير موجود</v>
      </c>
    </row>
    <row r="1223" spans="1:8" x14ac:dyDescent="0.2">
      <c r="A1223">
        <v>20614020094</v>
      </c>
      <c r="B1223" t="s">
        <v>1240</v>
      </c>
      <c r="C1223">
        <v>17.190000000000001</v>
      </c>
      <c r="D1223">
        <v>7.5</v>
      </c>
      <c r="E1223">
        <v>15.900750000000002</v>
      </c>
      <c r="F1223" t="s">
        <v>78</v>
      </c>
      <c r="G1223" t="s">
        <v>79</v>
      </c>
      <c r="H1223" t="str">
        <f>IF(COUNTIF(Sheet1!$A:$A,TEXT(A1223,"0"))+COUNTIF(Sheet1!$A:$A,A1223)&gt;0,"موجود","غير موجود")</f>
        <v>غير موجود</v>
      </c>
    </row>
    <row r="1224" spans="1:8" x14ac:dyDescent="0.2">
      <c r="A1224">
        <v>20614020104</v>
      </c>
      <c r="B1224" t="s">
        <v>1241</v>
      </c>
      <c r="C1224">
        <v>17.5</v>
      </c>
      <c r="D1224">
        <v>7.5</v>
      </c>
      <c r="E1224">
        <v>16.1875</v>
      </c>
      <c r="F1224" t="s">
        <v>78</v>
      </c>
      <c r="G1224" t="s">
        <v>79</v>
      </c>
      <c r="H1224" t="str">
        <f>IF(COUNTIF(Sheet1!$A:$A,TEXT(A1224,"0"))+COUNTIF(Sheet1!$A:$A,A1224)&gt;0,"موجود","غير موجود")</f>
        <v>موجود</v>
      </c>
    </row>
    <row r="1225" spans="1:8" x14ac:dyDescent="0.2">
      <c r="A1225">
        <v>20614020137</v>
      </c>
      <c r="B1225" t="s">
        <v>1242</v>
      </c>
      <c r="C1225">
        <v>18.54</v>
      </c>
      <c r="D1225">
        <v>7.5</v>
      </c>
      <c r="E1225">
        <v>17.1495</v>
      </c>
      <c r="F1225" t="s">
        <v>78</v>
      </c>
      <c r="G1225" t="s">
        <v>79</v>
      </c>
      <c r="H1225" t="str">
        <f>IF(COUNTIF(Sheet1!$A:$A,TEXT(A1225,"0"))+COUNTIF(Sheet1!$A:$A,A1225)&gt;0,"موجود","غير موجود")</f>
        <v>موجود</v>
      </c>
    </row>
    <row r="1226" spans="1:8" x14ac:dyDescent="0.2">
      <c r="A1226">
        <v>20614020168</v>
      </c>
      <c r="B1226" t="s">
        <v>1243</v>
      </c>
      <c r="C1226">
        <v>22.5</v>
      </c>
      <c r="D1226">
        <v>7.5</v>
      </c>
      <c r="E1226">
        <v>20.8125</v>
      </c>
      <c r="F1226" t="s">
        <v>78</v>
      </c>
      <c r="G1226" t="s">
        <v>79</v>
      </c>
      <c r="H1226" t="str">
        <f>IF(COUNTIF(Sheet1!$A:$A,TEXT(A1226,"0"))+COUNTIF(Sheet1!$A:$A,A1226)&gt;0,"موجود","غير موجود")</f>
        <v>غير موجود</v>
      </c>
    </row>
    <row r="1227" spans="1:8" x14ac:dyDescent="0.2">
      <c r="A1227">
        <v>20614020169</v>
      </c>
      <c r="B1227" t="s">
        <v>1244</v>
      </c>
      <c r="C1227">
        <v>24.3</v>
      </c>
      <c r="D1227">
        <v>7.5</v>
      </c>
      <c r="E1227">
        <v>22.477499999999999</v>
      </c>
      <c r="F1227" t="s">
        <v>78</v>
      </c>
      <c r="G1227" t="s">
        <v>79</v>
      </c>
      <c r="H1227" t="str">
        <f>IF(COUNTIF(Sheet1!$A:$A,TEXT(A1227,"0"))+COUNTIF(Sheet1!$A:$A,A1227)&gt;0,"موجود","غير موجود")</f>
        <v>موجود</v>
      </c>
    </row>
    <row r="1228" spans="1:8" x14ac:dyDescent="0.2">
      <c r="A1228">
        <v>20614020173</v>
      </c>
      <c r="B1228" t="s">
        <v>1245</v>
      </c>
      <c r="C1228">
        <v>17.5</v>
      </c>
      <c r="D1228">
        <v>7.5</v>
      </c>
      <c r="E1228">
        <v>16.1875</v>
      </c>
      <c r="F1228" t="s">
        <v>78</v>
      </c>
      <c r="G1228" t="s">
        <v>79</v>
      </c>
      <c r="H1228" t="str">
        <f>IF(COUNTIF(Sheet1!$A:$A,TEXT(A1228,"0"))+COUNTIF(Sheet1!$A:$A,A1228)&gt;0,"موجود","غير موجود")</f>
        <v>غير موجود</v>
      </c>
    </row>
    <row r="1229" spans="1:8" x14ac:dyDescent="0.2">
      <c r="A1229">
        <v>20614020174</v>
      </c>
      <c r="B1229" t="s">
        <v>1246</v>
      </c>
      <c r="C1229">
        <v>17.5</v>
      </c>
      <c r="D1229">
        <v>7.5</v>
      </c>
      <c r="E1229">
        <v>16.1875</v>
      </c>
      <c r="F1229" t="s">
        <v>78</v>
      </c>
      <c r="G1229" t="s">
        <v>79</v>
      </c>
      <c r="H1229" t="str">
        <f>IF(COUNTIF(Sheet1!$A:$A,TEXT(A1229,"0"))+COUNTIF(Sheet1!$A:$A,A1229)&gt;0,"موجود","غير موجود")</f>
        <v>غير موجود</v>
      </c>
    </row>
    <row r="1230" spans="1:8" x14ac:dyDescent="0.2">
      <c r="A1230">
        <v>20614020175</v>
      </c>
      <c r="B1230" t="s">
        <v>1247</v>
      </c>
      <c r="C1230">
        <v>29.79</v>
      </c>
      <c r="D1230">
        <v>7.5</v>
      </c>
      <c r="E1230">
        <v>27.55575</v>
      </c>
      <c r="F1230" t="s">
        <v>78</v>
      </c>
      <c r="G1230" t="s">
        <v>79</v>
      </c>
      <c r="H1230" t="str">
        <f>IF(COUNTIF(Sheet1!$A:$A,TEXT(A1230,"0"))+COUNTIF(Sheet1!$A:$A,A1230)&gt;0,"موجود","غير موجود")</f>
        <v>موجود</v>
      </c>
    </row>
    <row r="1231" spans="1:8" x14ac:dyDescent="0.2">
      <c r="A1231">
        <v>20614020177</v>
      </c>
      <c r="B1231" t="s">
        <v>1248</v>
      </c>
      <c r="C1231">
        <v>17.5</v>
      </c>
      <c r="D1231">
        <v>7.5</v>
      </c>
      <c r="E1231">
        <v>16.1875</v>
      </c>
      <c r="F1231" t="s">
        <v>78</v>
      </c>
      <c r="G1231" t="s">
        <v>79</v>
      </c>
      <c r="H1231" t="str">
        <f>IF(COUNTIF(Sheet1!$A:$A,TEXT(A1231,"0"))+COUNTIF(Sheet1!$A:$A,A1231)&gt;0,"موجود","غير موجود")</f>
        <v>غير موجود</v>
      </c>
    </row>
    <row r="1232" spans="1:8" x14ac:dyDescent="0.2">
      <c r="A1232">
        <v>20615010077</v>
      </c>
      <c r="B1232" t="s">
        <v>1249</v>
      </c>
      <c r="C1232">
        <v>73.8</v>
      </c>
      <c r="D1232">
        <v>15</v>
      </c>
      <c r="E1232">
        <v>62.73</v>
      </c>
      <c r="F1232" t="s">
        <v>78</v>
      </c>
      <c r="G1232" t="s">
        <v>83</v>
      </c>
      <c r="H1232" t="str">
        <f>IF(COUNTIF(Sheet1!$A:$A,TEXT(A1232,"0"))+COUNTIF(Sheet1!$A:$A,A1232)&gt;0,"موجود","غير موجود")</f>
        <v>موجود</v>
      </c>
    </row>
    <row r="1233" spans="1:8" x14ac:dyDescent="0.2">
      <c r="A1233">
        <v>20615010078</v>
      </c>
      <c r="B1233" t="s">
        <v>1250</v>
      </c>
      <c r="C1233">
        <v>73.789999999999992</v>
      </c>
      <c r="D1233">
        <v>15</v>
      </c>
      <c r="E1233">
        <v>62.721499999999992</v>
      </c>
      <c r="F1233" t="s">
        <v>78</v>
      </c>
      <c r="G1233" t="s">
        <v>83</v>
      </c>
      <c r="H1233" t="str">
        <f>IF(COUNTIF(Sheet1!$A:$A,TEXT(A1233,"0"))+COUNTIF(Sheet1!$A:$A,A1233)&gt;0,"موجود","غير موجود")</f>
        <v>موجود</v>
      </c>
    </row>
    <row r="1234" spans="1:8" x14ac:dyDescent="0.2">
      <c r="A1234">
        <v>20615010085</v>
      </c>
      <c r="B1234" t="s">
        <v>1251</v>
      </c>
      <c r="C1234">
        <v>12.6</v>
      </c>
      <c r="D1234">
        <v>15</v>
      </c>
      <c r="E1234">
        <v>10.709999999999999</v>
      </c>
      <c r="F1234" t="s">
        <v>78</v>
      </c>
      <c r="G1234" t="s">
        <v>83</v>
      </c>
      <c r="H1234" t="str">
        <f>IF(COUNTIF(Sheet1!$A:$A,TEXT(A1234,"0"))+COUNTIF(Sheet1!$A:$A,A1234)&gt;0,"موجود","غير موجود")</f>
        <v>موجود</v>
      </c>
    </row>
    <row r="1235" spans="1:8" x14ac:dyDescent="0.2">
      <c r="A1235">
        <v>20615010087</v>
      </c>
      <c r="B1235" t="s">
        <v>1252</v>
      </c>
      <c r="C1235">
        <v>12.95</v>
      </c>
      <c r="D1235">
        <v>15</v>
      </c>
      <c r="E1235">
        <v>11.0075</v>
      </c>
      <c r="F1235" t="s">
        <v>78</v>
      </c>
      <c r="G1235" t="s">
        <v>83</v>
      </c>
      <c r="H1235" t="str">
        <f>IF(COUNTIF(Sheet1!$A:$A,TEXT(A1235,"0"))+COUNTIF(Sheet1!$A:$A,A1235)&gt;0,"موجود","غير موجود")</f>
        <v>موجود</v>
      </c>
    </row>
    <row r="1236" spans="1:8" x14ac:dyDescent="0.2">
      <c r="A1236">
        <v>20615010088</v>
      </c>
      <c r="B1236" t="s">
        <v>1253</v>
      </c>
      <c r="C1236">
        <v>12.83</v>
      </c>
      <c r="D1236">
        <v>15</v>
      </c>
      <c r="E1236">
        <v>10.9055</v>
      </c>
      <c r="F1236" t="s">
        <v>78</v>
      </c>
      <c r="G1236" t="s">
        <v>83</v>
      </c>
      <c r="H1236" t="str">
        <f>IF(COUNTIF(Sheet1!$A:$A,TEXT(A1236,"0"))+COUNTIF(Sheet1!$A:$A,A1236)&gt;0,"موجود","غير موجود")</f>
        <v>موجود</v>
      </c>
    </row>
    <row r="1237" spans="1:8" x14ac:dyDescent="0.2">
      <c r="A1237">
        <v>20615010089</v>
      </c>
      <c r="B1237" t="s">
        <v>1254</v>
      </c>
      <c r="C1237">
        <v>12.83</v>
      </c>
      <c r="D1237">
        <v>15</v>
      </c>
      <c r="E1237">
        <v>10.9055</v>
      </c>
      <c r="F1237" t="s">
        <v>78</v>
      </c>
      <c r="G1237" t="s">
        <v>83</v>
      </c>
      <c r="H1237" t="str">
        <f>IF(COUNTIF(Sheet1!$A:$A,TEXT(A1237,"0"))+COUNTIF(Sheet1!$A:$A,A1237)&gt;0,"موجود","غير موجود")</f>
        <v>موجود</v>
      </c>
    </row>
    <row r="1238" spans="1:8" x14ac:dyDescent="0.2">
      <c r="A1238">
        <v>20615010090</v>
      </c>
      <c r="B1238" t="s">
        <v>1255</v>
      </c>
      <c r="C1238">
        <v>12.83</v>
      </c>
      <c r="D1238">
        <v>15</v>
      </c>
      <c r="E1238">
        <v>10.9055</v>
      </c>
      <c r="F1238" t="s">
        <v>78</v>
      </c>
      <c r="G1238" t="s">
        <v>83</v>
      </c>
      <c r="H1238" t="str">
        <f>IF(COUNTIF(Sheet1!$A:$A,TEXT(A1238,"0"))+COUNTIF(Sheet1!$A:$A,A1238)&gt;0,"موجود","غير موجود")</f>
        <v>موجود</v>
      </c>
    </row>
    <row r="1239" spans="1:8" x14ac:dyDescent="0.2">
      <c r="A1239">
        <v>20615010091</v>
      </c>
      <c r="B1239" t="s">
        <v>1256</v>
      </c>
      <c r="C1239">
        <v>12.83</v>
      </c>
      <c r="D1239">
        <v>15</v>
      </c>
      <c r="E1239">
        <v>10.9055</v>
      </c>
      <c r="F1239" t="s">
        <v>78</v>
      </c>
      <c r="G1239" t="s">
        <v>83</v>
      </c>
      <c r="H1239" t="str">
        <f>IF(COUNTIF(Sheet1!$A:$A,TEXT(A1239,"0"))+COUNTIF(Sheet1!$A:$A,A1239)&gt;0,"موجود","غير موجود")</f>
        <v>موجود</v>
      </c>
    </row>
    <row r="1240" spans="1:8" x14ac:dyDescent="0.2">
      <c r="A1240">
        <v>20615010136</v>
      </c>
      <c r="B1240" t="s">
        <v>1257</v>
      </c>
      <c r="C1240">
        <v>73.8</v>
      </c>
      <c r="D1240">
        <v>15</v>
      </c>
      <c r="E1240">
        <v>62.73</v>
      </c>
      <c r="F1240" t="s">
        <v>78</v>
      </c>
      <c r="G1240" t="s">
        <v>83</v>
      </c>
      <c r="H1240" t="str">
        <f>IF(COUNTIF(Sheet1!$A:$A,TEXT(A1240,"0"))+COUNTIF(Sheet1!$A:$A,A1240)&gt;0,"موجود","غير موجود")</f>
        <v>موجود</v>
      </c>
    </row>
    <row r="1241" spans="1:8" x14ac:dyDescent="0.2">
      <c r="A1241">
        <v>20615010186</v>
      </c>
      <c r="B1241" t="s">
        <v>1258</v>
      </c>
      <c r="C1241">
        <v>94.5</v>
      </c>
      <c r="D1241">
        <v>15</v>
      </c>
      <c r="E1241">
        <v>80.325000000000003</v>
      </c>
      <c r="F1241" t="s">
        <v>78</v>
      </c>
      <c r="G1241" t="s">
        <v>83</v>
      </c>
      <c r="H1241" t="str">
        <f>IF(COUNTIF(Sheet1!$A:$A,TEXT(A1241,"0"))+COUNTIF(Sheet1!$A:$A,A1241)&gt;0,"موجود","غير موجود")</f>
        <v>موجود</v>
      </c>
    </row>
    <row r="1242" spans="1:8" x14ac:dyDescent="0.2">
      <c r="A1242">
        <v>20615010190</v>
      </c>
      <c r="B1242" t="s">
        <v>1259</v>
      </c>
      <c r="C1242">
        <v>94.5</v>
      </c>
      <c r="D1242">
        <v>15</v>
      </c>
      <c r="E1242">
        <v>80.325000000000003</v>
      </c>
      <c r="F1242" t="s">
        <v>78</v>
      </c>
      <c r="G1242" t="s">
        <v>83</v>
      </c>
      <c r="H1242" t="str">
        <f>IF(COUNTIF(Sheet1!$A:$A,TEXT(A1242,"0"))+COUNTIF(Sheet1!$A:$A,A1242)&gt;0,"موجود","غير موجود")</f>
        <v>موجود</v>
      </c>
    </row>
    <row r="1243" spans="1:8" x14ac:dyDescent="0.2">
      <c r="A1243">
        <v>20615010245</v>
      </c>
      <c r="B1243" t="s">
        <v>1260</v>
      </c>
      <c r="C1243">
        <v>12.95</v>
      </c>
      <c r="D1243">
        <v>15</v>
      </c>
      <c r="E1243">
        <v>11.0075</v>
      </c>
      <c r="F1243" t="s">
        <v>78</v>
      </c>
      <c r="G1243" t="s">
        <v>83</v>
      </c>
      <c r="H1243" t="str">
        <f>IF(COUNTIF(Sheet1!$A:$A,TEXT(A1243,"0"))+COUNTIF(Sheet1!$A:$A,A1243)&gt;0,"موجود","غير موجود")</f>
        <v>غير موجود</v>
      </c>
    </row>
    <row r="1244" spans="1:8" x14ac:dyDescent="0.2">
      <c r="A1244">
        <v>20615010327</v>
      </c>
      <c r="B1244" t="s">
        <v>1261</v>
      </c>
      <c r="C1244">
        <v>74.2</v>
      </c>
      <c r="D1244">
        <v>15</v>
      </c>
      <c r="E1244">
        <v>63.07</v>
      </c>
      <c r="F1244" t="s">
        <v>78</v>
      </c>
      <c r="G1244" t="s">
        <v>83</v>
      </c>
      <c r="H1244" t="str">
        <f>IF(COUNTIF(Sheet1!$A:$A,TEXT(A1244,"0"))+COUNTIF(Sheet1!$A:$A,A1244)&gt;0,"موجود","غير موجود")</f>
        <v>غير موجود</v>
      </c>
    </row>
    <row r="1245" spans="1:8" x14ac:dyDescent="0.2">
      <c r="A1245">
        <v>20615010341</v>
      </c>
      <c r="B1245" t="s">
        <v>1262</v>
      </c>
      <c r="C1245">
        <v>73.790000000000006</v>
      </c>
      <c r="D1245">
        <v>15</v>
      </c>
      <c r="E1245">
        <v>62.721500000000006</v>
      </c>
      <c r="F1245" t="s">
        <v>78</v>
      </c>
      <c r="G1245" t="s">
        <v>83</v>
      </c>
      <c r="H1245" t="str">
        <f>IF(COUNTIF(Sheet1!$A:$A,TEXT(A1245,"0"))+COUNTIF(Sheet1!$A:$A,A1245)&gt;0,"موجود","غير موجود")</f>
        <v>موجود</v>
      </c>
    </row>
    <row r="1246" spans="1:8" x14ac:dyDescent="0.2">
      <c r="A1246">
        <v>20615010342</v>
      </c>
      <c r="B1246" t="s">
        <v>1263</v>
      </c>
      <c r="C1246">
        <v>94.5</v>
      </c>
      <c r="D1246">
        <v>15</v>
      </c>
      <c r="E1246">
        <v>80.325000000000003</v>
      </c>
      <c r="F1246" t="s">
        <v>78</v>
      </c>
      <c r="G1246" t="s">
        <v>83</v>
      </c>
      <c r="H1246" t="str">
        <f>IF(COUNTIF(Sheet1!$A:$A,TEXT(A1246,"0"))+COUNTIF(Sheet1!$A:$A,A1246)&gt;0,"موجود","غير موجود")</f>
        <v>موجود</v>
      </c>
    </row>
    <row r="1247" spans="1:8" x14ac:dyDescent="0.2">
      <c r="A1247">
        <v>20615010343</v>
      </c>
      <c r="B1247" t="s">
        <v>1264</v>
      </c>
      <c r="C1247">
        <v>99</v>
      </c>
      <c r="D1247">
        <v>15</v>
      </c>
      <c r="E1247">
        <v>84.15</v>
      </c>
      <c r="F1247" t="s">
        <v>78</v>
      </c>
      <c r="G1247" t="s">
        <v>83</v>
      </c>
      <c r="H1247" t="str">
        <f>IF(COUNTIF(Sheet1!$A:$A,TEXT(A1247,"0"))+COUNTIF(Sheet1!$A:$A,A1247)&gt;0,"موجود","غير موجود")</f>
        <v>غير موجود</v>
      </c>
    </row>
    <row r="1248" spans="1:8" x14ac:dyDescent="0.2">
      <c r="A1248">
        <v>20615010344</v>
      </c>
      <c r="B1248" t="s">
        <v>1265</v>
      </c>
      <c r="C1248">
        <v>65.63</v>
      </c>
      <c r="D1248">
        <v>15</v>
      </c>
      <c r="E1248">
        <v>55.785499999999999</v>
      </c>
      <c r="F1248" t="s">
        <v>78</v>
      </c>
      <c r="G1248" t="s">
        <v>83</v>
      </c>
      <c r="H1248" t="str">
        <f>IF(COUNTIF(Sheet1!$A:$A,TEXT(A1248,"0"))+COUNTIF(Sheet1!$A:$A,A1248)&gt;0,"موجود","غير موجود")</f>
        <v>موجود</v>
      </c>
    </row>
    <row r="1249" spans="1:8" x14ac:dyDescent="0.2">
      <c r="A1249">
        <v>20615010345</v>
      </c>
      <c r="B1249" t="s">
        <v>1266</v>
      </c>
      <c r="C1249">
        <v>111.82000000000001</v>
      </c>
      <c r="D1249">
        <v>15</v>
      </c>
      <c r="E1249">
        <v>95.046999999999997</v>
      </c>
      <c r="F1249" t="s">
        <v>78</v>
      </c>
      <c r="G1249" t="s">
        <v>83</v>
      </c>
      <c r="H1249" t="str">
        <f>IF(COUNTIF(Sheet1!$A:$A,TEXT(A1249,"0"))+COUNTIF(Sheet1!$A:$A,A1249)&gt;0,"موجود","غير موجود")</f>
        <v>موجود</v>
      </c>
    </row>
    <row r="1250" spans="1:8" x14ac:dyDescent="0.2">
      <c r="A1250">
        <v>20615010346</v>
      </c>
      <c r="B1250" t="s">
        <v>1267</v>
      </c>
      <c r="C1250">
        <v>120</v>
      </c>
      <c r="D1250">
        <v>15</v>
      </c>
      <c r="E1250">
        <v>102</v>
      </c>
      <c r="F1250" t="s">
        <v>78</v>
      </c>
      <c r="G1250" t="s">
        <v>83</v>
      </c>
      <c r="H1250" t="str">
        <f>IF(COUNTIF(Sheet1!$A:$A,TEXT(A1250,"0"))+COUNTIF(Sheet1!$A:$A,A1250)&gt;0,"موجود","غير موجود")</f>
        <v>موجود</v>
      </c>
    </row>
    <row r="1251" spans="1:8" x14ac:dyDescent="0.2">
      <c r="A1251">
        <v>20615010347</v>
      </c>
      <c r="B1251" t="s">
        <v>1268</v>
      </c>
      <c r="C1251">
        <v>129.25</v>
      </c>
      <c r="D1251">
        <v>15</v>
      </c>
      <c r="E1251">
        <v>109.8625</v>
      </c>
      <c r="F1251" t="s">
        <v>78</v>
      </c>
      <c r="G1251" t="s">
        <v>83</v>
      </c>
      <c r="H1251" t="str">
        <f>IF(COUNTIF(Sheet1!$A:$A,TEXT(A1251,"0"))+COUNTIF(Sheet1!$A:$A,A1251)&gt;0,"موجود","غير موجود")</f>
        <v>موجود</v>
      </c>
    </row>
    <row r="1252" spans="1:8" x14ac:dyDescent="0.2">
      <c r="A1252">
        <v>20615010348</v>
      </c>
      <c r="B1252" t="s">
        <v>1269</v>
      </c>
      <c r="C1252">
        <v>129.25</v>
      </c>
      <c r="D1252">
        <v>15</v>
      </c>
      <c r="E1252">
        <v>109.8625</v>
      </c>
      <c r="F1252" t="s">
        <v>78</v>
      </c>
      <c r="G1252" t="s">
        <v>83</v>
      </c>
      <c r="H1252" t="str">
        <f>IF(COUNTIF(Sheet1!$A:$A,TEXT(A1252,"0"))+COUNTIF(Sheet1!$A:$A,A1252)&gt;0,"موجود","غير موجود")</f>
        <v>موجود</v>
      </c>
    </row>
    <row r="1253" spans="1:8" x14ac:dyDescent="0.2">
      <c r="A1253">
        <v>20615010349</v>
      </c>
      <c r="B1253" t="s">
        <v>1270</v>
      </c>
      <c r="C1253">
        <v>99</v>
      </c>
      <c r="D1253">
        <v>15</v>
      </c>
      <c r="E1253">
        <v>84.15</v>
      </c>
      <c r="F1253" t="s">
        <v>78</v>
      </c>
      <c r="G1253" t="s">
        <v>83</v>
      </c>
      <c r="H1253" t="str">
        <f>IF(COUNTIF(Sheet1!$A:$A,TEXT(A1253,"0"))+COUNTIF(Sheet1!$A:$A,A1253)&gt;0,"موجود","غير موجود")</f>
        <v>غير موجود</v>
      </c>
    </row>
    <row r="1254" spans="1:8" x14ac:dyDescent="0.2">
      <c r="A1254">
        <v>20615010351</v>
      </c>
      <c r="B1254" t="s">
        <v>1271</v>
      </c>
      <c r="C1254">
        <v>104.3</v>
      </c>
      <c r="D1254">
        <v>15</v>
      </c>
      <c r="E1254">
        <v>88.655000000000001</v>
      </c>
      <c r="F1254" t="s">
        <v>78</v>
      </c>
      <c r="G1254" t="s">
        <v>83</v>
      </c>
      <c r="H1254" t="str">
        <f>IF(COUNTIF(Sheet1!$A:$A,TEXT(A1254,"0"))+COUNTIF(Sheet1!$A:$A,A1254)&gt;0,"موجود","غير موجود")</f>
        <v>موجود</v>
      </c>
    </row>
    <row r="1255" spans="1:8" x14ac:dyDescent="0.2">
      <c r="A1255">
        <v>20615010350</v>
      </c>
      <c r="B1255" t="s">
        <v>1272</v>
      </c>
      <c r="C1255">
        <v>99</v>
      </c>
      <c r="D1255">
        <v>15</v>
      </c>
      <c r="E1255">
        <v>84.15</v>
      </c>
      <c r="F1255" t="s">
        <v>78</v>
      </c>
      <c r="G1255" t="s">
        <v>83</v>
      </c>
      <c r="H1255" t="str">
        <f>IF(COUNTIF(Sheet1!$A:$A,TEXT(A1255,"0"))+COUNTIF(Sheet1!$A:$A,A1255)&gt;0,"موجود","غير موجود")</f>
        <v>غير موجود</v>
      </c>
    </row>
    <row r="1256" spans="1:8" x14ac:dyDescent="0.2">
      <c r="A1256">
        <v>20615010356</v>
      </c>
      <c r="B1256" t="s">
        <v>1273</v>
      </c>
      <c r="C1256">
        <v>37.19</v>
      </c>
      <c r="D1256">
        <v>15</v>
      </c>
      <c r="E1256">
        <v>31.611499999999999</v>
      </c>
      <c r="F1256" t="s">
        <v>78</v>
      </c>
      <c r="G1256" t="s">
        <v>83</v>
      </c>
      <c r="H1256" t="str">
        <f>IF(COUNTIF(Sheet1!$A:$A,TEXT(A1256,"0"))+COUNTIF(Sheet1!$A:$A,A1256)&gt;0,"موجود","غير موجود")</f>
        <v>غير موجود</v>
      </c>
    </row>
    <row r="1257" spans="1:8" x14ac:dyDescent="0.2">
      <c r="A1257">
        <v>20615010355</v>
      </c>
      <c r="B1257" t="s">
        <v>1273</v>
      </c>
      <c r="C1257">
        <v>18.13</v>
      </c>
      <c r="D1257">
        <v>15</v>
      </c>
      <c r="E1257">
        <v>15.410499999999999</v>
      </c>
      <c r="F1257" t="s">
        <v>78</v>
      </c>
      <c r="G1257" t="s">
        <v>83</v>
      </c>
      <c r="H1257" t="str">
        <f>IF(COUNTIF(Sheet1!$A:$A,TEXT(A1257,"0"))+COUNTIF(Sheet1!$A:$A,A1257)&gt;0,"موجود","غير موجود")</f>
        <v>غير موجود</v>
      </c>
    </row>
    <row r="1258" spans="1:8" x14ac:dyDescent="0.2">
      <c r="A1258">
        <v>20615010363</v>
      </c>
      <c r="B1258" t="s">
        <v>1274</v>
      </c>
      <c r="C1258">
        <v>36.6</v>
      </c>
      <c r="D1258">
        <v>15</v>
      </c>
      <c r="E1258">
        <v>31.11</v>
      </c>
      <c r="F1258" t="s">
        <v>78</v>
      </c>
      <c r="G1258" t="s">
        <v>83</v>
      </c>
      <c r="H1258" t="str">
        <f>IF(COUNTIF(Sheet1!$A:$A,TEXT(A1258,"0"))+COUNTIF(Sheet1!$A:$A,A1258)&gt;0,"موجود","غير موجود")</f>
        <v>غير موجود</v>
      </c>
    </row>
    <row r="1259" spans="1:8" x14ac:dyDescent="0.2">
      <c r="A1259">
        <v>20309011308</v>
      </c>
      <c r="B1259" t="s">
        <v>1275</v>
      </c>
      <c r="C1259">
        <v>33.284999999999997</v>
      </c>
      <c r="D1259">
        <v>15</v>
      </c>
      <c r="E1259">
        <v>28.292249999999996</v>
      </c>
      <c r="F1259" t="s">
        <v>78</v>
      </c>
      <c r="G1259" t="s">
        <v>79</v>
      </c>
      <c r="H1259" t="str">
        <f>IF(COUNTIF(Sheet1!$A:$A,TEXT(A1259,"0"))+COUNTIF(Sheet1!$A:$A,A1259)&gt;0,"موجود","غير موجود")</f>
        <v>موجود</v>
      </c>
    </row>
    <row r="1260" spans="1:8" x14ac:dyDescent="0.2">
      <c r="A1260">
        <v>20309020028</v>
      </c>
      <c r="B1260" t="s">
        <v>1276</v>
      </c>
      <c r="C1260">
        <v>17.43</v>
      </c>
      <c r="D1260">
        <v>15</v>
      </c>
      <c r="E1260">
        <v>14.8155</v>
      </c>
      <c r="F1260" t="s">
        <v>78</v>
      </c>
      <c r="G1260" t="s">
        <v>79</v>
      </c>
      <c r="H1260" t="str">
        <f>IF(COUNTIF(Sheet1!$A:$A,TEXT(A1260,"0"))+COUNTIF(Sheet1!$A:$A,A1260)&gt;0,"موجود","غير موجود")</f>
        <v>موجود</v>
      </c>
    </row>
    <row r="1261" spans="1:8" x14ac:dyDescent="0.2">
      <c r="A1261">
        <v>20309020029</v>
      </c>
      <c r="B1261" t="s">
        <v>1277</v>
      </c>
      <c r="C1261">
        <v>24.15</v>
      </c>
      <c r="D1261">
        <v>15</v>
      </c>
      <c r="E1261">
        <v>20.5275</v>
      </c>
      <c r="F1261" t="s">
        <v>78</v>
      </c>
      <c r="G1261" t="s">
        <v>79</v>
      </c>
      <c r="H1261" t="str">
        <f>IF(COUNTIF(Sheet1!$A:$A,TEXT(A1261,"0"))+COUNTIF(Sheet1!$A:$A,A1261)&gt;0,"موجود","غير موجود")</f>
        <v>موجود</v>
      </c>
    </row>
    <row r="1262" spans="1:8" x14ac:dyDescent="0.2">
      <c r="A1262">
        <v>20309020030</v>
      </c>
      <c r="B1262" t="s">
        <v>1278</v>
      </c>
      <c r="C1262">
        <v>24.15</v>
      </c>
      <c r="D1262">
        <v>15</v>
      </c>
      <c r="E1262">
        <v>20.5275</v>
      </c>
      <c r="F1262" t="s">
        <v>78</v>
      </c>
      <c r="G1262" t="s">
        <v>79</v>
      </c>
      <c r="H1262" t="str">
        <f>IF(COUNTIF(Sheet1!$A:$A,TEXT(A1262,"0"))+COUNTIF(Sheet1!$A:$A,A1262)&gt;0,"موجود","غير موجود")</f>
        <v>موجود</v>
      </c>
    </row>
    <row r="1263" spans="1:8" x14ac:dyDescent="0.2">
      <c r="A1263">
        <v>20309020031</v>
      </c>
      <c r="B1263" t="s">
        <v>1279</v>
      </c>
      <c r="C1263">
        <v>24.15</v>
      </c>
      <c r="D1263">
        <v>15</v>
      </c>
      <c r="E1263">
        <v>20.5275</v>
      </c>
      <c r="F1263" t="s">
        <v>78</v>
      </c>
      <c r="G1263" t="s">
        <v>79</v>
      </c>
      <c r="H1263" t="str">
        <f>IF(COUNTIF(Sheet1!$A:$A,TEXT(A1263,"0"))+COUNTIF(Sheet1!$A:$A,A1263)&gt;0,"موجود","غير موجود")</f>
        <v>غير موجود</v>
      </c>
    </row>
    <row r="1264" spans="1:8" x14ac:dyDescent="0.2">
      <c r="A1264">
        <v>20309020032</v>
      </c>
      <c r="B1264" t="s">
        <v>1280</v>
      </c>
      <c r="C1264">
        <v>24.15</v>
      </c>
      <c r="D1264">
        <v>15</v>
      </c>
      <c r="E1264">
        <v>20.5275</v>
      </c>
      <c r="F1264" t="s">
        <v>78</v>
      </c>
      <c r="G1264" t="s">
        <v>79</v>
      </c>
      <c r="H1264" t="str">
        <f>IF(COUNTIF(Sheet1!$A:$A,TEXT(A1264,"0"))+COUNTIF(Sheet1!$A:$A,A1264)&gt;0,"موجود","غير موجود")</f>
        <v>غير موجود</v>
      </c>
    </row>
    <row r="1265" spans="1:8" x14ac:dyDescent="0.2">
      <c r="A1265">
        <v>20309020033</v>
      </c>
      <c r="B1265" t="s">
        <v>1281</v>
      </c>
      <c r="C1265">
        <v>17.43</v>
      </c>
      <c r="D1265">
        <v>15</v>
      </c>
      <c r="E1265">
        <v>14.8155</v>
      </c>
      <c r="F1265" t="s">
        <v>78</v>
      </c>
      <c r="G1265" t="s">
        <v>79</v>
      </c>
      <c r="H1265" t="str">
        <f>IF(COUNTIF(Sheet1!$A:$A,TEXT(A1265,"0"))+COUNTIF(Sheet1!$A:$A,A1265)&gt;0,"موجود","غير موجود")</f>
        <v>غير موجود</v>
      </c>
    </row>
    <row r="1266" spans="1:8" x14ac:dyDescent="0.2">
      <c r="A1266">
        <v>20309020034</v>
      </c>
      <c r="B1266" t="s">
        <v>1282</v>
      </c>
      <c r="C1266">
        <v>17.43</v>
      </c>
      <c r="D1266">
        <v>15</v>
      </c>
      <c r="E1266">
        <v>14.8155</v>
      </c>
      <c r="F1266" t="s">
        <v>78</v>
      </c>
      <c r="G1266" t="s">
        <v>79</v>
      </c>
      <c r="H1266" t="str">
        <f>IF(COUNTIF(Sheet1!$A:$A,TEXT(A1266,"0"))+COUNTIF(Sheet1!$A:$A,A1266)&gt;0,"موجود","غير موجود")</f>
        <v>موجود</v>
      </c>
    </row>
    <row r="1267" spans="1:8" x14ac:dyDescent="0.2">
      <c r="A1267">
        <v>20309020049</v>
      </c>
      <c r="B1267" t="s">
        <v>1283</v>
      </c>
      <c r="C1267">
        <v>17.43</v>
      </c>
      <c r="D1267">
        <v>15</v>
      </c>
      <c r="E1267">
        <v>14.8155</v>
      </c>
      <c r="F1267" t="s">
        <v>78</v>
      </c>
      <c r="G1267" t="s">
        <v>79</v>
      </c>
      <c r="H1267" t="str">
        <f>IF(COUNTIF(Sheet1!$A:$A,TEXT(A1267,"0"))+COUNTIF(Sheet1!$A:$A,A1267)&gt;0,"موجود","غير موجود")</f>
        <v>موجود</v>
      </c>
    </row>
    <row r="1268" spans="1:8" x14ac:dyDescent="0.2">
      <c r="A1268">
        <v>20309020053</v>
      </c>
      <c r="B1268" t="s">
        <v>1284</v>
      </c>
      <c r="C1268">
        <v>18.375</v>
      </c>
      <c r="D1268">
        <v>15</v>
      </c>
      <c r="E1268">
        <v>15.61875</v>
      </c>
      <c r="F1268" t="s">
        <v>78</v>
      </c>
      <c r="G1268" t="s">
        <v>79</v>
      </c>
      <c r="H1268" t="str">
        <f>IF(COUNTIF(Sheet1!$A:$A,TEXT(A1268,"0"))+COUNTIF(Sheet1!$A:$A,A1268)&gt;0,"موجود","غير موجود")</f>
        <v>موجود</v>
      </c>
    </row>
    <row r="1269" spans="1:8" x14ac:dyDescent="0.2">
      <c r="A1269">
        <v>20309020054</v>
      </c>
      <c r="B1269" t="s">
        <v>1285</v>
      </c>
      <c r="C1269">
        <v>29.4</v>
      </c>
      <c r="D1269">
        <v>15</v>
      </c>
      <c r="E1269">
        <v>24.99</v>
      </c>
      <c r="F1269" t="s">
        <v>78</v>
      </c>
      <c r="G1269" t="s">
        <v>79</v>
      </c>
      <c r="H1269" t="str">
        <f>IF(COUNTIF(Sheet1!$A:$A,TEXT(A1269,"0"))+COUNTIF(Sheet1!$A:$A,A1269)&gt;0,"موجود","غير موجود")</f>
        <v>موجود</v>
      </c>
    </row>
    <row r="1270" spans="1:8" x14ac:dyDescent="0.2">
      <c r="A1270">
        <v>20309020159</v>
      </c>
      <c r="B1270" t="s">
        <v>1286</v>
      </c>
      <c r="C1270">
        <v>16.38</v>
      </c>
      <c r="D1270">
        <v>15</v>
      </c>
      <c r="E1270">
        <v>13.922999999999998</v>
      </c>
      <c r="F1270" t="s">
        <v>78</v>
      </c>
      <c r="G1270" t="s">
        <v>79</v>
      </c>
      <c r="H1270" t="str">
        <f>IF(COUNTIF(Sheet1!$A:$A,TEXT(A1270,"0"))+COUNTIF(Sheet1!$A:$A,A1270)&gt;0,"موجود","غير موجود")</f>
        <v>موجود</v>
      </c>
    </row>
    <row r="1271" spans="1:8" x14ac:dyDescent="0.2">
      <c r="A1271">
        <v>20309020316</v>
      </c>
      <c r="B1271" t="s">
        <v>1287</v>
      </c>
      <c r="C1271">
        <v>24.15</v>
      </c>
      <c r="D1271">
        <v>15</v>
      </c>
      <c r="E1271">
        <v>20.5275</v>
      </c>
      <c r="F1271" t="s">
        <v>78</v>
      </c>
      <c r="G1271" t="s">
        <v>79</v>
      </c>
      <c r="H1271" t="str">
        <f>IF(COUNTIF(Sheet1!$A:$A,TEXT(A1271,"0"))+COUNTIF(Sheet1!$A:$A,A1271)&gt;0,"موجود","غير موجود")</f>
        <v>موجود</v>
      </c>
    </row>
    <row r="1272" spans="1:8" x14ac:dyDescent="0.2">
      <c r="A1272">
        <v>20309020569</v>
      </c>
      <c r="B1272" t="s">
        <v>1288</v>
      </c>
      <c r="C1272">
        <v>33.284999999999997</v>
      </c>
      <c r="D1272">
        <v>15</v>
      </c>
      <c r="E1272">
        <v>28.292249999999996</v>
      </c>
      <c r="F1272" t="s">
        <v>78</v>
      </c>
      <c r="G1272" t="s">
        <v>79</v>
      </c>
      <c r="H1272" t="str">
        <f>IF(COUNTIF(Sheet1!$A:$A,TEXT(A1272,"0"))+COUNTIF(Sheet1!$A:$A,A1272)&gt;0,"موجود","غير موجود")</f>
        <v>موجود</v>
      </c>
    </row>
    <row r="1273" spans="1:8" x14ac:dyDescent="0.2">
      <c r="A1273">
        <v>20309020572</v>
      </c>
      <c r="B1273" t="s">
        <v>1289</v>
      </c>
      <c r="C1273">
        <v>34.125</v>
      </c>
      <c r="D1273">
        <v>15</v>
      </c>
      <c r="E1273">
        <v>29.006250000000001</v>
      </c>
      <c r="F1273" t="s">
        <v>78</v>
      </c>
      <c r="G1273" t="s">
        <v>79</v>
      </c>
      <c r="H1273" t="str">
        <f>IF(COUNTIF(Sheet1!$A:$A,TEXT(A1273,"0"))+COUNTIF(Sheet1!$A:$A,A1273)&gt;0,"موجود","غير موجود")</f>
        <v>موجود</v>
      </c>
    </row>
    <row r="1274" spans="1:8" x14ac:dyDescent="0.2">
      <c r="A1274">
        <v>20309020575</v>
      </c>
      <c r="B1274" t="s">
        <v>1290</v>
      </c>
      <c r="C1274">
        <v>17.43</v>
      </c>
      <c r="D1274">
        <v>15</v>
      </c>
      <c r="E1274">
        <v>14.8155</v>
      </c>
      <c r="F1274" t="s">
        <v>78</v>
      </c>
      <c r="G1274" t="s">
        <v>79</v>
      </c>
      <c r="H1274" t="str">
        <f>IF(COUNTIF(Sheet1!$A:$A,TEXT(A1274,"0"))+COUNTIF(Sheet1!$A:$A,A1274)&gt;0,"موجود","غير موجود")</f>
        <v>موجود</v>
      </c>
    </row>
    <row r="1275" spans="1:8" x14ac:dyDescent="0.2">
      <c r="A1275">
        <v>20309020622</v>
      </c>
      <c r="B1275" t="s">
        <v>1291</v>
      </c>
      <c r="C1275">
        <v>24.15</v>
      </c>
      <c r="D1275">
        <v>15</v>
      </c>
      <c r="E1275">
        <v>20.5275</v>
      </c>
      <c r="F1275" t="s">
        <v>78</v>
      </c>
      <c r="G1275" t="s">
        <v>79</v>
      </c>
      <c r="H1275" t="str">
        <f>IF(COUNTIF(Sheet1!$A:$A,TEXT(A1275,"0"))+COUNTIF(Sheet1!$A:$A,A1275)&gt;0,"موجود","غير موجود")</f>
        <v>موجود</v>
      </c>
    </row>
    <row r="1276" spans="1:8" x14ac:dyDescent="0.2">
      <c r="A1276">
        <v>20309021430</v>
      </c>
      <c r="B1276" t="s">
        <v>1292</v>
      </c>
      <c r="C1276">
        <v>17.43</v>
      </c>
      <c r="D1276">
        <v>15</v>
      </c>
      <c r="E1276">
        <v>14.8155</v>
      </c>
      <c r="F1276" t="s">
        <v>78</v>
      </c>
      <c r="G1276" t="s">
        <v>79</v>
      </c>
      <c r="H1276" t="str">
        <f>IF(COUNTIF(Sheet1!$A:$A,TEXT(A1276,"0"))+COUNTIF(Sheet1!$A:$A,A1276)&gt;0,"موجود","غير موجود")</f>
        <v>موجود</v>
      </c>
    </row>
    <row r="1277" spans="1:8" x14ac:dyDescent="0.2">
      <c r="A1277">
        <v>20309021431</v>
      </c>
      <c r="B1277" t="s">
        <v>1293</v>
      </c>
      <c r="C1277">
        <v>24.15</v>
      </c>
      <c r="D1277">
        <v>15</v>
      </c>
      <c r="E1277">
        <v>20.5275</v>
      </c>
      <c r="F1277" t="s">
        <v>78</v>
      </c>
      <c r="G1277" t="s">
        <v>79</v>
      </c>
      <c r="H1277" t="str">
        <f>IF(COUNTIF(Sheet1!$A:$A,TEXT(A1277,"0"))+COUNTIF(Sheet1!$A:$A,A1277)&gt;0,"موجود","غير موجود")</f>
        <v>موجود</v>
      </c>
    </row>
    <row r="1278" spans="1:8" x14ac:dyDescent="0.2">
      <c r="A1278">
        <v>20309021691</v>
      </c>
      <c r="B1278" t="s">
        <v>1294</v>
      </c>
      <c r="C1278">
        <v>33.284999999999997</v>
      </c>
      <c r="D1278">
        <v>15</v>
      </c>
      <c r="E1278">
        <v>28.292249999999996</v>
      </c>
      <c r="F1278" t="s">
        <v>78</v>
      </c>
      <c r="G1278" t="s">
        <v>79</v>
      </c>
      <c r="H1278" t="str">
        <f>IF(COUNTIF(Sheet1!$A:$A,TEXT(A1278,"0"))+COUNTIF(Sheet1!$A:$A,A1278)&gt;0,"موجود","غير موجود")</f>
        <v>غير موجود</v>
      </c>
    </row>
    <row r="1279" spans="1:8" x14ac:dyDescent="0.2">
      <c r="A1279">
        <v>20309060035</v>
      </c>
      <c r="B1279" t="s">
        <v>1295</v>
      </c>
      <c r="C1279">
        <v>16.38</v>
      </c>
      <c r="D1279">
        <v>15</v>
      </c>
      <c r="E1279">
        <v>13.922999999999998</v>
      </c>
      <c r="F1279" t="s">
        <v>78</v>
      </c>
      <c r="G1279" t="s">
        <v>79</v>
      </c>
      <c r="H1279" t="str">
        <f>IF(COUNTIF(Sheet1!$A:$A,TEXT(A1279,"0"))+COUNTIF(Sheet1!$A:$A,A1279)&gt;0,"موجود","غير موجود")</f>
        <v>موجود</v>
      </c>
    </row>
    <row r="1280" spans="1:8" x14ac:dyDescent="0.2">
      <c r="A1280">
        <v>20309060121</v>
      </c>
      <c r="B1280" t="s">
        <v>1296</v>
      </c>
      <c r="C1280">
        <v>23.835000000000001</v>
      </c>
      <c r="D1280">
        <v>15</v>
      </c>
      <c r="E1280">
        <v>20.25975</v>
      </c>
      <c r="F1280" t="s">
        <v>78</v>
      </c>
      <c r="G1280" t="s">
        <v>79</v>
      </c>
      <c r="H1280" t="str">
        <f>IF(COUNTIF(Sheet1!$A:$A,TEXT(A1280,"0"))+COUNTIF(Sheet1!$A:$A,A1280)&gt;0,"موجود","غير موجود")</f>
        <v>موجود</v>
      </c>
    </row>
    <row r="1281" spans="1:8" x14ac:dyDescent="0.2">
      <c r="A1281">
        <v>20309060123</v>
      </c>
      <c r="B1281" t="s">
        <v>1297</v>
      </c>
      <c r="C1281">
        <v>23.835000000000001</v>
      </c>
      <c r="D1281">
        <v>15</v>
      </c>
      <c r="E1281">
        <v>20.25975</v>
      </c>
      <c r="F1281" t="s">
        <v>78</v>
      </c>
      <c r="G1281" t="s">
        <v>79</v>
      </c>
      <c r="H1281" t="str">
        <f>IF(COUNTIF(Sheet1!$A:$A,TEXT(A1281,"0"))+COUNTIF(Sheet1!$A:$A,A1281)&gt;0,"موجود","غير موجود")</f>
        <v>غير موجود</v>
      </c>
    </row>
    <row r="1282" spans="1:8" x14ac:dyDescent="0.2">
      <c r="A1282">
        <v>20309060124</v>
      </c>
      <c r="B1282" t="s">
        <v>1298</v>
      </c>
      <c r="C1282">
        <v>23.835000000000001</v>
      </c>
      <c r="D1282">
        <v>15</v>
      </c>
      <c r="E1282">
        <v>20.25975</v>
      </c>
      <c r="F1282" t="s">
        <v>78</v>
      </c>
      <c r="G1282" t="s">
        <v>79</v>
      </c>
      <c r="H1282" t="str">
        <f>IF(COUNTIF(Sheet1!$A:$A,TEXT(A1282,"0"))+COUNTIF(Sheet1!$A:$A,A1282)&gt;0,"موجود","غير موجود")</f>
        <v>موجود</v>
      </c>
    </row>
    <row r="1283" spans="1:8" x14ac:dyDescent="0.2">
      <c r="A1283">
        <v>20309060125</v>
      </c>
      <c r="B1283" t="s">
        <v>1299</v>
      </c>
      <c r="C1283">
        <v>23.835000000000001</v>
      </c>
      <c r="D1283">
        <v>15</v>
      </c>
      <c r="E1283">
        <v>20.25975</v>
      </c>
      <c r="F1283" t="s">
        <v>78</v>
      </c>
      <c r="G1283" t="s">
        <v>79</v>
      </c>
      <c r="H1283" t="str">
        <f>IF(COUNTIF(Sheet1!$A:$A,TEXT(A1283,"0"))+COUNTIF(Sheet1!$A:$A,A1283)&gt;0,"موجود","غير موجود")</f>
        <v>موجود</v>
      </c>
    </row>
    <row r="1284" spans="1:8" x14ac:dyDescent="0.2">
      <c r="A1284">
        <v>20309060126</v>
      </c>
      <c r="B1284" t="s">
        <v>1300</v>
      </c>
      <c r="C1284">
        <v>23.835000000000001</v>
      </c>
      <c r="D1284">
        <v>15</v>
      </c>
      <c r="E1284">
        <v>20.25975</v>
      </c>
      <c r="F1284" t="s">
        <v>78</v>
      </c>
      <c r="G1284" t="s">
        <v>79</v>
      </c>
      <c r="H1284" t="str">
        <f>IF(COUNTIF(Sheet1!$A:$A,TEXT(A1284,"0"))+COUNTIF(Sheet1!$A:$A,A1284)&gt;0,"موجود","غير موجود")</f>
        <v>غير موجود</v>
      </c>
    </row>
    <row r="1285" spans="1:8" x14ac:dyDescent="0.2">
      <c r="A1285">
        <v>20309060127</v>
      </c>
      <c r="B1285" t="s">
        <v>1301</v>
      </c>
      <c r="C1285">
        <v>23.835000000000001</v>
      </c>
      <c r="D1285">
        <v>15</v>
      </c>
      <c r="E1285">
        <v>20.25975</v>
      </c>
      <c r="F1285" t="s">
        <v>78</v>
      </c>
      <c r="G1285" t="s">
        <v>79</v>
      </c>
      <c r="H1285" t="str">
        <f>IF(COUNTIF(Sheet1!$A:$A,TEXT(A1285,"0"))+COUNTIF(Sheet1!$A:$A,A1285)&gt;0,"موجود","غير موجود")</f>
        <v>غير موجود</v>
      </c>
    </row>
    <row r="1286" spans="1:8" x14ac:dyDescent="0.2">
      <c r="A1286">
        <v>20309060143</v>
      </c>
      <c r="B1286" t="s">
        <v>1302</v>
      </c>
      <c r="C1286">
        <v>20.265000000000001</v>
      </c>
      <c r="D1286">
        <v>15</v>
      </c>
      <c r="E1286">
        <v>17.225249999999999</v>
      </c>
      <c r="F1286" t="s">
        <v>78</v>
      </c>
      <c r="G1286" t="s">
        <v>79</v>
      </c>
      <c r="H1286" t="str">
        <f>IF(COUNTIF(Sheet1!$A:$A,TEXT(A1286,"0"))+COUNTIF(Sheet1!$A:$A,A1286)&gt;0,"موجود","غير موجود")</f>
        <v>موجود</v>
      </c>
    </row>
    <row r="1287" spans="1:8" x14ac:dyDescent="0.2">
      <c r="A1287">
        <v>20309060162</v>
      </c>
      <c r="B1287" t="s">
        <v>1303</v>
      </c>
      <c r="C1287">
        <v>20.212499999999999</v>
      </c>
      <c r="D1287">
        <v>15</v>
      </c>
      <c r="E1287">
        <v>17.180624999999999</v>
      </c>
      <c r="F1287" t="s">
        <v>78</v>
      </c>
      <c r="G1287" t="s">
        <v>79</v>
      </c>
      <c r="H1287" t="str">
        <f>IF(COUNTIF(Sheet1!$A:$A,TEXT(A1287,"0"))+COUNTIF(Sheet1!$A:$A,A1287)&gt;0,"موجود","غير موجود")</f>
        <v>موجود</v>
      </c>
    </row>
    <row r="1288" spans="1:8" x14ac:dyDescent="0.2">
      <c r="A1288">
        <v>20309060163</v>
      </c>
      <c r="B1288" t="s">
        <v>1304</v>
      </c>
      <c r="C1288">
        <v>20.265000000000001</v>
      </c>
      <c r="D1288">
        <v>15</v>
      </c>
      <c r="E1288">
        <v>17.225249999999999</v>
      </c>
      <c r="F1288" t="s">
        <v>78</v>
      </c>
      <c r="G1288" t="s">
        <v>79</v>
      </c>
      <c r="H1288" t="str">
        <f>IF(COUNTIF(Sheet1!$A:$A,TEXT(A1288,"0"))+COUNTIF(Sheet1!$A:$A,A1288)&gt;0,"موجود","غير موجود")</f>
        <v>موجود</v>
      </c>
    </row>
    <row r="1289" spans="1:8" x14ac:dyDescent="0.2">
      <c r="A1289">
        <v>20309060189</v>
      </c>
      <c r="B1289" t="s">
        <v>1305</v>
      </c>
      <c r="C1289">
        <v>16.38</v>
      </c>
      <c r="D1289">
        <v>15</v>
      </c>
      <c r="E1289">
        <v>13.922999999999998</v>
      </c>
      <c r="F1289" t="s">
        <v>78</v>
      </c>
      <c r="G1289" t="s">
        <v>79</v>
      </c>
      <c r="H1289" t="str">
        <f>IF(COUNTIF(Sheet1!$A:$A,TEXT(A1289,"0"))+COUNTIF(Sheet1!$A:$A,A1289)&gt;0,"موجود","غير موجود")</f>
        <v>موجود</v>
      </c>
    </row>
    <row r="1290" spans="1:8" x14ac:dyDescent="0.2">
      <c r="A1290">
        <v>20309060190</v>
      </c>
      <c r="B1290" t="s">
        <v>1306</v>
      </c>
      <c r="C1290">
        <v>16.38</v>
      </c>
      <c r="D1290">
        <v>15</v>
      </c>
      <c r="E1290">
        <v>13.922999999999998</v>
      </c>
      <c r="F1290" t="s">
        <v>78</v>
      </c>
      <c r="G1290" t="s">
        <v>79</v>
      </c>
      <c r="H1290" t="str">
        <f>IF(COUNTIF(Sheet1!$A:$A,TEXT(A1290,"0"))+COUNTIF(Sheet1!$A:$A,A1290)&gt;0,"موجود","غير موجود")</f>
        <v>موجود</v>
      </c>
    </row>
    <row r="1291" spans="1:8" x14ac:dyDescent="0.2">
      <c r="A1291">
        <v>20309060191</v>
      </c>
      <c r="B1291" t="s">
        <v>1307</v>
      </c>
      <c r="C1291">
        <v>16.38</v>
      </c>
      <c r="D1291">
        <v>15</v>
      </c>
      <c r="E1291">
        <v>13.922999999999998</v>
      </c>
      <c r="F1291" t="s">
        <v>78</v>
      </c>
      <c r="G1291" t="s">
        <v>79</v>
      </c>
      <c r="H1291" t="str">
        <f>IF(COUNTIF(Sheet1!$A:$A,TEXT(A1291,"0"))+COUNTIF(Sheet1!$A:$A,A1291)&gt;0,"موجود","غير موجود")</f>
        <v>موجود</v>
      </c>
    </row>
    <row r="1292" spans="1:8" x14ac:dyDescent="0.2">
      <c r="A1292">
        <v>20309060192</v>
      </c>
      <c r="B1292" t="s">
        <v>1308</v>
      </c>
      <c r="C1292">
        <v>16.38</v>
      </c>
      <c r="D1292">
        <v>15</v>
      </c>
      <c r="E1292">
        <v>13.922999999999998</v>
      </c>
      <c r="F1292" t="s">
        <v>78</v>
      </c>
      <c r="G1292" t="s">
        <v>79</v>
      </c>
      <c r="H1292" t="str">
        <f>IF(COUNTIF(Sheet1!$A:$A,TEXT(A1292,"0"))+COUNTIF(Sheet1!$A:$A,A1292)&gt;0,"موجود","غير موجود")</f>
        <v>موجود</v>
      </c>
    </row>
    <row r="1293" spans="1:8" x14ac:dyDescent="0.2">
      <c r="A1293">
        <v>20309060193</v>
      </c>
      <c r="B1293" t="s">
        <v>1309</v>
      </c>
      <c r="C1293">
        <v>16.38</v>
      </c>
      <c r="D1293">
        <v>15</v>
      </c>
      <c r="E1293">
        <v>13.922999999999998</v>
      </c>
      <c r="F1293" t="s">
        <v>78</v>
      </c>
      <c r="G1293" t="s">
        <v>79</v>
      </c>
      <c r="H1293" t="str">
        <f>IF(COUNTIF(Sheet1!$A:$A,TEXT(A1293,"0"))+COUNTIF(Sheet1!$A:$A,A1293)&gt;0,"موجود","غير موجود")</f>
        <v>موجود</v>
      </c>
    </row>
    <row r="1294" spans="1:8" x14ac:dyDescent="0.2">
      <c r="A1294">
        <v>20309060194</v>
      </c>
      <c r="B1294" t="s">
        <v>1310</v>
      </c>
      <c r="C1294">
        <v>16.38</v>
      </c>
      <c r="D1294">
        <v>15</v>
      </c>
      <c r="E1294">
        <v>13.922999999999998</v>
      </c>
      <c r="F1294" t="s">
        <v>78</v>
      </c>
      <c r="G1294" t="s">
        <v>79</v>
      </c>
      <c r="H1294" t="str">
        <f>IF(COUNTIF(Sheet1!$A:$A,TEXT(A1294,"0"))+COUNTIF(Sheet1!$A:$A,A1294)&gt;0,"موجود","غير موجود")</f>
        <v>موجود</v>
      </c>
    </row>
    <row r="1295" spans="1:8" x14ac:dyDescent="0.2">
      <c r="A1295">
        <v>20309060195</v>
      </c>
      <c r="B1295" t="s">
        <v>1311</v>
      </c>
      <c r="C1295">
        <v>16.38</v>
      </c>
      <c r="D1295">
        <v>15</v>
      </c>
      <c r="E1295">
        <v>13.922999999999998</v>
      </c>
      <c r="F1295" t="s">
        <v>78</v>
      </c>
      <c r="G1295" t="s">
        <v>79</v>
      </c>
      <c r="H1295" t="str">
        <f>IF(COUNTIF(Sheet1!$A:$A,TEXT(A1295,"0"))+COUNTIF(Sheet1!$A:$A,A1295)&gt;0,"موجود","غير موجود")</f>
        <v>موجود</v>
      </c>
    </row>
    <row r="1296" spans="1:8" x14ac:dyDescent="0.2">
      <c r="A1296">
        <v>20309060196</v>
      </c>
      <c r="B1296" t="s">
        <v>1312</v>
      </c>
      <c r="C1296">
        <v>16.38</v>
      </c>
      <c r="D1296">
        <v>15</v>
      </c>
      <c r="E1296">
        <v>13.922999999999998</v>
      </c>
      <c r="F1296" t="s">
        <v>78</v>
      </c>
      <c r="G1296" t="s">
        <v>79</v>
      </c>
      <c r="H1296" t="str">
        <f>IF(COUNTIF(Sheet1!$A:$A,TEXT(A1296,"0"))+COUNTIF(Sheet1!$A:$A,A1296)&gt;0,"موجود","غير موجود")</f>
        <v>موجود</v>
      </c>
    </row>
    <row r="1297" spans="1:8" x14ac:dyDescent="0.2">
      <c r="A1297">
        <v>20309060197</v>
      </c>
      <c r="B1297" t="s">
        <v>1313</v>
      </c>
      <c r="C1297">
        <v>16.38</v>
      </c>
      <c r="D1297">
        <v>15</v>
      </c>
      <c r="E1297">
        <v>13.922999999999998</v>
      </c>
      <c r="F1297" t="s">
        <v>78</v>
      </c>
      <c r="G1297" t="s">
        <v>79</v>
      </c>
      <c r="H1297" t="str">
        <f>IF(COUNTIF(Sheet1!$A:$A,TEXT(A1297,"0"))+COUNTIF(Sheet1!$A:$A,A1297)&gt;0,"موجود","غير موجود")</f>
        <v>موجود</v>
      </c>
    </row>
    <row r="1298" spans="1:8" x14ac:dyDescent="0.2">
      <c r="A1298">
        <v>20309060198</v>
      </c>
      <c r="B1298" t="s">
        <v>1314</v>
      </c>
      <c r="C1298">
        <v>16.38</v>
      </c>
      <c r="D1298">
        <v>15</v>
      </c>
      <c r="E1298">
        <v>13.922999999999998</v>
      </c>
      <c r="F1298" t="s">
        <v>78</v>
      </c>
      <c r="G1298" t="s">
        <v>79</v>
      </c>
      <c r="H1298" t="str">
        <f>IF(COUNTIF(Sheet1!$A:$A,TEXT(A1298,"0"))+COUNTIF(Sheet1!$A:$A,A1298)&gt;0,"موجود","غير موجود")</f>
        <v>موجود</v>
      </c>
    </row>
    <row r="1299" spans="1:8" x14ac:dyDescent="0.2">
      <c r="A1299">
        <v>20309060199</v>
      </c>
      <c r="B1299" t="s">
        <v>1315</v>
      </c>
      <c r="C1299">
        <v>21.598500000000001</v>
      </c>
      <c r="D1299">
        <v>15</v>
      </c>
      <c r="E1299">
        <v>18.358725</v>
      </c>
      <c r="F1299" t="s">
        <v>78</v>
      </c>
      <c r="G1299" t="s">
        <v>79</v>
      </c>
      <c r="H1299" t="str">
        <f>IF(COUNTIF(Sheet1!$A:$A,TEXT(A1299,"0"))+COUNTIF(Sheet1!$A:$A,A1299)&gt;0,"موجود","غير موجود")</f>
        <v>موجود</v>
      </c>
    </row>
    <row r="1300" spans="1:8" x14ac:dyDescent="0.2">
      <c r="A1300">
        <v>20309060200</v>
      </c>
      <c r="B1300" t="s">
        <v>1316</v>
      </c>
      <c r="C1300">
        <v>20.265000000000001</v>
      </c>
      <c r="D1300">
        <v>15</v>
      </c>
      <c r="E1300">
        <v>17.225249999999999</v>
      </c>
      <c r="F1300" t="s">
        <v>78</v>
      </c>
      <c r="G1300" t="s">
        <v>79</v>
      </c>
      <c r="H1300" t="str">
        <f>IF(COUNTIF(Sheet1!$A:$A,TEXT(A1300,"0"))+COUNTIF(Sheet1!$A:$A,A1300)&gt;0,"موجود","غير موجود")</f>
        <v>موجود</v>
      </c>
    </row>
    <row r="1301" spans="1:8" x14ac:dyDescent="0.2">
      <c r="A1301">
        <v>20309060201</v>
      </c>
      <c r="B1301" t="s">
        <v>1317</v>
      </c>
      <c r="C1301">
        <v>20.212499999999999</v>
      </c>
      <c r="D1301">
        <v>15</v>
      </c>
      <c r="E1301">
        <v>17.180624999999999</v>
      </c>
      <c r="F1301" t="s">
        <v>78</v>
      </c>
      <c r="G1301" t="s">
        <v>79</v>
      </c>
      <c r="H1301" t="str">
        <f>IF(COUNTIF(Sheet1!$A:$A,TEXT(A1301,"0"))+COUNTIF(Sheet1!$A:$A,A1301)&gt;0,"موجود","غير موجود")</f>
        <v>موجود</v>
      </c>
    </row>
    <row r="1302" spans="1:8" x14ac:dyDescent="0.2">
      <c r="A1302">
        <v>20309060203</v>
      </c>
      <c r="B1302" t="s">
        <v>1318</v>
      </c>
      <c r="C1302">
        <v>20.265000000000001</v>
      </c>
      <c r="D1302">
        <v>15</v>
      </c>
      <c r="E1302">
        <v>17.225249999999999</v>
      </c>
      <c r="F1302" t="s">
        <v>78</v>
      </c>
      <c r="G1302" t="s">
        <v>79</v>
      </c>
      <c r="H1302" t="str">
        <f>IF(COUNTIF(Sheet1!$A:$A,TEXT(A1302,"0"))+COUNTIF(Sheet1!$A:$A,A1302)&gt;0,"موجود","غير موجود")</f>
        <v>موجود</v>
      </c>
    </row>
    <row r="1303" spans="1:8" x14ac:dyDescent="0.2">
      <c r="A1303">
        <v>20309060205</v>
      </c>
      <c r="B1303" t="s">
        <v>1319</v>
      </c>
      <c r="C1303">
        <v>20.265000000000001</v>
      </c>
      <c r="D1303">
        <v>15</v>
      </c>
      <c r="E1303">
        <v>17.225249999999999</v>
      </c>
      <c r="F1303" t="s">
        <v>78</v>
      </c>
      <c r="G1303" t="s">
        <v>79</v>
      </c>
      <c r="H1303" t="str">
        <f>IF(COUNTIF(Sheet1!$A:$A,TEXT(A1303,"0"))+COUNTIF(Sheet1!$A:$A,A1303)&gt;0,"موجود","غير موجود")</f>
        <v>موجود</v>
      </c>
    </row>
    <row r="1304" spans="1:8" x14ac:dyDescent="0.2">
      <c r="A1304">
        <v>20309060206</v>
      </c>
      <c r="B1304" t="s">
        <v>1320</v>
      </c>
      <c r="C1304">
        <v>20.265000000000001</v>
      </c>
      <c r="D1304">
        <v>15</v>
      </c>
      <c r="E1304">
        <v>17.225249999999999</v>
      </c>
      <c r="F1304" t="s">
        <v>78</v>
      </c>
      <c r="G1304" t="s">
        <v>79</v>
      </c>
      <c r="H1304" t="str">
        <f>IF(COUNTIF(Sheet1!$A:$A,TEXT(A1304,"0"))+COUNTIF(Sheet1!$A:$A,A1304)&gt;0,"موجود","غير موجود")</f>
        <v>موجود</v>
      </c>
    </row>
    <row r="1305" spans="1:8" x14ac:dyDescent="0.2">
      <c r="A1305">
        <v>20309060207</v>
      </c>
      <c r="B1305" t="s">
        <v>1321</v>
      </c>
      <c r="C1305">
        <v>22.05</v>
      </c>
      <c r="D1305">
        <v>15</v>
      </c>
      <c r="E1305">
        <v>18.7425</v>
      </c>
      <c r="F1305" t="s">
        <v>78</v>
      </c>
      <c r="G1305" t="s">
        <v>79</v>
      </c>
      <c r="H1305" t="str">
        <f>IF(COUNTIF(Sheet1!$A:$A,TEXT(A1305,"0"))+COUNTIF(Sheet1!$A:$A,A1305)&gt;0,"موجود","غير موجود")</f>
        <v>موجود</v>
      </c>
    </row>
    <row r="1306" spans="1:8" x14ac:dyDescent="0.2">
      <c r="A1306">
        <v>20309060208</v>
      </c>
      <c r="B1306" t="s">
        <v>1322</v>
      </c>
      <c r="C1306">
        <v>22.05</v>
      </c>
      <c r="D1306">
        <v>15</v>
      </c>
      <c r="E1306">
        <v>18.7425</v>
      </c>
      <c r="F1306" t="s">
        <v>78</v>
      </c>
      <c r="G1306" t="s">
        <v>79</v>
      </c>
      <c r="H1306" t="str">
        <f>IF(COUNTIF(Sheet1!$A:$A,TEXT(A1306,"0"))+COUNTIF(Sheet1!$A:$A,A1306)&gt;0,"موجود","غير موجود")</f>
        <v>موجود</v>
      </c>
    </row>
    <row r="1307" spans="1:8" x14ac:dyDescent="0.2">
      <c r="A1307">
        <v>20309060209</v>
      </c>
      <c r="B1307" t="s">
        <v>1323</v>
      </c>
      <c r="C1307">
        <v>22.05</v>
      </c>
      <c r="D1307">
        <v>15</v>
      </c>
      <c r="E1307">
        <v>18.7425</v>
      </c>
      <c r="F1307" t="s">
        <v>78</v>
      </c>
      <c r="G1307" t="s">
        <v>79</v>
      </c>
      <c r="H1307" t="str">
        <f>IF(COUNTIF(Sheet1!$A:$A,TEXT(A1307,"0"))+COUNTIF(Sheet1!$A:$A,A1307)&gt;0,"موجود","غير موجود")</f>
        <v>موجود</v>
      </c>
    </row>
    <row r="1308" spans="1:8" x14ac:dyDescent="0.2">
      <c r="A1308">
        <v>20309060210</v>
      </c>
      <c r="B1308" t="s">
        <v>1324</v>
      </c>
      <c r="C1308">
        <v>22.05</v>
      </c>
      <c r="D1308">
        <v>15</v>
      </c>
      <c r="E1308">
        <v>18.7425</v>
      </c>
      <c r="F1308" t="s">
        <v>78</v>
      </c>
      <c r="G1308" t="s">
        <v>79</v>
      </c>
      <c r="H1308" t="str">
        <f>IF(COUNTIF(Sheet1!$A:$A,TEXT(A1308,"0"))+COUNTIF(Sheet1!$A:$A,A1308)&gt;0,"موجود","غير موجود")</f>
        <v>موجود</v>
      </c>
    </row>
    <row r="1309" spans="1:8" x14ac:dyDescent="0.2">
      <c r="A1309">
        <v>20309060211</v>
      </c>
      <c r="B1309" t="s">
        <v>1325</v>
      </c>
      <c r="C1309">
        <v>22.05</v>
      </c>
      <c r="D1309">
        <v>15</v>
      </c>
      <c r="E1309">
        <v>18.7425</v>
      </c>
      <c r="F1309" t="s">
        <v>78</v>
      </c>
      <c r="G1309" t="s">
        <v>79</v>
      </c>
      <c r="H1309" t="str">
        <f>IF(COUNTIF(Sheet1!$A:$A,TEXT(A1309,"0"))+COUNTIF(Sheet1!$A:$A,A1309)&gt;0,"موجود","غير موجود")</f>
        <v>موجود</v>
      </c>
    </row>
    <row r="1310" spans="1:8" x14ac:dyDescent="0.2">
      <c r="A1310">
        <v>20309060212</v>
      </c>
      <c r="B1310" t="s">
        <v>1326</v>
      </c>
      <c r="C1310">
        <v>22.05</v>
      </c>
      <c r="D1310">
        <v>15</v>
      </c>
      <c r="E1310">
        <v>18.7425</v>
      </c>
      <c r="F1310" t="s">
        <v>78</v>
      </c>
      <c r="G1310" t="s">
        <v>79</v>
      </c>
      <c r="H1310" t="str">
        <f>IF(COUNTIF(Sheet1!$A:$A,TEXT(A1310,"0"))+COUNTIF(Sheet1!$A:$A,A1310)&gt;0,"موجود","غير موجود")</f>
        <v>موجود</v>
      </c>
    </row>
    <row r="1311" spans="1:8" x14ac:dyDescent="0.2">
      <c r="A1311">
        <v>20309060213</v>
      </c>
      <c r="B1311" t="s">
        <v>1327</v>
      </c>
      <c r="C1311">
        <v>22.05</v>
      </c>
      <c r="D1311">
        <v>15</v>
      </c>
      <c r="E1311">
        <v>18.7425</v>
      </c>
      <c r="F1311" t="s">
        <v>78</v>
      </c>
      <c r="G1311" t="s">
        <v>79</v>
      </c>
      <c r="H1311" t="str">
        <f>IF(COUNTIF(Sheet1!$A:$A,TEXT(A1311,"0"))+COUNTIF(Sheet1!$A:$A,A1311)&gt;0,"موجود","غير موجود")</f>
        <v>موجود</v>
      </c>
    </row>
    <row r="1312" spans="1:8" x14ac:dyDescent="0.2">
      <c r="A1312">
        <v>20309060214</v>
      </c>
      <c r="B1312" t="s">
        <v>1328</v>
      </c>
      <c r="C1312">
        <v>22.05</v>
      </c>
      <c r="D1312">
        <v>15</v>
      </c>
      <c r="E1312">
        <v>18.7425</v>
      </c>
      <c r="F1312" t="s">
        <v>78</v>
      </c>
      <c r="G1312" t="s">
        <v>79</v>
      </c>
      <c r="H1312" t="str">
        <f>IF(COUNTIF(Sheet1!$A:$A,TEXT(A1312,"0"))+COUNTIF(Sheet1!$A:$A,A1312)&gt;0,"موجود","غير موجود")</f>
        <v>غير موجود</v>
      </c>
    </row>
    <row r="1313" spans="1:8" x14ac:dyDescent="0.2">
      <c r="A1313">
        <v>20309060217</v>
      </c>
      <c r="B1313" t="s">
        <v>1329</v>
      </c>
      <c r="C1313">
        <v>22.05</v>
      </c>
      <c r="D1313">
        <v>15</v>
      </c>
      <c r="E1313">
        <v>18.7425</v>
      </c>
      <c r="F1313" t="s">
        <v>78</v>
      </c>
      <c r="G1313" t="s">
        <v>79</v>
      </c>
      <c r="H1313" t="str">
        <f>IF(COUNTIF(Sheet1!$A:$A,TEXT(A1313,"0"))+COUNTIF(Sheet1!$A:$A,A1313)&gt;0,"موجود","غير موجود")</f>
        <v>موجود</v>
      </c>
    </row>
    <row r="1314" spans="1:8" x14ac:dyDescent="0.2">
      <c r="A1314">
        <v>20309060331</v>
      </c>
      <c r="B1314" t="s">
        <v>1330</v>
      </c>
      <c r="C1314">
        <v>20.265000000000001</v>
      </c>
      <c r="D1314">
        <v>15</v>
      </c>
      <c r="E1314">
        <v>17.225249999999999</v>
      </c>
      <c r="F1314" t="s">
        <v>78</v>
      </c>
      <c r="G1314" t="s">
        <v>79</v>
      </c>
      <c r="H1314" t="str">
        <f>IF(COUNTIF(Sheet1!$A:$A,TEXT(A1314,"0"))+COUNTIF(Sheet1!$A:$A,A1314)&gt;0,"موجود","غير موجود")</f>
        <v>غير موجود</v>
      </c>
    </row>
    <row r="1315" spans="1:8" x14ac:dyDescent="0.2">
      <c r="A1315">
        <v>20309060428</v>
      </c>
      <c r="B1315" t="s">
        <v>1331</v>
      </c>
      <c r="C1315">
        <v>16.38</v>
      </c>
      <c r="D1315">
        <v>15</v>
      </c>
      <c r="E1315">
        <v>13.922999999999998</v>
      </c>
      <c r="F1315" t="s">
        <v>78</v>
      </c>
      <c r="G1315" t="s">
        <v>79</v>
      </c>
      <c r="H1315" t="str">
        <f>IF(COUNTIF(Sheet1!$A:$A,TEXT(A1315,"0"))+COUNTIF(Sheet1!$A:$A,A1315)&gt;0,"موجود","غير موجود")</f>
        <v>موجود</v>
      </c>
    </row>
    <row r="1316" spans="1:8" x14ac:dyDescent="0.2">
      <c r="A1316">
        <v>20309060595</v>
      </c>
      <c r="B1316" t="s">
        <v>1332</v>
      </c>
      <c r="C1316">
        <v>23.835000000000001</v>
      </c>
      <c r="D1316">
        <v>15</v>
      </c>
      <c r="E1316">
        <v>20.25975</v>
      </c>
      <c r="F1316" t="s">
        <v>78</v>
      </c>
      <c r="G1316" t="s">
        <v>79</v>
      </c>
      <c r="H1316" t="str">
        <f>IF(COUNTIF(Sheet1!$A:$A,TEXT(A1316,"0"))+COUNTIF(Sheet1!$A:$A,A1316)&gt;0,"موجود","غير موجود")</f>
        <v>موجود</v>
      </c>
    </row>
    <row r="1317" spans="1:8" x14ac:dyDescent="0.2">
      <c r="A1317">
        <v>20309060596</v>
      </c>
      <c r="B1317" t="s">
        <v>1333</v>
      </c>
      <c r="C1317">
        <v>16.38</v>
      </c>
      <c r="D1317">
        <v>15</v>
      </c>
      <c r="E1317">
        <v>13.922999999999998</v>
      </c>
      <c r="F1317" t="s">
        <v>78</v>
      </c>
      <c r="G1317" t="s">
        <v>79</v>
      </c>
      <c r="H1317" t="str">
        <f>IF(COUNTIF(Sheet1!$A:$A,TEXT(A1317,"0"))+COUNTIF(Sheet1!$A:$A,A1317)&gt;0,"موجود","غير موجود")</f>
        <v>موجود</v>
      </c>
    </row>
    <row r="1318" spans="1:8" x14ac:dyDescent="0.2">
      <c r="A1318">
        <v>20309060598</v>
      </c>
      <c r="B1318" t="s">
        <v>1334</v>
      </c>
      <c r="C1318">
        <v>16.38</v>
      </c>
      <c r="D1318">
        <v>15</v>
      </c>
      <c r="E1318">
        <v>13.922999999999998</v>
      </c>
      <c r="F1318" t="s">
        <v>78</v>
      </c>
      <c r="G1318" t="s">
        <v>79</v>
      </c>
      <c r="H1318" t="str">
        <f>IF(COUNTIF(Sheet1!$A:$A,TEXT(A1318,"0"))+COUNTIF(Sheet1!$A:$A,A1318)&gt;0,"موجود","غير موجود")</f>
        <v>موجود</v>
      </c>
    </row>
    <row r="1319" spans="1:8" x14ac:dyDescent="0.2">
      <c r="A1319">
        <v>20309060599</v>
      </c>
      <c r="B1319" t="s">
        <v>1335</v>
      </c>
      <c r="C1319">
        <v>20.265000000000001</v>
      </c>
      <c r="D1319">
        <v>15</v>
      </c>
      <c r="E1319">
        <v>17.225249999999999</v>
      </c>
      <c r="F1319" t="s">
        <v>78</v>
      </c>
      <c r="G1319" t="s">
        <v>79</v>
      </c>
      <c r="H1319" t="str">
        <f>IF(COUNTIF(Sheet1!$A:$A,TEXT(A1319,"0"))+COUNTIF(Sheet1!$A:$A,A1319)&gt;0,"موجود","غير موجود")</f>
        <v>موجود</v>
      </c>
    </row>
    <row r="1320" spans="1:8" x14ac:dyDescent="0.2">
      <c r="A1320">
        <v>20309060606</v>
      </c>
      <c r="B1320" t="s">
        <v>1336</v>
      </c>
      <c r="C1320">
        <v>23.835000000000001</v>
      </c>
      <c r="D1320">
        <v>15</v>
      </c>
      <c r="E1320">
        <v>20.25975</v>
      </c>
      <c r="F1320" t="s">
        <v>78</v>
      </c>
      <c r="G1320" t="s">
        <v>79</v>
      </c>
      <c r="H1320" t="str">
        <f>IF(COUNTIF(Sheet1!$A:$A,TEXT(A1320,"0"))+COUNTIF(Sheet1!$A:$A,A1320)&gt;0,"موجود","غير موجود")</f>
        <v>موجود</v>
      </c>
    </row>
    <row r="1321" spans="1:8" x14ac:dyDescent="0.2">
      <c r="A1321">
        <v>20309060608</v>
      </c>
      <c r="B1321" t="s">
        <v>1337</v>
      </c>
      <c r="C1321">
        <v>20.265000000000001</v>
      </c>
      <c r="D1321">
        <v>15</v>
      </c>
      <c r="E1321">
        <v>17.225249999999999</v>
      </c>
      <c r="F1321" t="s">
        <v>78</v>
      </c>
      <c r="G1321" t="s">
        <v>79</v>
      </c>
      <c r="H1321" t="str">
        <f>IF(COUNTIF(Sheet1!$A:$A,TEXT(A1321,"0"))+COUNTIF(Sheet1!$A:$A,A1321)&gt;0,"موجود","غير موجود")</f>
        <v>موجود</v>
      </c>
    </row>
    <row r="1322" spans="1:8" x14ac:dyDescent="0.2">
      <c r="A1322">
        <v>20309060663</v>
      </c>
      <c r="B1322" t="s">
        <v>1338</v>
      </c>
      <c r="C1322">
        <v>20.212499999999999</v>
      </c>
      <c r="D1322">
        <v>15</v>
      </c>
      <c r="E1322">
        <v>17.180624999999999</v>
      </c>
      <c r="F1322" t="s">
        <v>78</v>
      </c>
      <c r="G1322" t="s">
        <v>79</v>
      </c>
      <c r="H1322" t="str">
        <f>IF(COUNTIF(Sheet1!$A:$A,TEXT(A1322,"0"))+COUNTIF(Sheet1!$A:$A,A1322)&gt;0,"موجود","غير موجود")</f>
        <v>موجود</v>
      </c>
    </row>
    <row r="1323" spans="1:8" x14ac:dyDescent="0.2">
      <c r="A1323">
        <v>20309060664</v>
      </c>
      <c r="B1323" t="s">
        <v>1339</v>
      </c>
      <c r="C1323">
        <v>23.835000000000001</v>
      </c>
      <c r="D1323">
        <v>15</v>
      </c>
      <c r="E1323">
        <v>20.25975</v>
      </c>
      <c r="F1323" t="s">
        <v>78</v>
      </c>
      <c r="G1323" t="s">
        <v>79</v>
      </c>
      <c r="H1323" t="str">
        <f>IF(COUNTIF(Sheet1!$A:$A,TEXT(A1323,"0"))+COUNTIF(Sheet1!$A:$A,A1323)&gt;0,"موجود","غير موجود")</f>
        <v>موجود</v>
      </c>
    </row>
    <row r="1324" spans="1:8" x14ac:dyDescent="0.2">
      <c r="A1324">
        <v>20309060665</v>
      </c>
      <c r="B1324" t="s">
        <v>1340</v>
      </c>
      <c r="C1324">
        <v>16.38</v>
      </c>
      <c r="D1324">
        <v>15</v>
      </c>
      <c r="E1324">
        <v>13.922999999999998</v>
      </c>
      <c r="F1324" t="s">
        <v>78</v>
      </c>
      <c r="G1324" t="s">
        <v>79</v>
      </c>
      <c r="H1324" t="str">
        <f>IF(COUNTIF(Sheet1!$A:$A,TEXT(A1324,"0"))+COUNTIF(Sheet1!$A:$A,A1324)&gt;0,"موجود","غير موجود")</f>
        <v>موجود</v>
      </c>
    </row>
    <row r="1325" spans="1:8" x14ac:dyDescent="0.2">
      <c r="A1325">
        <v>20309060667</v>
      </c>
      <c r="B1325" t="s">
        <v>1341</v>
      </c>
      <c r="C1325">
        <v>16.274999999999999</v>
      </c>
      <c r="D1325">
        <v>15</v>
      </c>
      <c r="E1325">
        <v>13.833749999999998</v>
      </c>
      <c r="F1325" t="s">
        <v>78</v>
      </c>
      <c r="G1325" t="s">
        <v>79</v>
      </c>
      <c r="H1325" t="str">
        <f>IF(COUNTIF(Sheet1!$A:$A,TEXT(A1325,"0"))+COUNTIF(Sheet1!$A:$A,A1325)&gt;0,"موجود","غير موجود")</f>
        <v>موجود</v>
      </c>
    </row>
    <row r="1326" spans="1:8" x14ac:dyDescent="0.2">
      <c r="A1326">
        <v>20309060670</v>
      </c>
      <c r="B1326" t="s">
        <v>1342</v>
      </c>
      <c r="C1326">
        <v>20.265000000000001</v>
      </c>
      <c r="D1326">
        <v>15</v>
      </c>
      <c r="E1326">
        <v>17.225249999999999</v>
      </c>
      <c r="F1326" t="s">
        <v>78</v>
      </c>
      <c r="G1326" t="s">
        <v>79</v>
      </c>
      <c r="H1326" t="str">
        <f>IF(COUNTIF(Sheet1!$A:$A,TEXT(A1326,"0"))+COUNTIF(Sheet1!$A:$A,A1326)&gt;0,"موجود","غير موجود")</f>
        <v>موجود</v>
      </c>
    </row>
    <row r="1327" spans="1:8" x14ac:dyDescent="0.2">
      <c r="A1327">
        <v>20309060671</v>
      </c>
      <c r="B1327" t="s">
        <v>1343</v>
      </c>
      <c r="C1327">
        <v>16.38</v>
      </c>
      <c r="D1327">
        <v>15</v>
      </c>
      <c r="E1327">
        <v>13.922999999999998</v>
      </c>
      <c r="F1327" t="s">
        <v>78</v>
      </c>
      <c r="G1327" t="s">
        <v>79</v>
      </c>
      <c r="H1327" t="str">
        <f>IF(COUNTIF(Sheet1!$A:$A,TEXT(A1327,"0"))+COUNTIF(Sheet1!$A:$A,A1327)&gt;0,"موجود","غير موجود")</f>
        <v>موجود</v>
      </c>
    </row>
    <row r="1328" spans="1:8" x14ac:dyDescent="0.2">
      <c r="A1328">
        <v>20309060734</v>
      </c>
      <c r="B1328" t="s">
        <v>1344</v>
      </c>
      <c r="C1328">
        <v>20.265000000000001</v>
      </c>
      <c r="D1328">
        <v>15</v>
      </c>
      <c r="E1328">
        <v>17.225249999999999</v>
      </c>
      <c r="F1328" t="s">
        <v>78</v>
      </c>
      <c r="G1328" t="s">
        <v>79</v>
      </c>
      <c r="H1328" t="str">
        <f>IF(COUNTIF(Sheet1!$A:$A,TEXT(A1328,"0"))+COUNTIF(Sheet1!$A:$A,A1328)&gt;0,"موجود","غير موجود")</f>
        <v>غير موجود</v>
      </c>
    </row>
    <row r="1329" spans="1:8" x14ac:dyDescent="0.2">
      <c r="A1329">
        <v>20309060763</v>
      </c>
      <c r="B1329" t="s">
        <v>1345</v>
      </c>
      <c r="C1329">
        <v>20.097000000000001</v>
      </c>
      <c r="D1329">
        <v>15</v>
      </c>
      <c r="E1329">
        <v>17.082450000000001</v>
      </c>
      <c r="F1329" t="s">
        <v>78</v>
      </c>
      <c r="G1329" t="s">
        <v>79</v>
      </c>
      <c r="H1329" t="str">
        <f>IF(COUNTIF(Sheet1!$A:$A,TEXT(A1329,"0"))+COUNTIF(Sheet1!$A:$A,A1329)&gt;0,"موجود","غير موجود")</f>
        <v>موجود</v>
      </c>
    </row>
    <row r="1330" spans="1:8" x14ac:dyDescent="0.2">
      <c r="A1330">
        <v>20309060764</v>
      </c>
      <c r="B1330" t="s">
        <v>1346</v>
      </c>
      <c r="C1330">
        <v>22.05</v>
      </c>
      <c r="D1330">
        <v>15</v>
      </c>
      <c r="E1330">
        <v>18.7425</v>
      </c>
      <c r="F1330" t="s">
        <v>78</v>
      </c>
      <c r="G1330" t="s">
        <v>79</v>
      </c>
      <c r="H1330" t="str">
        <f>IF(COUNTIF(Sheet1!$A:$A,TEXT(A1330,"0"))+COUNTIF(Sheet1!$A:$A,A1330)&gt;0,"موجود","غير موجود")</f>
        <v>موجود</v>
      </c>
    </row>
    <row r="1331" spans="1:8" x14ac:dyDescent="0.2">
      <c r="A1331">
        <v>20309060765</v>
      </c>
      <c r="B1331" t="s">
        <v>1347</v>
      </c>
      <c r="C1331">
        <v>16.38</v>
      </c>
      <c r="D1331">
        <v>15</v>
      </c>
      <c r="E1331">
        <v>13.922999999999998</v>
      </c>
      <c r="F1331" t="s">
        <v>78</v>
      </c>
      <c r="G1331" t="s">
        <v>79</v>
      </c>
      <c r="H1331" t="str">
        <f>IF(COUNTIF(Sheet1!$A:$A,TEXT(A1331,"0"))+COUNTIF(Sheet1!$A:$A,A1331)&gt;0,"موجود","غير موجود")</f>
        <v>موجود</v>
      </c>
    </row>
    <row r="1332" spans="1:8" x14ac:dyDescent="0.2">
      <c r="A1332">
        <v>20309060766</v>
      </c>
      <c r="B1332" t="s">
        <v>1348</v>
      </c>
      <c r="C1332">
        <v>20.265000000000001</v>
      </c>
      <c r="D1332">
        <v>15</v>
      </c>
      <c r="E1332">
        <v>17.225249999999999</v>
      </c>
      <c r="F1332" t="s">
        <v>78</v>
      </c>
      <c r="G1332" t="s">
        <v>79</v>
      </c>
      <c r="H1332" t="str">
        <f>IF(COUNTIF(Sheet1!$A:$A,TEXT(A1332,"0"))+COUNTIF(Sheet1!$A:$A,A1332)&gt;0,"موجود","غير موجود")</f>
        <v>موجود</v>
      </c>
    </row>
    <row r="1333" spans="1:8" x14ac:dyDescent="0.2">
      <c r="A1333">
        <v>20309500450</v>
      </c>
      <c r="B1333" t="s">
        <v>1349</v>
      </c>
      <c r="C1333">
        <v>20.212499999999999</v>
      </c>
      <c r="D1333">
        <v>15</v>
      </c>
      <c r="E1333">
        <v>17.180624999999999</v>
      </c>
      <c r="F1333" t="s">
        <v>78</v>
      </c>
      <c r="G1333" t="s">
        <v>79</v>
      </c>
      <c r="H1333" t="str">
        <f>IF(COUNTIF(Sheet1!$A:$A,TEXT(A1333,"0"))+COUNTIF(Sheet1!$A:$A,A1333)&gt;0,"موجود","غير موجود")</f>
        <v>موجود</v>
      </c>
    </row>
    <row r="1334" spans="1:8" x14ac:dyDescent="0.2">
      <c r="A1334" t="s">
        <v>66</v>
      </c>
      <c r="B1334" t="s">
        <v>1350</v>
      </c>
      <c r="C1334">
        <v>119</v>
      </c>
      <c r="D1334">
        <v>50</v>
      </c>
      <c r="E1334">
        <v>59.5</v>
      </c>
      <c r="F1334" t="s">
        <v>78</v>
      </c>
      <c r="G1334" t="s">
        <v>83</v>
      </c>
      <c r="H1334" t="str">
        <f>IF(COUNTIF(Sheet1!$A:$A,TEXT(A1334,"0"))+COUNTIF(Sheet1!$A:$A,A1334)&gt;0,"موجود","غير موجود")</f>
        <v>موجود</v>
      </c>
    </row>
    <row r="1335" spans="1:8" x14ac:dyDescent="0.2">
      <c r="A1335" t="s">
        <v>67</v>
      </c>
      <c r="B1335" t="s">
        <v>1351</v>
      </c>
      <c r="C1335">
        <v>104</v>
      </c>
      <c r="D1335">
        <v>50</v>
      </c>
      <c r="E1335">
        <v>52</v>
      </c>
      <c r="F1335" t="s">
        <v>78</v>
      </c>
      <c r="G1335" t="s">
        <v>83</v>
      </c>
      <c r="H1335" t="str">
        <f>IF(COUNTIF(Sheet1!$A:$A,TEXT(A1335,"0"))+COUNTIF(Sheet1!$A:$A,A1335)&gt;0,"موجود","غير موجود")</f>
        <v>موجود</v>
      </c>
    </row>
    <row r="1336" spans="1:8" x14ac:dyDescent="0.2">
      <c r="A1336">
        <v>20315040146</v>
      </c>
      <c r="B1336" t="s">
        <v>1352</v>
      </c>
      <c r="C1336">
        <v>25</v>
      </c>
      <c r="D1336">
        <v>35</v>
      </c>
      <c r="E1336">
        <v>16.25</v>
      </c>
      <c r="F1336" t="s">
        <v>78</v>
      </c>
      <c r="G1336" t="s">
        <v>79</v>
      </c>
      <c r="H1336" t="str">
        <f>IF(COUNTIF(Sheet1!$A:$A,TEXT(A1336,"0"))+COUNTIF(Sheet1!$A:$A,A1336)&gt;0,"موجود","غير موجود")</f>
        <v>موجود</v>
      </c>
    </row>
    <row r="1337" spans="1:8" x14ac:dyDescent="0.2">
      <c r="A1337">
        <v>20315040633</v>
      </c>
      <c r="B1337" t="s">
        <v>1353</v>
      </c>
      <c r="C1337">
        <v>30</v>
      </c>
      <c r="D1337">
        <v>35</v>
      </c>
      <c r="E1337">
        <v>19.5</v>
      </c>
      <c r="F1337" t="s">
        <v>78</v>
      </c>
      <c r="G1337" t="s">
        <v>79</v>
      </c>
      <c r="H1337" t="str">
        <f>IF(COUNTIF(Sheet1!$A:$A,TEXT(A1337,"0"))+COUNTIF(Sheet1!$A:$A,A1337)&gt;0,"موجود","غير موجود")</f>
        <v>موجود</v>
      </c>
    </row>
    <row r="1338" spans="1:8" x14ac:dyDescent="0.2">
      <c r="A1338">
        <v>20315040684</v>
      </c>
      <c r="B1338" t="s">
        <v>1354</v>
      </c>
      <c r="C1338">
        <v>45.15</v>
      </c>
      <c r="D1338">
        <v>35</v>
      </c>
      <c r="E1338">
        <v>29.347499999999997</v>
      </c>
      <c r="F1338" t="s">
        <v>78</v>
      </c>
      <c r="G1338" t="s">
        <v>79</v>
      </c>
      <c r="H1338" t="str">
        <f>IF(COUNTIF(Sheet1!$A:$A,TEXT(A1338,"0"))+COUNTIF(Sheet1!$A:$A,A1338)&gt;0,"موجود","غير موجود")</f>
        <v>موجود</v>
      </c>
    </row>
    <row r="1339" spans="1:8" x14ac:dyDescent="0.2">
      <c r="A1339">
        <v>20309011092</v>
      </c>
      <c r="B1339" t="s">
        <v>1355</v>
      </c>
      <c r="C1339">
        <v>34</v>
      </c>
      <c r="D1339">
        <v>25</v>
      </c>
      <c r="E1339">
        <v>25.5</v>
      </c>
      <c r="F1339" t="s">
        <v>78</v>
      </c>
      <c r="G1339" t="s">
        <v>79</v>
      </c>
      <c r="H1339" t="str">
        <f>IF(COUNTIF(Sheet1!$A:$A,TEXT(A1339,"0"))+COUNTIF(Sheet1!$A:$A,A1339)&gt;0,"موجود","غير موجود")</f>
        <v>موجود</v>
      </c>
    </row>
    <row r="1340" spans="1:8" x14ac:dyDescent="0.2">
      <c r="A1340">
        <v>20309070029</v>
      </c>
      <c r="B1340" t="s">
        <v>1356</v>
      </c>
      <c r="C1340">
        <v>28</v>
      </c>
      <c r="D1340">
        <v>25</v>
      </c>
      <c r="E1340">
        <v>21</v>
      </c>
      <c r="F1340" t="s">
        <v>78</v>
      </c>
      <c r="G1340" t="s">
        <v>79</v>
      </c>
      <c r="H1340" t="str">
        <f>IF(COUNTIF(Sheet1!$A:$A,TEXT(A1340,"0"))+COUNTIF(Sheet1!$A:$A,A1340)&gt;0,"موجود","غير موجود")</f>
        <v>موجود</v>
      </c>
    </row>
    <row r="1341" spans="1:8" x14ac:dyDescent="0.2">
      <c r="A1341">
        <v>20309070031</v>
      </c>
      <c r="B1341" t="s">
        <v>1357</v>
      </c>
      <c r="C1341">
        <v>17</v>
      </c>
      <c r="D1341">
        <v>25</v>
      </c>
      <c r="E1341">
        <v>12.75</v>
      </c>
      <c r="F1341" t="s">
        <v>78</v>
      </c>
      <c r="G1341" t="s">
        <v>79</v>
      </c>
      <c r="H1341" t="str">
        <f>IF(COUNTIF(Sheet1!$A:$A,TEXT(A1341,"0"))+COUNTIF(Sheet1!$A:$A,A1341)&gt;0,"موجود","غير موجود")</f>
        <v>موجود</v>
      </c>
    </row>
    <row r="1342" spans="1:8" x14ac:dyDescent="0.2">
      <c r="A1342">
        <v>20309070036</v>
      </c>
      <c r="B1342" t="s">
        <v>1358</v>
      </c>
      <c r="C1342">
        <v>40.9</v>
      </c>
      <c r="D1342">
        <v>25</v>
      </c>
      <c r="E1342">
        <v>30.674999999999997</v>
      </c>
      <c r="F1342" t="s">
        <v>78</v>
      </c>
      <c r="G1342" t="s">
        <v>79</v>
      </c>
      <c r="H1342" t="str">
        <f>IF(COUNTIF(Sheet1!$A:$A,TEXT(A1342,"0"))+COUNTIF(Sheet1!$A:$A,A1342)&gt;0,"موجود","غير موجود")</f>
        <v>موجود</v>
      </c>
    </row>
    <row r="1343" spans="1:8" x14ac:dyDescent="0.2">
      <c r="A1343">
        <v>20309070037</v>
      </c>
      <c r="B1343" t="s">
        <v>1359</v>
      </c>
      <c r="C1343">
        <v>45.7</v>
      </c>
      <c r="D1343">
        <v>25</v>
      </c>
      <c r="E1343">
        <v>34.275000000000006</v>
      </c>
      <c r="F1343" t="s">
        <v>78</v>
      </c>
      <c r="G1343" t="s">
        <v>79</v>
      </c>
      <c r="H1343" t="str">
        <f>IF(COUNTIF(Sheet1!$A:$A,TEXT(A1343,"0"))+COUNTIF(Sheet1!$A:$A,A1343)&gt;0,"موجود","غير موجود")</f>
        <v>موجود</v>
      </c>
    </row>
    <row r="1344" spans="1:8" x14ac:dyDescent="0.2">
      <c r="A1344">
        <v>20309070042</v>
      </c>
      <c r="B1344" t="s">
        <v>1360</v>
      </c>
      <c r="C1344">
        <v>26.9</v>
      </c>
      <c r="D1344">
        <v>25</v>
      </c>
      <c r="E1344">
        <v>20.174999999999997</v>
      </c>
      <c r="F1344" t="s">
        <v>78</v>
      </c>
      <c r="G1344" t="s">
        <v>79</v>
      </c>
      <c r="H1344" t="str">
        <f>IF(COUNTIF(Sheet1!$A:$A,TEXT(A1344,"0"))+COUNTIF(Sheet1!$A:$A,A1344)&gt;0,"موجود","غير موجود")</f>
        <v>موجود</v>
      </c>
    </row>
    <row r="1345" spans="1:8" x14ac:dyDescent="0.2">
      <c r="A1345">
        <v>20309070045</v>
      </c>
      <c r="B1345" t="s">
        <v>1361</v>
      </c>
      <c r="C1345">
        <v>21.5</v>
      </c>
      <c r="D1345">
        <v>25</v>
      </c>
      <c r="E1345">
        <v>16.125</v>
      </c>
      <c r="F1345" t="s">
        <v>78</v>
      </c>
      <c r="G1345" t="s">
        <v>79</v>
      </c>
      <c r="H1345" t="str">
        <f>IF(COUNTIF(Sheet1!$A:$A,TEXT(A1345,"0"))+COUNTIF(Sheet1!$A:$A,A1345)&gt;0,"موجود","غير موجود")</f>
        <v>موجود</v>
      </c>
    </row>
    <row r="1346" spans="1:8" x14ac:dyDescent="0.2">
      <c r="A1346">
        <v>20309070052</v>
      </c>
      <c r="B1346" t="s">
        <v>1362</v>
      </c>
      <c r="C1346">
        <v>26</v>
      </c>
      <c r="D1346">
        <v>25</v>
      </c>
      <c r="E1346">
        <v>19.5</v>
      </c>
      <c r="F1346" t="s">
        <v>78</v>
      </c>
      <c r="G1346" t="s">
        <v>79</v>
      </c>
      <c r="H1346" t="str">
        <f>IF(COUNTIF(Sheet1!$A:$A,TEXT(A1346,"0"))+COUNTIF(Sheet1!$A:$A,A1346)&gt;0,"موجود","غير موجود")</f>
        <v>غير موجود</v>
      </c>
    </row>
    <row r="1347" spans="1:8" x14ac:dyDescent="0.2">
      <c r="A1347">
        <v>20309070054</v>
      </c>
      <c r="B1347" t="s">
        <v>1363</v>
      </c>
      <c r="C1347">
        <v>17.2</v>
      </c>
      <c r="D1347">
        <v>25</v>
      </c>
      <c r="E1347">
        <v>12.899999999999999</v>
      </c>
      <c r="F1347" t="s">
        <v>78</v>
      </c>
      <c r="G1347" t="s">
        <v>79</v>
      </c>
      <c r="H1347" t="str">
        <f>IF(COUNTIF(Sheet1!$A:$A,TEXT(A1347,"0"))+COUNTIF(Sheet1!$A:$A,A1347)&gt;0,"موجود","غير موجود")</f>
        <v>موجود</v>
      </c>
    </row>
    <row r="1348" spans="1:8" x14ac:dyDescent="0.2">
      <c r="A1348">
        <v>20309070068</v>
      </c>
      <c r="B1348" t="s">
        <v>1364</v>
      </c>
      <c r="C1348">
        <v>15</v>
      </c>
      <c r="D1348">
        <v>25</v>
      </c>
      <c r="E1348">
        <v>11.25</v>
      </c>
      <c r="F1348" t="s">
        <v>78</v>
      </c>
      <c r="G1348" t="s">
        <v>79</v>
      </c>
      <c r="H1348" t="str">
        <f>IF(COUNTIF(Sheet1!$A:$A,TEXT(A1348,"0"))+COUNTIF(Sheet1!$A:$A,A1348)&gt;0,"موجود","غير موجود")</f>
        <v>موجود</v>
      </c>
    </row>
    <row r="1349" spans="1:8" x14ac:dyDescent="0.2">
      <c r="A1349">
        <v>20309070069</v>
      </c>
      <c r="B1349" t="s">
        <v>1365</v>
      </c>
      <c r="C1349">
        <v>15</v>
      </c>
      <c r="D1349">
        <v>25</v>
      </c>
      <c r="E1349">
        <v>11.25</v>
      </c>
      <c r="F1349" t="s">
        <v>78</v>
      </c>
      <c r="G1349" t="s">
        <v>79</v>
      </c>
      <c r="H1349" t="str">
        <f>IF(COUNTIF(Sheet1!$A:$A,TEXT(A1349,"0"))+COUNTIF(Sheet1!$A:$A,A1349)&gt;0,"موجود","غير موجود")</f>
        <v>موجود</v>
      </c>
    </row>
    <row r="1350" spans="1:8" x14ac:dyDescent="0.2">
      <c r="A1350">
        <v>20309501506</v>
      </c>
      <c r="B1350" t="s">
        <v>1366</v>
      </c>
      <c r="C1350">
        <v>16.5</v>
      </c>
      <c r="D1350">
        <v>25</v>
      </c>
      <c r="E1350">
        <v>12.375</v>
      </c>
      <c r="F1350" t="s">
        <v>78</v>
      </c>
      <c r="G1350" t="s">
        <v>79</v>
      </c>
      <c r="H1350" t="str">
        <f>IF(COUNTIF(Sheet1!$A:$A,TEXT(A1350,"0"))+COUNTIF(Sheet1!$A:$A,A1350)&gt;0,"موجود","غير موجود")</f>
        <v>غير موجود</v>
      </c>
    </row>
    <row r="1351" spans="1:8" x14ac:dyDescent="0.2">
      <c r="A1351">
        <v>20309501584</v>
      </c>
      <c r="B1351" t="s">
        <v>1367</v>
      </c>
      <c r="C1351">
        <v>20</v>
      </c>
      <c r="D1351">
        <v>25</v>
      </c>
      <c r="E1351">
        <v>15</v>
      </c>
      <c r="F1351" t="s">
        <v>78</v>
      </c>
      <c r="G1351" t="s">
        <v>79</v>
      </c>
      <c r="H1351" t="str">
        <f>IF(COUNTIF(Sheet1!$A:$A,TEXT(A1351,"0"))+COUNTIF(Sheet1!$A:$A,A1351)&gt;0,"موجود","غير موجود")</f>
        <v>غير موجود</v>
      </c>
    </row>
    <row r="1352" spans="1:8" x14ac:dyDescent="0.2">
      <c r="A1352">
        <v>20309501585</v>
      </c>
      <c r="B1352" t="s">
        <v>1368</v>
      </c>
      <c r="C1352">
        <v>30</v>
      </c>
      <c r="D1352">
        <v>25</v>
      </c>
      <c r="E1352">
        <v>22.5</v>
      </c>
      <c r="F1352" t="s">
        <v>78</v>
      </c>
      <c r="G1352" t="s">
        <v>79</v>
      </c>
      <c r="H1352" t="str">
        <f>IF(COUNTIF(Sheet1!$A:$A,TEXT(A1352,"0"))+COUNTIF(Sheet1!$A:$A,A1352)&gt;0,"موجود","غير موجود")</f>
        <v>غير موجود</v>
      </c>
    </row>
    <row r="1353" spans="1:8" x14ac:dyDescent="0.2">
      <c r="A1353">
        <v>20309501586</v>
      </c>
      <c r="B1353" t="s">
        <v>1369</v>
      </c>
      <c r="C1353">
        <v>32</v>
      </c>
      <c r="D1353">
        <v>25</v>
      </c>
      <c r="E1353">
        <v>24</v>
      </c>
      <c r="F1353" t="s">
        <v>78</v>
      </c>
      <c r="G1353" t="s">
        <v>79</v>
      </c>
      <c r="H1353" t="str">
        <f>IF(COUNTIF(Sheet1!$A:$A,TEXT(A1353,"0"))+COUNTIF(Sheet1!$A:$A,A1353)&gt;0,"موجود","غير موجود")</f>
        <v>غير موجود</v>
      </c>
    </row>
    <row r="1354" spans="1:8" x14ac:dyDescent="0.2">
      <c r="A1354">
        <v>20309501587</v>
      </c>
      <c r="B1354" t="s">
        <v>1370</v>
      </c>
      <c r="C1354">
        <v>39</v>
      </c>
      <c r="D1354">
        <v>25</v>
      </c>
      <c r="E1354">
        <v>29.25</v>
      </c>
      <c r="F1354" t="s">
        <v>78</v>
      </c>
      <c r="G1354" t="s">
        <v>79</v>
      </c>
      <c r="H1354" t="str">
        <f>IF(COUNTIF(Sheet1!$A:$A,TEXT(A1354,"0"))+COUNTIF(Sheet1!$A:$A,A1354)&gt;0,"موجود","غير موجود")</f>
        <v>غير موجود</v>
      </c>
    </row>
    <row r="1355" spans="1:8" x14ac:dyDescent="0.2">
      <c r="A1355">
        <v>20816010007</v>
      </c>
      <c r="B1355" t="s">
        <v>1371</v>
      </c>
      <c r="C1355">
        <v>15</v>
      </c>
      <c r="D1355">
        <v>25</v>
      </c>
      <c r="E1355">
        <v>11.25</v>
      </c>
      <c r="F1355" t="s">
        <v>78</v>
      </c>
      <c r="G1355" t="s">
        <v>79</v>
      </c>
      <c r="H1355" t="str">
        <f>IF(COUNTIF(Sheet1!$A:$A,TEXT(A1355,"0"))+COUNTIF(Sheet1!$A:$A,A1355)&gt;0,"موجود","غير موجود")</f>
        <v>موجود</v>
      </c>
    </row>
    <row r="1356" spans="1:8" x14ac:dyDescent="0.2">
      <c r="A1356">
        <v>20816010011</v>
      </c>
      <c r="B1356" t="s">
        <v>1372</v>
      </c>
      <c r="C1356">
        <v>15</v>
      </c>
      <c r="D1356">
        <v>25</v>
      </c>
      <c r="E1356">
        <v>11.25</v>
      </c>
      <c r="F1356" t="s">
        <v>78</v>
      </c>
      <c r="G1356" t="s">
        <v>79</v>
      </c>
      <c r="H1356" t="str">
        <f>IF(COUNTIF(Sheet1!$A:$A,TEXT(A1356,"0"))+COUNTIF(Sheet1!$A:$A,A1356)&gt;0,"موجود","غير موجود")</f>
        <v>موجود</v>
      </c>
    </row>
    <row r="1357" spans="1:8" x14ac:dyDescent="0.2">
      <c r="A1357">
        <v>20816010124</v>
      </c>
      <c r="B1357" t="s">
        <v>1373</v>
      </c>
      <c r="C1357">
        <v>25</v>
      </c>
      <c r="D1357">
        <v>25</v>
      </c>
      <c r="E1357">
        <v>18.75</v>
      </c>
      <c r="F1357" t="s">
        <v>78</v>
      </c>
      <c r="G1357" t="s">
        <v>79</v>
      </c>
      <c r="H1357" t="str">
        <f>IF(COUNTIF(Sheet1!$A:$A,TEXT(A1357,"0"))+COUNTIF(Sheet1!$A:$A,A1357)&gt;0,"موجود","غير موجود")</f>
        <v>غير موجود</v>
      </c>
    </row>
    <row r="1358" spans="1:8" x14ac:dyDescent="0.2">
      <c r="A1358">
        <v>20615010273</v>
      </c>
      <c r="B1358" t="s">
        <v>1374</v>
      </c>
      <c r="C1358">
        <v>98</v>
      </c>
      <c r="D1358">
        <v>20</v>
      </c>
      <c r="E1358">
        <v>78.400000000000006</v>
      </c>
      <c r="F1358" t="s">
        <v>78</v>
      </c>
      <c r="G1358" t="s">
        <v>1375</v>
      </c>
      <c r="H1358" t="str">
        <f>IF(COUNTIF(Sheet1!$A:$A,TEXT(A1358,"0"))+COUNTIF(Sheet1!$A:$A,A1358)&gt;0,"موجود","غير موجود")</f>
        <v>موجود</v>
      </c>
    </row>
    <row r="1359" spans="1:8" x14ac:dyDescent="0.2">
      <c r="A1359">
        <v>20615010036</v>
      </c>
      <c r="B1359" t="s">
        <v>1376</v>
      </c>
      <c r="C1359">
        <v>98</v>
      </c>
      <c r="D1359">
        <v>20</v>
      </c>
      <c r="E1359">
        <v>78.400000000000006</v>
      </c>
      <c r="F1359" t="s">
        <v>78</v>
      </c>
      <c r="G1359" t="s">
        <v>1375</v>
      </c>
      <c r="H1359" t="str">
        <f>IF(COUNTIF(Sheet1!$A:$A,TEXT(A1359,"0"))+COUNTIF(Sheet1!$A:$A,A1359)&gt;0,"موجود","غير موجود")</f>
        <v>موجود</v>
      </c>
    </row>
    <row r="1360" spans="1:8" x14ac:dyDescent="0.2">
      <c r="A1360">
        <v>20615010035</v>
      </c>
      <c r="B1360" t="s">
        <v>1377</v>
      </c>
      <c r="C1360">
        <v>98</v>
      </c>
      <c r="D1360">
        <v>20</v>
      </c>
      <c r="E1360">
        <v>78.400000000000006</v>
      </c>
      <c r="F1360" t="s">
        <v>78</v>
      </c>
      <c r="G1360" t="s">
        <v>1375</v>
      </c>
      <c r="H1360" t="str">
        <f>IF(COUNTIF(Sheet1!$A:$A,TEXT(A1360,"0"))+COUNTIF(Sheet1!$A:$A,A1360)&gt;0,"موجود","غير موجود")</f>
        <v>موجود</v>
      </c>
    </row>
    <row r="1361" spans="1:8" x14ac:dyDescent="0.2">
      <c r="A1361">
        <v>20615010015</v>
      </c>
      <c r="B1361" t="s">
        <v>1378</v>
      </c>
      <c r="C1361">
        <v>98</v>
      </c>
      <c r="D1361">
        <v>20</v>
      </c>
      <c r="E1361">
        <v>78.400000000000006</v>
      </c>
      <c r="F1361" t="s">
        <v>78</v>
      </c>
      <c r="G1361" t="s">
        <v>1375</v>
      </c>
      <c r="H1361" t="str">
        <f>IF(COUNTIF(Sheet1!$A:$A,TEXT(A1361,"0"))+COUNTIF(Sheet1!$A:$A,A1361)&gt;0,"موجود","غير موجود")</f>
        <v>موجود</v>
      </c>
    </row>
    <row r="1362" spans="1:8" x14ac:dyDescent="0.2">
      <c r="A1362">
        <v>20615010014</v>
      </c>
      <c r="B1362" t="s">
        <v>1379</v>
      </c>
      <c r="C1362">
        <v>98</v>
      </c>
      <c r="D1362">
        <v>20</v>
      </c>
      <c r="E1362">
        <v>78.400000000000006</v>
      </c>
      <c r="F1362" t="s">
        <v>78</v>
      </c>
      <c r="G1362" t="s">
        <v>1375</v>
      </c>
      <c r="H1362" t="str">
        <f>IF(COUNTIF(Sheet1!$A:$A,TEXT(A1362,"0"))+COUNTIF(Sheet1!$A:$A,A1362)&gt;0,"موجود","غير موجود")</f>
        <v>موجود</v>
      </c>
    </row>
    <row r="1363" spans="1:8" x14ac:dyDescent="0.2">
      <c r="A1363">
        <v>20615010013</v>
      </c>
      <c r="B1363" t="s">
        <v>1380</v>
      </c>
      <c r="C1363">
        <v>98</v>
      </c>
      <c r="D1363">
        <v>20</v>
      </c>
      <c r="E1363">
        <v>78.400000000000006</v>
      </c>
      <c r="F1363" t="s">
        <v>78</v>
      </c>
      <c r="G1363" t="s">
        <v>1375</v>
      </c>
      <c r="H1363" t="str">
        <f>IF(COUNTIF(Sheet1!$A:$A,TEXT(A1363,"0"))+COUNTIF(Sheet1!$A:$A,A1363)&gt;0,"موجود","غير موجود")</f>
        <v>موجود</v>
      </c>
    </row>
    <row r="1364" spans="1:8" x14ac:dyDescent="0.2">
      <c r="A1364">
        <v>20615010012</v>
      </c>
      <c r="B1364" t="s">
        <v>1381</v>
      </c>
      <c r="C1364">
        <v>98</v>
      </c>
      <c r="D1364">
        <v>20</v>
      </c>
      <c r="E1364">
        <v>78.400000000000006</v>
      </c>
      <c r="F1364" t="s">
        <v>78</v>
      </c>
      <c r="G1364" t="s">
        <v>1375</v>
      </c>
      <c r="H1364" t="str">
        <f>IF(COUNTIF(Sheet1!$A:$A,TEXT(A1364,"0"))+COUNTIF(Sheet1!$A:$A,A1364)&gt;0,"موجود","غير موجود")</f>
        <v>موجود</v>
      </c>
    </row>
    <row r="1365" spans="1:8" x14ac:dyDescent="0.2">
      <c r="A1365">
        <v>20615010016</v>
      </c>
      <c r="B1365" t="s">
        <v>1382</v>
      </c>
      <c r="C1365">
        <v>78.25</v>
      </c>
      <c r="D1365">
        <v>11</v>
      </c>
      <c r="E1365">
        <v>69.642499999999998</v>
      </c>
      <c r="F1365" t="s">
        <v>78</v>
      </c>
      <c r="G1365" t="s">
        <v>83</v>
      </c>
      <c r="H1365" t="str">
        <f>IF(COUNTIF(Sheet1!$A:$A,TEXT(A1365,"0"))+COUNTIF(Sheet1!$A:$A,A1365)&gt;0,"موجود","غير موجود")</f>
        <v>موجود</v>
      </c>
    </row>
    <row r="1366" spans="1:8" x14ac:dyDescent="0.2">
      <c r="A1366">
        <v>20615010146</v>
      </c>
      <c r="B1366" t="s">
        <v>1383</v>
      </c>
      <c r="C1366">
        <v>78.25</v>
      </c>
      <c r="D1366">
        <v>11</v>
      </c>
      <c r="E1366">
        <v>69.642499999999998</v>
      </c>
      <c r="F1366" t="s">
        <v>78</v>
      </c>
      <c r="G1366" t="s">
        <v>83</v>
      </c>
      <c r="H1366" t="str">
        <f>IF(COUNTIF(Sheet1!$A:$A,TEXT(A1366,"0"))+COUNTIF(Sheet1!$A:$A,A1366)&gt;0,"موجود","غير موجود")</f>
        <v>موجود</v>
      </c>
    </row>
    <row r="1367" spans="1:8" x14ac:dyDescent="0.2">
      <c r="A1367">
        <v>20615010145</v>
      </c>
      <c r="B1367" t="s">
        <v>1384</v>
      </c>
      <c r="C1367">
        <v>78.25</v>
      </c>
      <c r="D1367">
        <v>11</v>
      </c>
      <c r="E1367">
        <v>69.642499999999998</v>
      </c>
      <c r="F1367" t="s">
        <v>78</v>
      </c>
      <c r="G1367" t="s">
        <v>83</v>
      </c>
      <c r="H1367" t="str">
        <f>IF(COUNTIF(Sheet1!$A:$A,TEXT(A1367,"0"))+COUNTIF(Sheet1!$A:$A,A1367)&gt;0,"موجود","غير موجود")</f>
        <v>موجود</v>
      </c>
    </row>
    <row r="1368" spans="1:8" x14ac:dyDescent="0.2">
      <c r="A1368">
        <v>20615010003</v>
      </c>
      <c r="B1368" t="s">
        <v>1385</v>
      </c>
      <c r="C1368">
        <v>78.25</v>
      </c>
      <c r="D1368">
        <v>11</v>
      </c>
      <c r="E1368">
        <v>69.642499999999998</v>
      </c>
      <c r="F1368" t="s">
        <v>78</v>
      </c>
      <c r="G1368" t="s">
        <v>83</v>
      </c>
      <c r="H1368" t="str">
        <f>IF(COUNTIF(Sheet1!$A:$A,TEXT(A1368,"0"))+COUNTIF(Sheet1!$A:$A,A1368)&gt;0,"موجود","غير موجود")</f>
        <v>موجود</v>
      </c>
    </row>
    <row r="1369" spans="1:8" x14ac:dyDescent="0.2">
      <c r="A1369">
        <v>20615010179</v>
      </c>
      <c r="B1369" t="s">
        <v>1386</v>
      </c>
      <c r="C1369">
        <v>78.25</v>
      </c>
      <c r="D1369">
        <v>11</v>
      </c>
      <c r="E1369">
        <v>69.642499999999998</v>
      </c>
      <c r="F1369" t="s">
        <v>78</v>
      </c>
      <c r="G1369" t="s">
        <v>83</v>
      </c>
      <c r="H1369" t="str">
        <f>IF(COUNTIF(Sheet1!$A:$A,TEXT(A1369,"0"))+COUNTIF(Sheet1!$A:$A,A1369)&gt;0,"موجود","غير موجود")</f>
        <v>موجود</v>
      </c>
    </row>
    <row r="1370" spans="1:8" x14ac:dyDescent="0.2">
      <c r="A1370">
        <v>20615010147</v>
      </c>
      <c r="B1370" t="s">
        <v>1387</v>
      </c>
      <c r="C1370">
        <v>78.25</v>
      </c>
      <c r="D1370">
        <v>11</v>
      </c>
      <c r="E1370">
        <v>69.642499999999998</v>
      </c>
      <c r="F1370" t="s">
        <v>78</v>
      </c>
      <c r="G1370" t="s">
        <v>83</v>
      </c>
      <c r="H1370" t="str">
        <f>IF(COUNTIF(Sheet1!$A:$A,TEXT(A1370,"0"))+COUNTIF(Sheet1!$A:$A,A1370)&gt;0,"موجود","غير موجود")</f>
        <v>موجود</v>
      </c>
    </row>
    <row r="1371" spans="1:8" x14ac:dyDescent="0.2">
      <c r="A1371">
        <v>20615010273</v>
      </c>
      <c r="B1371" t="s">
        <v>1374</v>
      </c>
      <c r="C1371">
        <v>98</v>
      </c>
      <c r="D1371">
        <v>15</v>
      </c>
      <c r="E1371">
        <v>83.3</v>
      </c>
      <c r="F1371" t="s">
        <v>1388</v>
      </c>
      <c r="G1371" t="s">
        <v>83</v>
      </c>
      <c r="H1371" t="str">
        <f>IF(COUNTIF(Sheet1!$A:$A,TEXT(A1371,"0"))+COUNTIF(Sheet1!$A:$A,A1371)&gt;0,"موجود","غير موجود")</f>
        <v>موجود</v>
      </c>
    </row>
    <row r="1372" spans="1:8" x14ac:dyDescent="0.2">
      <c r="A1372">
        <v>20615010036</v>
      </c>
      <c r="B1372" t="s">
        <v>1376</v>
      </c>
      <c r="C1372">
        <v>98</v>
      </c>
      <c r="D1372">
        <v>15</v>
      </c>
      <c r="E1372">
        <v>83.3</v>
      </c>
      <c r="F1372" t="s">
        <v>1388</v>
      </c>
      <c r="G1372" t="s">
        <v>83</v>
      </c>
      <c r="H1372" t="str">
        <f>IF(COUNTIF(Sheet1!$A:$A,TEXT(A1372,"0"))+COUNTIF(Sheet1!$A:$A,A1372)&gt;0,"موجود","غير موجود")</f>
        <v>موجود</v>
      </c>
    </row>
    <row r="1373" spans="1:8" x14ac:dyDescent="0.2">
      <c r="A1373">
        <v>20615010035</v>
      </c>
      <c r="B1373" t="s">
        <v>1377</v>
      </c>
      <c r="C1373">
        <v>98</v>
      </c>
      <c r="D1373">
        <v>15</v>
      </c>
      <c r="E1373">
        <v>83.3</v>
      </c>
      <c r="F1373" t="s">
        <v>1388</v>
      </c>
      <c r="G1373" t="s">
        <v>83</v>
      </c>
      <c r="H1373" t="str">
        <f>IF(COUNTIF(Sheet1!$A:$A,TEXT(A1373,"0"))+COUNTIF(Sheet1!$A:$A,A1373)&gt;0,"موجود","غير موجود")</f>
        <v>موجود</v>
      </c>
    </row>
    <row r="1374" spans="1:8" x14ac:dyDescent="0.2">
      <c r="A1374">
        <v>20615010015</v>
      </c>
      <c r="B1374" t="s">
        <v>1378</v>
      </c>
      <c r="C1374">
        <v>98</v>
      </c>
      <c r="D1374">
        <v>15</v>
      </c>
      <c r="E1374">
        <v>83.3</v>
      </c>
      <c r="F1374" t="s">
        <v>1388</v>
      </c>
      <c r="G1374" t="s">
        <v>83</v>
      </c>
      <c r="H1374" t="str">
        <f>IF(COUNTIF(Sheet1!$A:$A,TEXT(A1374,"0"))+COUNTIF(Sheet1!$A:$A,A1374)&gt;0,"موجود","غير موجود")</f>
        <v>موجود</v>
      </c>
    </row>
    <row r="1375" spans="1:8" x14ac:dyDescent="0.2">
      <c r="A1375">
        <v>20615010014</v>
      </c>
      <c r="B1375" t="s">
        <v>1379</v>
      </c>
      <c r="C1375">
        <v>98</v>
      </c>
      <c r="D1375">
        <v>15</v>
      </c>
      <c r="E1375">
        <v>83.3</v>
      </c>
      <c r="F1375" t="s">
        <v>1388</v>
      </c>
      <c r="G1375" t="s">
        <v>83</v>
      </c>
      <c r="H1375" t="str">
        <f>IF(COUNTIF(Sheet1!$A:$A,TEXT(A1375,"0"))+COUNTIF(Sheet1!$A:$A,A1375)&gt;0,"موجود","غير موجود")</f>
        <v>موجود</v>
      </c>
    </row>
    <row r="1376" spans="1:8" x14ac:dyDescent="0.2">
      <c r="A1376">
        <v>20615010013</v>
      </c>
      <c r="B1376" t="s">
        <v>1380</v>
      </c>
      <c r="C1376">
        <v>98</v>
      </c>
      <c r="D1376">
        <v>15</v>
      </c>
      <c r="E1376">
        <v>83.3</v>
      </c>
      <c r="F1376" t="s">
        <v>1388</v>
      </c>
      <c r="G1376" t="s">
        <v>83</v>
      </c>
      <c r="H1376" t="str">
        <f>IF(COUNTIF(Sheet1!$A:$A,TEXT(A1376,"0"))+COUNTIF(Sheet1!$A:$A,A1376)&gt;0,"موجود","غير موجود")</f>
        <v>موجود</v>
      </c>
    </row>
    <row r="1377" spans="1:8" x14ac:dyDescent="0.2">
      <c r="A1377">
        <v>20615010012</v>
      </c>
      <c r="B1377" t="s">
        <v>1381</v>
      </c>
      <c r="C1377">
        <v>98</v>
      </c>
      <c r="D1377">
        <v>15</v>
      </c>
      <c r="E1377">
        <v>83.3</v>
      </c>
      <c r="F1377" t="s">
        <v>1388</v>
      </c>
      <c r="G1377" t="s">
        <v>83</v>
      </c>
      <c r="H1377" t="str">
        <f>IF(COUNTIF(Sheet1!$A:$A,TEXT(A1377,"0"))+COUNTIF(Sheet1!$A:$A,A1377)&gt;0,"موجود","غير موجود")</f>
        <v>موجود</v>
      </c>
    </row>
    <row r="1378" spans="1:8" x14ac:dyDescent="0.2">
      <c r="A1378">
        <v>20615010368</v>
      </c>
      <c r="B1378" t="s">
        <v>1389</v>
      </c>
      <c r="C1378">
        <v>64.75</v>
      </c>
      <c r="D1378">
        <v>10</v>
      </c>
      <c r="E1378">
        <v>58.274999999999999</v>
      </c>
      <c r="F1378" t="s">
        <v>78</v>
      </c>
      <c r="G1378" t="s">
        <v>83</v>
      </c>
      <c r="H1378" t="str">
        <f>IF(COUNTIF(Sheet1!$A:$A,TEXT(A1378,"0"))+COUNTIF(Sheet1!$A:$A,A1378)&gt;0,"موجود","غير موجود")</f>
        <v>موجود</v>
      </c>
    </row>
    <row r="1379" spans="1:8" x14ac:dyDescent="0.2">
      <c r="A1379">
        <v>20615010425</v>
      </c>
      <c r="B1379" t="s">
        <v>1390</v>
      </c>
      <c r="C1379">
        <v>36</v>
      </c>
      <c r="D1379">
        <v>12.5</v>
      </c>
      <c r="E1379">
        <v>31.5</v>
      </c>
      <c r="F1379" t="s">
        <v>78</v>
      </c>
      <c r="G1379" t="s">
        <v>83</v>
      </c>
      <c r="H1379" t="str">
        <f>IF(COUNTIF(Sheet1!$A:$A,TEXT(A1379,"0"))+COUNTIF(Sheet1!$A:$A,A1379)&gt;0,"موجود","غير موجود")</f>
        <v>موجود</v>
      </c>
    </row>
    <row r="1380" spans="1:8" x14ac:dyDescent="0.2">
      <c r="A1380">
        <v>20615010424</v>
      </c>
      <c r="B1380" t="s">
        <v>1391</v>
      </c>
      <c r="C1380">
        <v>36</v>
      </c>
      <c r="D1380">
        <v>12.5</v>
      </c>
      <c r="E1380">
        <v>31.5</v>
      </c>
      <c r="F1380" t="s">
        <v>78</v>
      </c>
      <c r="G1380" t="s">
        <v>83</v>
      </c>
      <c r="H1380" t="str">
        <f>IF(COUNTIF(Sheet1!$A:$A,TEXT(A1380,"0"))+COUNTIF(Sheet1!$A:$A,A1380)&gt;0,"موجود","غير موجود")</f>
        <v>موجود</v>
      </c>
    </row>
    <row r="1381" spans="1:8" x14ac:dyDescent="0.2">
      <c r="A1381">
        <v>20615010423</v>
      </c>
      <c r="B1381" t="s">
        <v>1392</v>
      </c>
      <c r="C1381">
        <v>36</v>
      </c>
      <c r="D1381">
        <v>12.5</v>
      </c>
      <c r="E1381">
        <v>31.5</v>
      </c>
      <c r="F1381" t="s">
        <v>78</v>
      </c>
      <c r="G1381" t="s">
        <v>83</v>
      </c>
      <c r="H1381" t="str">
        <f>IF(COUNTIF(Sheet1!$A:$A,TEXT(A1381,"0"))+COUNTIF(Sheet1!$A:$A,A1381)&gt;0,"موجود","غير موجود")</f>
        <v>موجود</v>
      </c>
    </row>
    <row r="1382" spans="1:8" x14ac:dyDescent="0.2">
      <c r="A1382">
        <v>20615010422</v>
      </c>
      <c r="B1382" t="s">
        <v>1393</v>
      </c>
      <c r="C1382">
        <v>36</v>
      </c>
      <c r="D1382">
        <v>12.5</v>
      </c>
      <c r="E1382">
        <v>31.5</v>
      </c>
      <c r="F1382" t="s">
        <v>78</v>
      </c>
      <c r="G1382" t="s">
        <v>83</v>
      </c>
      <c r="H1382" t="str">
        <f>IF(COUNTIF(Sheet1!$A:$A,TEXT(A1382,"0"))+COUNTIF(Sheet1!$A:$A,A1382)&gt;0,"موجود","غير موجود")</f>
        <v>موجود</v>
      </c>
    </row>
    <row r="1383" spans="1:8" x14ac:dyDescent="0.2">
      <c r="A1383">
        <v>20615010421</v>
      </c>
      <c r="B1383" t="s">
        <v>1394</v>
      </c>
      <c r="C1383">
        <v>36</v>
      </c>
      <c r="D1383">
        <v>12.5</v>
      </c>
      <c r="E1383">
        <v>31.5</v>
      </c>
      <c r="F1383" t="s">
        <v>78</v>
      </c>
      <c r="G1383" t="s">
        <v>83</v>
      </c>
      <c r="H1383" t="str">
        <f>IF(COUNTIF(Sheet1!$A:$A,TEXT(A1383,"0"))+COUNTIF(Sheet1!$A:$A,A1383)&gt;0,"موجود","غير موجود")</f>
        <v>موجود</v>
      </c>
    </row>
    <row r="1384" spans="1:8" x14ac:dyDescent="0.2">
      <c r="A1384">
        <v>20615010420</v>
      </c>
      <c r="B1384" t="s">
        <v>1395</v>
      </c>
      <c r="C1384">
        <v>36</v>
      </c>
      <c r="D1384">
        <v>12.5</v>
      </c>
      <c r="E1384">
        <v>31.5</v>
      </c>
      <c r="F1384" t="s">
        <v>78</v>
      </c>
      <c r="G1384" t="s">
        <v>83</v>
      </c>
      <c r="H1384" t="str">
        <f>IF(COUNTIF(Sheet1!$A:$A,TEXT(A1384,"0"))+COUNTIF(Sheet1!$A:$A,A1384)&gt;0,"موجود","غير موجود")</f>
        <v>موجود</v>
      </c>
    </row>
    <row r="1385" spans="1:8" x14ac:dyDescent="0.2">
      <c r="A1385">
        <v>20309011820</v>
      </c>
      <c r="B1385" t="s">
        <v>1396</v>
      </c>
      <c r="C1385">
        <v>24.5</v>
      </c>
      <c r="D1385">
        <v>15</v>
      </c>
      <c r="E1385">
        <v>20.824999999999999</v>
      </c>
      <c r="F1385" t="s">
        <v>78</v>
      </c>
      <c r="G1385" t="s">
        <v>79</v>
      </c>
      <c r="H1385" t="str">
        <f>IF(COUNTIF(Sheet1!$A:$A,TEXT(A1385,"0"))+COUNTIF(Sheet1!$A:$A,A1385)&gt;0,"موجود","غير موجود")</f>
        <v>غير موجود</v>
      </c>
    </row>
    <row r="1386" spans="1:8" x14ac:dyDescent="0.2">
      <c r="A1386">
        <v>20309011821</v>
      </c>
      <c r="B1386" t="s">
        <v>1397</v>
      </c>
      <c r="C1386">
        <v>22.8</v>
      </c>
      <c r="D1386">
        <v>15</v>
      </c>
      <c r="E1386">
        <v>19.380000000000003</v>
      </c>
      <c r="F1386" t="s">
        <v>78</v>
      </c>
      <c r="G1386" t="s">
        <v>79</v>
      </c>
      <c r="H1386" t="str">
        <f>IF(COUNTIF(Sheet1!$A:$A,TEXT(A1386,"0"))+COUNTIF(Sheet1!$A:$A,A1386)&gt;0,"موجود","غير موجود")</f>
        <v>موجود</v>
      </c>
    </row>
    <row r="1387" spans="1:8" x14ac:dyDescent="0.2">
      <c r="A1387">
        <v>20309011717</v>
      </c>
      <c r="B1387" t="s">
        <v>1398</v>
      </c>
      <c r="C1387">
        <v>20.149999999999999</v>
      </c>
      <c r="D1387">
        <v>15</v>
      </c>
      <c r="E1387">
        <v>17.127499999999998</v>
      </c>
      <c r="F1387" t="s">
        <v>78</v>
      </c>
      <c r="G1387" t="s">
        <v>79</v>
      </c>
      <c r="H1387" t="str">
        <f>IF(COUNTIF(Sheet1!$A:$A,TEXT(A1387,"0"))+COUNTIF(Sheet1!$A:$A,A1387)&gt;0,"موجود","غير موجود")</f>
        <v>موجود</v>
      </c>
    </row>
    <row r="1388" spans="1:8" x14ac:dyDescent="0.2">
      <c r="A1388">
        <v>20309010768</v>
      </c>
      <c r="B1388" t="s">
        <v>1399</v>
      </c>
      <c r="C1388">
        <v>20.149999999999999</v>
      </c>
      <c r="D1388">
        <v>15</v>
      </c>
      <c r="E1388">
        <v>17.127499999999998</v>
      </c>
      <c r="F1388" t="s">
        <v>78</v>
      </c>
      <c r="G1388" t="s">
        <v>79</v>
      </c>
      <c r="H1388" t="str">
        <f>IF(COUNTIF(Sheet1!$A:$A,TEXT(A1388,"0"))+COUNTIF(Sheet1!$A:$A,A1388)&gt;0,"موجود","غير موجود")</f>
        <v>موجود</v>
      </c>
    </row>
    <row r="1389" spans="1:8" x14ac:dyDescent="0.2">
      <c r="A1389">
        <v>20309010769</v>
      </c>
      <c r="B1389" t="s">
        <v>1400</v>
      </c>
      <c r="C1389">
        <v>30</v>
      </c>
      <c r="D1389">
        <v>15</v>
      </c>
      <c r="E1389">
        <v>25.5</v>
      </c>
      <c r="F1389" t="s">
        <v>78</v>
      </c>
      <c r="G1389" t="s">
        <v>79</v>
      </c>
      <c r="H1389" t="str">
        <f>IF(COUNTIF(Sheet1!$A:$A,TEXT(A1389,"0"))+COUNTIF(Sheet1!$A:$A,A1389)&gt;0,"موجود","غير موجود")</f>
        <v>غير موجود</v>
      </c>
    </row>
    <row r="1390" spans="1:8" x14ac:dyDescent="0.2">
      <c r="A1390">
        <v>20309010123</v>
      </c>
      <c r="B1390" t="s">
        <v>1401</v>
      </c>
      <c r="C1390">
        <v>20.149999999999999</v>
      </c>
      <c r="D1390">
        <v>15</v>
      </c>
      <c r="E1390">
        <v>17.127499999999998</v>
      </c>
      <c r="F1390" t="s">
        <v>78</v>
      </c>
      <c r="G1390" t="s">
        <v>79</v>
      </c>
      <c r="H1390" t="str">
        <f>IF(COUNTIF(Sheet1!$A:$A,TEXT(A1390,"0"))+COUNTIF(Sheet1!$A:$A,A1390)&gt;0,"موجود","غير موجود")</f>
        <v>غير موجود</v>
      </c>
    </row>
    <row r="1391" spans="1:8" x14ac:dyDescent="0.2">
      <c r="A1391">
        <v>20309010129</v>
      </c>
      <c r="B1391" t="s">
        <v>1402</v>
      </c>
      <c r="C1391">
        <v>30</v>
      </c>
      <c r="D1391">
        <v>15</v>
      </c>
      <c r="E1391">
        <v>25.5</v>
      </c>
      <c r="F1391" t="s">
        <v>78</v>
      </c>
      <c r="G1391" t="s">
        <v>79</v>
      </c>
      <c r="H1391" t="str">
        <f>IF(COUNTIF(Sheet1!$A:$A,TEXT(A1391,"0"))+COUNTIF(Sheet1!$A:$A,A1391)&gt;0,"موجود","غير موجود")</f>
        <v>غير موجود</v>
      </c>
    </row>
    <row r="1392" spans="1:8" x14ac:dyDescent="0.2">
      <c r="A1392">
        <v>20309010125</v>
      </c>
      <c r="B1392" t="s">
        <v>1403</v>
      </c>
      <c r="C1392">
        <v>20.149999999999999</v>
      </c>
      <c r="D1392">
        <v>15</v>
      </c>
      <c r="E1392">
        <v>17.127499999999998</v>
      </c>
      <c r="F1392" t="s">
        <v>78</v>
      </c>
      <c r="G1392" t="s">
        <v>79</v>
      </c>
      <c r="H1392" t="str">
        <f>IF(COUNTIF(Sheet1!$A:$A,TEXT(A1392,"0"))+COUNTIF(Sheet1!$A:$A,A1392)&gt;0,"موجود","غير موجود")</f>
        <v>موجود</v>
      </c>
    </row>
    <row r="1393" spans="1:8" x14ac:dyDescent="0.2">
      <c r="A1393">
        <v>20309010789</v>
      </c>
      <c r="B1393" t="s">
        <v>1404</v>
      </c>
      <c r="C1393">
        <v>30</v>
      </c>
      <c r="D1393">
        <v>15</v>
      </c>
      <c r="E1393">
        <v>25.5</v>
      </c>
      <c r="F1393" t="s">
        <v>78</v>
      </c>
      <c r="G1393" t="s">
        <v>79</v>
      </c>
      <c r="H1393" t="str">
        <f>IF(COUNTIF(Sheet1!$A:$A,TEXT(A1393,"0"))+COUNTIF(Sheet1!$A:$A,A1393)&gt;0,"موجود","غير موجود")</f>
        <v>غير موجود</v>
      </c>
    </row>
    <row r="1394" spans="1:8" x14ac:dyDescent="0.2">
      <c r="A1394">
        <v>20309010044</v>
      </c>
      <c r="B1394" t="s">
        <v>1405</v>
      </c>
      <c r="C1394">
        <v>30</v>
      </c>
      <c r="D1394">
        <v>15</v>
      </c>
      <c r="E1394">
        <v>25.5</v>
      </c>
      <c r="F1394" t="s">
        <v>78</v>
      </c>
      <c r="G1394" t="s">
        <v>79</v>
      </c>
      <c r="H1394" t="str">
        <f>IF(COUNTIF(Sheet1!$A:$A,TEXT(A1394,"0"))+COUNTIF(Sheet1!$A:$A,A1394)&gt;0,"موجود","غير موجود")</f>
        <v>موجود</v>
      </c>
    </row>
    <row r="1395" spans="1:8" x14ac:dyDescent="0.2">
      <c r="A1395">
        <v>20309010122</v>
      </c>
      <c r="B1395" t="s">
        <v>1406</v>
      </c>
      <c r="C1395">
        <v>20.149999999999999</v>
      </c>
      <c r="D1395">
        <v>15</v>
      </c>
      <c r="E1395">
        <v>17.127499999999998</v>
      </c>
      <c r="F1395" t="s">
        <v>78</v>
      </c>
      <c r="G1395" t="s">
        <v>79</v>
      </c>
      <c r="H1395" t="str">
        <f>IF(COUNTIF(Sheet1!$A:$A,TEXT(A1395,"0"))+COUNTIF(Sheet1!$A:$A,A1395)&gt;0,"موجود","غير موجود")</f>
        <v>موجود</v>
      </c>
    </row>
    <row r="1396" spans="1:8" x14ac:dyDescent="0.2">
      <c r="A1396">
        <v>20309010045</v>
      </c>
      <c r="B1396" t="s">
        <v>1407</v>
      </c>
      <c r="C1396">
        <v>20.149999999999999</v>
      </c>
      <c r="D1396">
        <v>15</v>
      </c>
      <c r="E1396">
        <v>17.127499999999998</v>
      </c>
      <c r="F1396" t="s">
        <v>78</v>
      </c>
      <c r="G1396" t="s">
        <v>79</v>
      </c>
      <c r="H1396" t="str">
        <f>IF(COUNTIF(Sheet1!$A:$A,TEXT(A1396,"0"))+COUNTIF(Sheet1!$A:$A,A1396)&gt;0,"موجود","غير موجود")</f>
        <v>موجود</v>
      </c>
    </row>
    <row r="1397" spans="1:8" x14ac:dyDescent="0.2">
      <c r="A1397">
        <v>20309010360</v>
      </c>
      <c r="B1397" t="s">
        <v>1408</v>
      </c>
      <c r="C1397">
        <v>30</v>
      </c>
      <c r="D1397">
        <v>15</v>
      </c>
      <c r="E1397">
        <v>25.5</v>
      </c>
      <c r="F1397" t="s">
        <v>78</v>
      </c>
      <c r="G1397" t="s">
        <v>79</v>
      </c>
      <c r="H1397" t="str">
        <f>IF(COUNTIF(Sheet1!$A:$A,TEXT(A1397,"0"))+COUNTIF(Sheet1!$A:$A,A1397)&gt;0,"موجود","غير موجود")</f>
        <v>غير موجود</v>
      </c>
    </row>
    <row r="1398" spans="1:8" x14ac:dyDescent="0.2">
      <c r="A1398">
        <v>20309010950</v>
      </c>
      <c r="B1398" t="s">
        <v>1409</v>
      </c>
      <c r="C1398">
        <v>20.149999999999999</v>
      </c>
      <c r="D1398">
        <v>15</v>
      </c>
      <c r="E1398">
        <v>17.127499999999998</v>
      </c>
      <c r="F1398" t="s">
        <v>78</v>
      </c>
      <c r="G1398" t="s">
        <v>79</v>
      </c>
      <c r="H1398" t="str">
        <f>IF(COUNTIF(Sheet1!$A:$A,TEXT(A1398,"0"))+COUNTIF(Sheet1!$A:$A,A1398)&gt;0,"موجود","غير موجود")</f>
        <v>موجود</v>
      </c>
    </row>
    <row r="1399" spans="1:8" x14ac:dyDescent="0.2">
      <c r="A1399">
        <v>20309011241</v>
      </c>
      <c r="B1399" t="s">
        <v>1410</v>
      </c>
      <c r="C1399">
        <v>30</v>
      </c>
      <c r="D1399">
        <v>15</v>
      </c>
      <c r="E1399">
        <v>25.5</v>
      </c>
      <c r="F1399" t="s">
        <v>78</v>
      </c>
      <c r="G1399" t="s">
        <v>79</v>
      </c>
      <c r="H1399" t="str">
        <f>IF(COUNTIF(Sheet1!$A:$A,TEXT(A1399,"0"))+COUNTIF(Sheet1!$A:$A,A1399)&gt;0,"موجود","غير موجود")</f>
        <v>غير موجود</v>
      </c>
    </row>
    <row r="1400" spans="1:8" x14ac:dyDescent="0.2">
      <c r="A1400">
        <v>20309010070</v>
      </c>
      <c r="B1400" t="s">
        <v>1411</v>
      </c>
      <c r="C1400">
        <v>20.149999999999999</v>
      </c>
      <c r="D1400">
        <v>15</v>
      </c>
      <c r="E1400">
        <v>17.127499999999998</v>
      </c>
      <c r="F1400" t="s">
        <v>78</v>
      </c>
      <c r="G1400" t="s">
        <v>79</v>
      </c>
      <c r="H1400" t="str">
        <f>IF(COUNTIF(Sheet1!$A:$A,TEXT(A1400,"0"))+COUNTIF(Sheet1!$A:$A,A1400)&gt;0,"موجود","غير موجود")</f>
        <v>موجود</v>
      </c>
    </row>
    <row r="1401" spans="1:8" x14ac:dyDescent="0.2">
      <c r="A1401">
        <v>20309010128</v>
      </c>
      <c r="B1401" t="s">
        <v>1412</v>
      </c>
      <c r="C1401">
        <v>30</v>
      </c>
      <c r="D1401">
        <v>15</v>
      </c>
      <c r="E1401">
        <v>25.5</v>
      </c>
      <c r="F1401" t="s">
        <v>78</v>
      </c>
      <c r="G1401" t="s">
        <v>79</v>
      </c>
      <c r="H1401" t="str">
        <f>IF(COUNTIF(Sheet1!$A:$A,TEXT(A1401,"0"))+COUNTIF(Sheet1!$A:$A,A1401)&gt;0,"موجود","غير موجود")</f>
        <v>غير موجود</v>
      </c>
    </row>
    <row r="1402" spans="1:8" x14ac:dyDescent="0.2">
      <c r="A1402">
        <v>20309010792</v>
      </c>
      <c r="B1402" t="s">
        <v>1413</v>
      </c>
      <c r="C1402">
        <v>20.149999999999999</v>
      </c>
      <c r="D1402">
        <v>15</v>
      </c>
      <c r="E1402">
        <v>17.127499999999998</v>
      </c>
      <c r="F1402" t="s">
        <v>78</v>
      </c>
      <c r="G1402" t="s">
        <v>79</v>
      </c>
      <c r="H1402" t="str">
        <f>IF(COUNTIF(Sheet1!$A:$A,TEXT(A1402,"0"))+COUNTIF(Sheet1!$A:$A,A1402)&gt;0,"موجود","غير موجود")</f>
        <v>موجود</v>
      </c>
    </row>
    <row r="1403" spans="1:8" x14ac:dyDescent="0.2">
      <c r="A1403">
        <v>20309010793</v>
      </c>
      <c r="B1403" t="s">
        <v>1414</v>
      </c>
      <c r="C1403">
        <v>30</v>
      </c>
      <c r="D1403">
        <v>15</v>
      </c>
      <c r="E1403">
        <v>25.5</v>
      </c>
      <c r="F1403" t="s">
        <v>78</v>
      </c>
      <c r="G1403" t="s">
        <v>79</v>
      </c>
      <c r="H1403" t="str">
        <f>IF(COUNTIF(Sheet1!$A:$A,TEXT(A1403,"0"))+COUNTIF(Sheet1!$A:$A,A1403)&gt;0,"موجود","غير موجود")</f>
        <v>موجود</v>
      </c>
    </row>
    <row r="1404" spans="1:8" x14ac:dyDescent="0.2">
      <c r="A1404">
        <v>20309011762</v>
      </c>
      <c r="B1404" t="s">
        <v>1415</v>
      </c>
      <c r="C1404">
        <v>22.8</v>
      </c>
      <c r="D1404">
        <v>15</v>
      </c>
      <c r="E1404">
        <v>19.380000000000003</v>
      </c>
      <c r="F1404" t="s">
        <v>78</v>
      </c>
      <c r="G1404" t="s">
        <v>79</v>
      </c>
      <c r="H1404" t="str">
        <f>IF(COUNTIF(Sheet1!$A:$A,TEXT(A1404,"0"))+COUNTIF(Sheet1!$A:$A,A1404)&gt;0,"موجود","غير موجود")</f>
        <v>موجود</v>
      </c>
    </row>
    <row r="1405" spans="1:8" x14ac:dyDescent="0.2">
      <c r="A1405">
        <v>20309010471</v>
      </c>
      <c r="B1405" t="s">
        <v>1416</v>
      </c>
      <c r="C1405">
        <v>18.399999999999999</v>
      </c>
      <c r="D1405">
        <v>15</v>
      </c>
      <c r="E1405">
        <v>15.639999999999999</v>
      </c>
      <c r="F1405" t="s">
        <v>78</v>
      </c>
      <c r="G1405" t="s">
        <v>79</v>
      </c>
      <c r="H1405" t="str">
        <f>IF(COUNTIF(Sheet1!$A:$A,TEXT(A1405,"0"))+COUNTIF(Sheet1!$A:$A,A1405)&gt;0,"موجود","غير موجود")</f>
        <v>موجود</v>
      </c>
    </row>
    <row r="1406" spans="1:8" x14ac:dyDescent="0.2">
      <c r="A1406">
        <v>20309010048</v>
      </c>
      <c r="B1406" t="s">
        <v>1417</v>
      </c>
      <c r="C1406">
        <v>29</v>
      </c>
      <c r="D1406">
        <v>15</v>
      </c>
      <c r="E1406">
        <v>24.65</v>
      </c>
      <c r="F1406" t="s">
        <v>78</v>
      </c>
      <c r="G1406" t="s">
        <v>79</v>
      </c>
      <c r="H1406" t="str">
        <f>IF(COUNTIF(Sheet1!$A:$A,TEXT(A1406,"0"))+COUNTIF(Sheet1!$A:$A,A1406)&gt;0,"موجود","غير موجود")</f>
        <v>موجود</v>
      </c>
    </row>
    <row r="1407" spans="1:8" x14ac:dyDescent="0.2">
      <c r="A1407">
        <v>20309010227</v>
      </c>
      <c r="B1407" t="s">
        <v>1418</v>
      </c>
      <c r="C1407">
        <v>21</v>
      </c>
      <c r="D1407">
        <v>15</v>
      </c>
      <c r="E1407">
        <v>17.850000000000001</v>
      </c>
      <c r="F1407" t="s">
        <v>78</v>
      </c>
      <c r="G1407" t="s">
        <v>79</v>
      </c>
      <c r="H1407" t="str">
        <f>IF(COUNTIF(Sheet1!$A:$A,TEXT(A1407,"0"))+COUNTIF(Sheet1!$A:$A,A1407)&gt;0,"موجود","غير موجود")</f>
        <v>غير موجود</v>
      </c>
    </row>
    <row r="1408" spans="1:8" x14ac:dyDescent="0.2">
      <c r="A1408">
        <v>20309011733</v>
      </c>
      <c r="B1408" t="s">
        <v>1419</v>
      </c>
      <c r="C1408">
        <v>18.399999999999999</v>
      </c>
      <c r="D1408">
        <v>15</v>
      </c>
      <c r="E1408">
        <v>15.639999999999999</v>
      </c>
      <c r="F1408" t="s">
        <v>78</v>
      </c>
      <c r="G1408" t="s">
        <v>79</v>
      </c>
      <c r="H1408" t="str">
        <f>IF(COUNTIF(Sheet1!$A:$A,TEXT(A1408,"0"))+COUNTIF(Sheet1!$A:$A,A1408)&gt;0,"موجود","غير موجود")</f>
        <v>موجود</v>
      </c>
    </row>
    <row r="1409" spans="1:8" x14ac:dyDescent="0.2">
      <c r="A1409">
        <v>20309010372</v>
      </c>
      <c r="B1409" t="s">
        <v>1420</v>
      </c>
      <c r="C1409">
        <v>29</v>
      </c>
      <c r="D1409">
        <v>15</v>
      </c>
      <c r="E1409">
        <v>24.65</v>
      </c>
      <c r="F1409" t="s">
        <v>78</v>
      </c>
      <c r="G1409" t="s">
        <v>79</v>
      </c>
      <c r="H1409" t="str">
        <f>IF(COUNTIF(Sheet1!$A:$A,TEXT(A1409,"0"))+COUNTIF(Sheet1!$A:$A,A1409)&gt;0,"موجود","غير موجود")</f>
        <v>موجود</v>
      </c>
    </row>
    <row r="1410" spans="1:8" x14ac:dyDescent="0.2">
      <c r="A1410">
        <v>20309010224</v>
      </c>
      <c r="B1410" t="s">
        <v>1421</v>
      </c>
      <c r="C1410">
        <v>18.399999999999999</v>
      </c>
      <c r="D1410">
        <v>15</v>
      </c>
      <c r="E1410">
        <v>15.639999999999999</v>
      </c>
      <c r="F1410" t="s">
        <v>78</v>
      </c>
      <c r="G1410" t="s">
        <v>79</v>
      </c>
      <c r="H1410" t="str">
        <f>IF(COUNTIF(Sheet1!$A:$A,TEXT(A1410,"0"))+COUNTIF(Sheet1!$A:$A,A1410)&gt;0,"موجود","غير موجود")</f>
        <v>موجود</v>
      </c>
    </row>
    <row r="1411" spans="1:8" x14ac:dyDescent="0.2">
      <c r="A1411">
        <v>20309010229</v>
      </c>
      <c r="B1411" t="s">
        <v>1422</v>
      </c>
      <c r="C1411">
        <v>29</v>
      </c>
      <c r="D1411">
        <v>15</v>
      </c>
      <c r="E1411">
        <v>24.65</v>
      </c>
      <c r="F1411" t="s">
        <v>78</v>
      </c>
      <c r="G1411" t="s">
        <v>79</v>
      </c>
      <c r="H1411" t="str">
        <f>IF(COUNTIF(Sheet1!$A:$A,TEXT(A1411,"0"))+COUNTIF(Sheet1!$A:$A,A1411)&gt;0,"موجود","غير موجود")</f>
        <v>موجود</v>
      </c>
    </row>
    <row r="1412" spans="1:8" x14ac:dyDescent="0.2">
      <c r="A1412">
        <v>20309010054</v>
      </c>
      <c r="B1412" t="s">
        <v>1423</v>
      </c>
      <c r="C1412">
        <v>29</v>
      </c>
      <c r="D1412">
        <v>15</v>
      </c>
      <c r="E1412">
        <v>24.65</v>
      </c>
      <c r="F1412" t="s">
        <v>78</v>
      </c>
      <c r="G1412" t="s">
        <v>79</v>
      </c>
      <c r="H1412" t="str">
        <f>IF(COUNTIF(Sheet1!$A:$A,TEXT(A1412,"0"))+COUNTIF(Sheet1!$A:$A,A1412)&gt;0,"موجود","غير موجود")</f>
        <v>موجود</v>
      </c>
    </row>
    <row r="1413" spans="1:8" x14ac:dyDescent="0.2">
      <c r="A1413">
        <v>20309010237</v>
      </c>
      <c r="B1413" t="s">
        <v>1424</v>
      </c>
      <c r="C1413">
        <v>18.399999999999999</v>
      </c>
      <c r="D1413">
        <v>15</v>
      </c>
      <c r="E1413">
        <v>15.639999999999999</v>
      </c>
      <c r="F1413" t="s">
        <v>78</v>
      </c>
      <c r="G1413" t="s">
        <v>79</v>
      </c>
      <c r="H1413" t="str">
        <f>IF(COUNTIF(Sheet1!$A:$A,TEXT(A1413,"0"))+COUNTIF(Sheet1!$A:$A,A1413)&gt;0,"موجود","غير موجود")</f>
        <v>موجود</v>
      </c>
    </row>
    <row r="1414" spans="1:8" x14ac:dyDescent="0.2">
      <c r="A1414">
        <v>20309010236</v>
      </c>
      <c r="B1414" t="s">
        <v>1425</v>
      </c>
      <c r="C1414">
        <v>18.399999999999999</v>
      </c>
      <c r="D1414">
        <v>15</v>
      </c>
      <c r="E1414">
        <v>15.639999999999999</v>
      </c>
      <c r="F1414" t="s">
        <v>78</v>
      </c>
      <c r="G1414" t="s">
        <v>79</v>
      </c>
      <c r="H1414" t="str">
        <f>IF(COUNTIF(Sheet1!$A:$A,TEXT(A1414,"0"))+COUNTIF(Sheet1!$A:$A,A1414)&gt;0,"موجود","غير موجود")</f>
        <v>موجود</v>
      </c>
    </row>
    <row r="1415" spans="1:8" x14ac:dyDescent="0.2">
      <c r="A1415">
        <v>20309010230</v>
      </c>
      <c r="B1415" t="s">
        <v>1426</v>
      </c>
      <c r="C1415">
        <v>29</v>
      </c>
      <c r="D1415">
        <v>15</v>
      </c>
      <c r="E1415">
        <v>24.65</v>
      </c>
      <c r="F1415" t="s">
        <v>78</v>
      </c>
      <c r="G1415" t="s">
        <v>79</v>
      </c>
      <c r="H1415" t="str">
        <f>IF(COUNTIF(Sheet1!$A:$A,TEXT(A1415,"0"))+COUNTIF(Sheet1!$A:$A,A1415)&gt;0,"موجود","غير موجود")</f>
        <v>موجود</v>
      </c>
    </row>
    <row r="1416" spans="1:8" x14ac:dyDescent="0.2">
      <c r="A1416">
        <v>20309010231</v>
      </c>
      <c r="B1416" t="s">
        <v>1427</v>
      </c>
      <c r="C1416">
        <v>20.3</v>
      </c>
      <c r="D1416">
        <v>15</v>
      </c>
      <c r="E1416">
        <v>17.255000000000003</v>
      </c>
      <c r="F1416" t="s">
        <v>78</v>
      </c>
      <c r="G1416" t="s">
        <v>79</v>
      </c>
      <c r="H1416" t="str">
        <f>IF(COUNTIF(Sheet1!$A:$A,TEXT(A1416,"0"))+COUNTIF(Sheet1!$A:$A,A1416)&gt;0,"موجود","غير موجود")</f>
        <v>موجود</v>
      </c>
    </row>
    <row r="1417" spans="1:8" x14ac:dyDescent="0.2">
      <c r="A1417">
        <v>20309010232</v>
      </c>
      <c r="B1417" t="s">
        <v>1428</v>
      </c>
      <c r="C1417">
        <v>29</v>
      </c>
      <c r="D1417">
        <v>15</v>
      </c>
      <c r="E1417">
        <v>24.65</v>
      </c>
      <c r="F1417" t="s">
        <v>78</v>
      </c>
      <c r="G1417" t="s">
        <v>79</v>
      </c>
      <c r="H1417" t="str">
        <f>IF(COUNTIF(Sheet1!$A:$A,TEXT(A1417,"0"))+COUNTIF(Sheet1!$A:$A,A1417)&gt;0,"موجود","غير موجود")</f>
        <v>غير موجود</v>
      </c>
    </row>
    <row r="1418" spans="1:8" x14ac:dyDescent="0.2">
      <c r="A1418">
        <v>20309011764</v>
      </c>
      <c r="B1418" t="s">
        <v>1429</v>
      </c>
      <c r="C1418">
        <v>20.3</v>
      </c>
      <c r="D1418">
        <v>15</v>
      </c>
      <c r="E1418">
        <v>17.255000000000003</v>
      </c>
      <c r="F1418" t="s">
        <v>78</v>
      </c>
      <c r="G1418" t="s">
        <v>79</v>
      </c>
      <c r="H1418" t="str">
        <f>IF(COUNTIF(Sheet1!$A:$A,TEXT(A1418,"0"))+COUNTIF(Sheet1!$A:$A,A1418)&gt;0,"موجود","غير موجود")</f>
        <v>غير موجود</v>
      </c>
    </row>
    <row r="1419" spans="1:8" x14ac:dyDescent="0.2">
      <c r="A1419">
        <v>20309010254</v>
      </c>
      <c r="B1419" t="s">
        <v>1430</v>
      </c>
      <c r="C1419">
        <v>18.399999999999999</v>
      </c>
      <c r="D1419">
        <v>15</v>
      </c>
      <c r="E1419">
        <v>15.639999999999999</v>
      </c>
      <c r="F1419" t="s">
        <v>78</v>
      </c>
      <c r="G1419" t="s">
        <v>79</v>
      </c>
      <c r="H1419" t="str">
        <f>IF(COUNTIF(Sheet1!$A:$A,TEXT(A1419,"0"))+COUNTIF(Sheet1!$A:$A,A1419)&gt;0,"موجود","غير موجود")</f>
        <v>موجود</v>
      </c>
    </row>
    <row r="1420" spans="1:8" x14ac:dyDescent="0.2">
      <c r="A1420">
        <v>20309060648</v>
      </c>
      <c r="B1420" t="s">
        <v>1431</v>
      </c>
      <c r="C1420">
        <v>25</v>
      </c>
      <c r="D1420">
        <v>15</v>
      </c>
      <c r="E1420">
        <v>21.25</v>
      </c>
      <c r="F1420" t="s">
        <v>78</v>
      </c>
      <c r="G1420" t="s">
        <v>79</v>
      </c>
      <c r="H1420" t="str">
        <f>IF(COUNTIF(Sheet1!$A:$A,TEXT(A1420,"0"))+COUNTIF(Sheet1!$A:$A,A1420)&gt;0,"موجود","غير موجود")</f>
        <v>موجود</v>
      </c>
    </row>
    <row r="1421" spans="1:8" x14ac:dyDescent="0.2">
      <c r="A1421">
        <v>20309060107</v>
      </c>
      <c r="B1421" t="s">
        <v>1432</v>
      </c>
      <c r="C1421">
        <v>25</v>
      </c>
      <c r="D1421">
        <v>15</v>
      </c>
      <c r="E1421">
        <v>21.25</v>
      </c>
      <c r="F1421" t="s">
        <v>78</v>
      </c>
      <c r="G1421" t="s">
        <v>79</v>
      </c>
      <c r="H1421" t="str">
        <f>IF(COUNTIF(Sheet1!$A:$A,TEXT(A1421,"0"))+COUNTIF(Sheet1!$A:$A,A1421)&gt;0,"موجود","غير موجود")</f>
        <v>موجود</v>
      </c>
    </row>
    <row r="1422" spans="1:8" x14ac:dyDescent="0.2">
      <c r="A1422">
        <v>20309060529</v>
      </c>
      <c r="B1422" t="s">
        <v>1433</v>
      </c>
      <c r="C1422">
        <v>25</v>
      </c>
      <c r="D1422">
        <v>15</v>
      </c>
      <c r="E1422">
        <v>21.25</v>
      </c>
      <c r="F1422" t="s">
        <v>78</v>
      </c>
      <c r="G1422" t="s">
        <v>79</v>
      </c>
      <c r="H1422" t="str">
        <f>IF(COUNTIF(Sheet1!$A:$A,TEXT(A1422,"0"))+COUNTIF(Sheet1!$A:$A,A1422)&gt;0,"موجود","غير موجود")</f>
        <v>غير موجود</v>
      </c>
    </row>
    <row r="1423" spans="1:8" x14ac:dyDescent="0.2">
      <c r="A1423">
        <v>20309501530</v>
      </c>
      <c r="B1423" t="s">
        <v>1434</v>
      </c>
      <c r="C1423">
        <v>25</v>
      </c>
      <c r="D1423">
        <v>15</v>
      </c>
      <c r="E1423">
        <v>21.25</v>
      </c>
      <c r="F1423" t="s">
        <v>78</v>
      </c>
      <c r="G1423" t="s">
        <v>79</v>
      </c>
      <c r="H1423" t="str">
        <f>IF(COUNTIF(Sheet1!$A:$A,TEXT(A1423,"0"))+COUNTIF(Sheet1!$A:$A,A1423)&gt;0,"موجود","غير موجود")</f>
        <v>غير موجود</v>
      </c>
    </row>
    <row r="1424" spans="1:8" x14ac:dyDescent="0.2">
      <c r="A1424">
        <v>20309060110</v>
      </c>
      <c r="B1424" t="s">
        <v>1435</v>
      </c>
      <c r="C1424">
        <v>25</v>
      </c>
      <c r="D1424">
        <v>15</v>
      </c>
      <c r="E1424">
        <v>21.25</v>
      </c>
      <c r="F1424" t="s">
        <v>78</v>
      </c>
      <c r="G1424" t="s">
        <v>79</v>
      </c>
      <c r="H1424" t="str">
        <f>IF(COUNTIF(Sheet1!$A:$A,TEXT(A1424,"0"))+COUNTIF(Sheet1!$A:$A,A1424)&gt;0,"موجود","غير موجود")</f>
        <v>موجود</v>
      </c>
    </row>
    <row r="1425" spans="1:8" x14ac:dyDescent="0.2">
      <c r="A1425">
        <v>20309060111</v>
      </c>
      <c r="B1425" t="s">
        <v>1436</v>
      </c>
      <c r="C1425">
        <v>25</v>
      </c>
      <c r="D1425">
        <v>15</v>
      </c>
      <c r="E1425">
        <v>21.25</v>
      </c>
      <c r="F1425" t="s">
        <v>78</v>
      </c>
      <c r="G1425" t="s">
        <v>79</v>
      </c>
      <c r="H1425" t="str">
        <f>IF(COUNTIF(Sheet1!$A:$A,TEXT(A1425,"0"))+COUNTIF(Sheet1!$A:$A,A1425)&gt;0,"موجود","غير موجود")</f>
        <v>موجود</v>
      </c>
    </row>
    <row r="1426" spans="1:8" x14ac:dyDescent="0.2">
      <c r="A1426">
        <v>20309060109</v>
      </c>
      <c r="B1426" t="s">
        <v>1437</v>
      </c>
      <c r="C1426">
        <v>25</v>
      </c>
      <c r="D1426">
        <v>15</v>
      </c>
      <c r="E1426">
        <v>21.25</v>
      </c>
      <c r="F1426" t="s">
        <v>78</v>
      </c>
      <c r="G1426" t="s">
        <v>79</v>
      </c>
      <c r="H1426" t="str">
        <f>IF(COUNTIF(Sheet1!$A:$A,TEXT(A1426,"0"))+COUNTIF(Sheet1!$A:$A,A1426)&gt;0,"موجود","غير موجود")</f>
        <v>موجود</v>
      </c>
    </row>
    <row r="1427" spans="1:8" x14ac:dyDescent="0.2">
      <c r="A1427">
        <v>20309060168</v>
      </c>
      <c r="B1427" t="s">
        <v>1438</v>
      </c>
      <c r="C1427">
        <v>25</v>
      </c>
      <c r="D1427">
        <v>15</v>
      </c>
      <c r="E1427">
        <v>21.25</v>
      </c>
      <c r="F1427" t="s">
        <v>78</v>
      </c>
      <c r="G1427" t="s">
        <v>79</v>
      </c>
      <c r="H1427" t="str">
        <f>IF(COUNTIF(Sheet1!$A:$A,TEXT(A1427,"0"))+COUNTIF(Sheet1!$A:$A,A1427)&gt;0,"موجود","غير موجود")</f>
        <v>غير موجود</v>
      </c>
    </row>
    <row r="1428" spans="1:8" x14ac:dyDescent="0.2">
      <c r="A1428">
        <v>20309030786</v>
      </c>
      <c r="B1428" t="s">
        <v>1439</v>
      </c>
      <c r="C1428">
        <v>37.5</v>
      </c>
      <c r="D1428">
        <v>15</v>
      </c>
      <c r="E1428">
        <v>31.875</v>
      </c>
      <c r="F1428" t="s">
        <v>78</v>
      </c>
      <c r="G1428" t="s">
        <v>79</v>
      </c>
      <c r="H1428" t="str">
        <f>IF(COUNTIF(Sheet1!$A:$A,TEXT(A1428,"0"))+COUNTIF(Sheet1!$A:$A,A1428)&gt;0,"موجود","غير موجود")</f>
        <v>موجود</v>
      </c>
    </row>
    <row r="1429" spans="1:8" x14ac:dyDescent="0.2">
      <c r="A1429">
        <v>20309030699</v>
      </c>
      <c r="B1429" t="s">
        <v>1440</v>
      </c>
      <c r="C1429">
        <v>37.5</v>
      </c>
      <c r="D1429">
        <v>15</v>
      </c>
      <c r="E1429">
        <v>31.875</v>
      </c>
      <c r="F1429" t="s">
        <v>78</v>
      </c>
      <c r="G1429" t="s">
        <v>79</v>
      </c>
      <c r="H1429" t="str">
        <f>IF(COUNTIF(Sheet1!$A:$A,TEXT(A1429,"0"))+COUNTIF(Sheet1!$A:$A,A1429)&gt;0,"موجود","غير موجود")</f>
        <v>موجود</v>
      </c>
    </row>
    <row r="1430" spans="1:8" x14ac:dyDescent="0.2">
      <c r="A1430">
        <v>20309030700</v>
      </c>
      <c r="B1430" t="s">
        <v>1441</v>
      </c>
      <c r="C1430">
        <v>39</v>
      </c>
      <c r="D1430">
        <v>15</v>
      </c>
      <c r="E1430">
        <v>33.15</v>
      </c>
      <c r="F1430" t="s">
        <v>78</v>
      </c>
      <c r="G1430" t="s">
        <v>79</v>
      </c>
      <c r="H1430" t="str">
        <f>IF(COUNTIF(Sheet1!$A:$A,TEXT(A1430,"0"))+COUNTIF(Sheet1!$A:$A,A1430)&gt;0,"موجود","غير موجود")</f>
        <v>موجود</v>
      </c>
    </row>
    <row r="1431" spans="1:8" x14ac:dyDescent="0.2">
      <c r="A1431">
        <v>20309030302</v>
      </c>
      <c r="B1431" t="s">
        <v>1442</v>
      </c>
      <c r="C1431">
        <v>37.5</v>
      </c>
      <c r="D1431">
        <v>15</v>
      </c>
      <c r="E1431">
        <v>31.875</v>
      </c>
      <c r="F1431" t="s">
        <v>78</v>
      </c>
      <c r="G1431" t="s">
        <v>79</v>
      </c>
      <c r="H1431" t="str">
        <f>IF(COUNTIF(Sheet1!$A:$A,TEXT(A1431,"0"))+COUNTIF(Sheet1!$A:$A,A1431)&gt;0,"موجود","غير موجود")</f>
        <v>موجود</v>
      </c>
    </row>
    <row r="1432" spans="1:8" x14ac:dyDescent="0.2">
      <c r="A1432">
        <v>20309030034</v>
      </c>
      <c r="B1432" t="s">
        <v>1443</v>
      </c>
      <c r="C1432">
        <v>39</v>
      </c>
      <c r="D1432">
        <v>15</v>
      </c>
      <c r="E1432">
        <v>33.15</v>
      </c>
      <c r="F1432" t="s">
        <v>78</v>
      </c>
      <c r="G1432" t="s">
        <v>79</v>
      </c>
      <c r="H1432" t="str">
        <f>IF(COUNTIF(Sheet1!$A:$A,TEXT(A1432,"0"))+COUNTIF(Sheet1!$A:$A,A1432)&gt;0,"موجود","غير موجود")</f>
        <v>موجود</v>
      </c>
    </row>
    <row r="1433" spans="1:8" x14ac:dyDescent="0.2">
      <c r="A1433">
        <v>20309030364</v>
      </c>
      <c r="B1433" t="s">
        <v>1444</v>
      </c>
      <c r="C1433">
        <v>39</v>
      </c>
      <c r="D1433">
        <v>15</v>
      </c>
      <c r="E1433">
        <v>33.15</v>
      </c>
      <c r="F1433" t="s">
        <v>78</v>
      </c>
      <c r="G1433" t="s">
        <v>79</v>
      </c>
      <c r="H1433" t="str">
        <f>IF(COUNTIF(Sheet1!$A:$A,TEXT(A1433,"0"))+COUNTIF(Sheet1!$A:$A,A1433)&gt;0,"موجود","غير موجود")</f>
        <v>موجود</v>
      </c>
    </row>
    <row r="1434" spans="1:8" x14ac:dyDescent="0.2">
      <c r="A1434">
        <v>20309030815</v>
      </c>
      <c r="B1434" t="s">
        <v>1445</v>
      </c>
      <c r="C1434">
        <v>16</v>
      </c>
      <c r="D1434">
        <v>15</v>
      </c>
      <c r="E1434">
        <v>13.6</v>
      </c>
      <c r="F1434" t="s">
        <v>78</v>
      </c>
      <c r="G1434" t="s">
        <v>79</v>
      </c>
      <c r="H1434" t="str">
        <f>IF(COUNTIF(Sheet1!$A:$A,TEXT(A1434,"0"))+COUNTIF(Sheet1!$A:$A,A1434)&gt;0,"موجود","غير موجود")</f>
        <v>موجود</v>
      </c>
    </row>
    <row r="1435" spans="1:8" x14ac:dyDescent="0.2">
      <c r="A1435">
        <v>20309030125</v>
      </c>
      <c r="B1435" t="s">
        <v>1446</v>
      </c>
      <c r="C1435">
        <v>13</v>
      </c>
      <c r="D1435">
        <v>15</v>
      </c>
      <c r="E1435">
        <v>11.05</v>
      </c>
      <c r="F1435" t="s">
        <v>78</v>
      </c>
      <c r="G1435" t="s">
        <v>79</v>
      </c>
      <c r="H1435" t="str">
        <f>IF(COUNTIF(Sheet1!$A:$A,TEXT(A1435,"0"))+COUNTIF(Sheet1!$A:$A,A1435)&gt;0,"موجود","غير موجود")</f>
        <v>موجود</v>
      </c>
    </row>
    <row r="1436" spans="1:8" x14ac:dyDescent="0.2">
      <c r="A1436">
        <v>20309030160</v>
      </c>
      <c r="B1436" t="s">
        <v>1447</v>
      </c>
      <c r="C1436">
        <v>23.5</v>
      </c>
      <c r="D1436">
        <v>15</v>
      </c>
      <c r="E1436">
        <v>19.975000000000001</v>
      </c>
      <c r="F1436" t="s">
        <v>78</v>
      </c>
      <c r="G1436" t="s">
        <v>79</v>
      </c>
      <c r="H1436" t="str">
        <f>IF(COUNTIF(Sheet1!$A:$A,TEXT(A1436,"0"))+COUNTIF(Sheet1!$A:$A,A1436)&gt;0,"موجود","غير موجود")</f>
        <v>موجود</v>
      </c>
    </row>
    <row r="1437" spans="1:8" x14ac:dyDescent="0.2">
      <c r="A1437">
        <v>20309030124</v>
      </c>
      <c r="B1437" t="s">
        <v>1448</v>
      </c>
      <c r="C1437">
        <v>13</v>
      </c>
      <c r="D1437">
        <v>15</v>
      </c>
      <c r="E1437">
        <v>11.05</v>
      </c>
      <c r="F1437" t="s">
        <v>78</v>
      </c>
      <c r="G1437" t="s">
        <v>79</v>
      </c>
      <c r="H1437" t="str">
        <f>IF(COUNTIF(Sheet1!$A:$A,TEXT(A1437,"0"))+COUNTIF(Sheet1!$A:$A,A1437)&gt;0,"موجود","غير موجود")</f>
        <v>موجود</v>
      </c>
    </row>
    <row r="1438" spans="1:8" x14ac:dyDescent="0.2">
      <c r="A1438">
        <v>20309030159</v>
      </c>
      <c r="B1438" t="s">
        <v>1449</v>
      </c>
      <c r="C1438">
        <v>23.5</v>
      </c>
      <c r="D1438">
        <v>15</v>
      </c>
      <c r="E1438">
        <v>19.975000000000001</v>
      </c>
      <c r="F1438" t="s">
        <v>78</v>
      </c>
      <c r="G1438" t="s">
        <v>79</v>
      </c>
      <c r="H1438" t="str">
        <f>IF(COUNTIF(Sheet1!$A:$A,TEXT(A1438,"0"))+COUNTIF(Sheet1!$A:$A,A1438)&gt;0,"موجود","غير موجود")</f>
        <v>موجود</v>
      </c>
    </row>
    <row r="1439" spans="1:8" x14ac:dyDescent="0.2">
      <c r="A1439">
        <v>20309030736</v>
      </c>
      <c r="B1439" t="s">
        <v>1450</v>
      </c>
      <c r="C1439">
        <v>23.5</v>
      </c>
      <c r="D1439">
        <v>15</v>
      </c>
      <c r="E1439">
        <v>19.975000000000001</v>
      </c>
      <c r="F1439" t="s">
        <v>78</v>
      </c>
      <c r="G1439" t="s">
        <v>79</v>
      </c>
      <c r="H1439" t="str">
        <f>IF(COUNTIF(Sheet1!$A:$A,TEXT(A1439,"0"))+COUNTIF(Sheet1!$A:$A,A1439)&gt;0,"موجود","غير موجود")</f>
        <v>موجود</v>
      </c>
    </row>
    <row r="1440" spans="1:8" x14ac:dyDescent="0.2">
      <c r="A1440">
        <v>20309030191</v>
      </c>
      <c r="B1440" t="s">
        <v>1451</v>
      </c>
      <c r="C1440">
        <v>13</v>
      </c>
      <c r="D1440">
        <v>15</v>
      </c>
      <c r="E1440">
        <v>11.05</v>
      </c>
      <c r="F1440" t="s">
        <v>78</v>
      </c>
      <c r="G1440" t="s">
        <v>79</v>
      </c>
      <c r="H1440" t="str">
        <f>IF(COUNTIF(Sheet1!$A:$A,TEXT(A1440,"0"))+COUNTIF(Sheet1!$A:$A,A1440)&gt;0,"موجود","غير موجود")</f>
        <v>موجود</v>
      </c>
    </row>
    <row r="1441" spans="1:8" x14ac:dyDescent="0.2">
      <c r="A1441">
        <v>20309020101</v>
      </c>
      <c r="B1441" t="s">
        <v>1452</v>
      </c>
      <c r="C1441">
        <v>27</v>
      </c>
      <c r="D1441">
        <v>15</v>
      </c>
      <c r="E1441">
        <v>22.95</v>
      </c>
      <c r="F1441" t="s">
        <v>78</v>
      </c>
      <c r="G1441" t="s">
        <v>79</v>
      </c>
      <c r="H1441" t="str">
        <f>IF(COUNTIF(Sheet1!$A:$A,TEXT(A1441,"0"))+COUNTIF(Sheet1!$A:$A,A1441)&gt;0,"موجود","غير موجود")</f>
        <v>موجود</v>
      </c>
    </row>
    <row r="1442" spans="1:8" x14ac:dyDescent="0.2">
      <c r="A1442">
        <v>20309020102</v>
      </c>
      <c r="B1442" t="s">
        <v>1453</v>
      </c>
      <c r="C1442">
        <v>17.2</v>
      </c>
      <c r="D1442">
        <v>15</v>
      </c>
      <c r="E1442">
        <v>14.62</v>
      </c>
      <c r="F1442" t="s">
        <v>78</v>
      </c>
      <c r="G1442" t="s">
        <v>79</v>
      </c>
      <c r="H1442" t="str">
        <f>IF(COUNTIF(Sheet1!$A:$A,TEXT(A1442,"0"))+COUNTIF(Sheet1!$A:$A,A1442)&gt;0,"موجود","غير موجود")</f>
        <v>موجود</v>
      </c>
    </row>
    <row r="1443" spans="1:8" x14ac:dyDescent="0.2">
      <c r="A1443">
        <v>20309020103</v>
      </c>
      <c r="B1443" t="s">
        <v>1454</v>
      </c>
      <c r="C1443">
        <v>32</v>
      </c>
      <c r="D1443">
        <v>15</v>
      </c>
      <c r="E1443">
        <v>27.2</v>
      </c>
      <c r="F1443" t="s">
        <v>78</v>
      </c>
      <c r="G1443" t="s">
        <v>79</v>
      </c>
      <c r="H1443" t="str">
        <f>IF(COUNTIF(Sheet1!$A:$A,TEXT(A1443,"0"))+COUNTIF(Sheet1!$A:$A,A1443)&gt;0,"موجود","غير موجود")</f>
        <v>غير موجود</v>
      </c>
    </row>
    <row r="1444" spans="1:8" x14ac:dyDescent="0.2">
      <c r="A1444">
        <v>20309020610</v>
      </c>
      <c r="B1444" t="s">
        <v>1455</v>
      </c>
      <c r="C1444">
        <v>44</v>
      </c>
      <c r="D1444">
        <v>15</v>
      </c>
      <c r="E1444">
        <v>37.4</v>
      </c>
      <c r="F1444" t="s">
        <v>78</v>
      </c>
      <c r="G1444" t="s">
        <v>79</v>
      </c>
      <c r="H1444" t="str">
        <f>IF(COUNTIF(Sheet1!$A:$A,TEXT(A1444,"0"))+COUNTIF(Sheet1!$A:$A,A1444)&gt;0,"موجود","غير موجود")</f>
        <v>موجود</v>
      </c>
    </row>
    <row r="1445" spans="1:8" x14ac:dyDescent="0.2">
      <c r="A1445">
        <v>20309020165</v>
      </c>
      <c r="B1445" t="s">
        <v>1456</v>
      </c>
      <c r="C1445">
        <v>27</v>
      </c>
      <c r="D1445">
        <v>15</v>
      </c>
      <c r="E1445">
        <v>22.95</v>
      </c>
      <c r="F1445" t="s">
        <v>78</v>
      </c>
      <c r="G1445" t="s">
        <v>79</v>
      </c>
      <c r="H1445" t="str">
        <f>IF(COUNTIF(Sheet1!$A:$A,TEXT(A1445,"0"))+COUNTIF(Sheet1!$A:$A,A1445)&gt;0,"موجود","غير موجود")</f>
        <v>موجود</v>
      </c>
    </row>
    <row r="1446" spans="1:8" x14ac:dyDescent="0.2">
      <c r="A1446">
        <v>20309020506</v>
      </c>
      <c r="B1446" t="s">
        <v>1457</v>
      </c>
      <c r="C1446">
        <v>27</v>
      </c>
      <c r="D1446">
        <v>15</v>
      </c>
      <c r="E1446">
        <v>22.95</v>
      </c>
      <c r="F1446" t="s">
        <v>78</v>
      </c>
      <c r="G1446" t="s">
        <v>79</v>
      </c>
      <c r="H1446" t="str">
        <f>IF(COUNTIF(Sheet1!$A:$A,TEXT(A1446,"0"))+COUNTIF(Sheet1!$A:$A,A1446)&gt;0,"موجود","غير موجود")</f>
        <v>موجود</v>
      </c>
    </row>
    <row r="1447" spans="1:8" x14ac:dyDescent="0.2">
      <c r="A1447">
        <v>20309020609</v>
      </c>
      <c r="B1447" t="s">
        <v>1458</v>
      </c>
      <c r="C1447">
        <v>42.4</v>
      </c>
      <c r="D1447">
        <v>15</v>
      </c>
      <c r="E1447">
        <v>36.04</v>
      </c>
      <c r="F1447" t="s">
        <v>78</v>
      </c>
      <c r="G1447" t="s">
        <v>79</v>
      </c>
      <c r="H1447" t="str">
        <f>IF(COUNTIF(Sheet1!$A:$A,TEXT(A1447,"0"))+COUNTIF(Sheet1!$A:$A,A1447)&gt;0,"موجود","غير موجود")</f>
        <v>موجود</v>
      </c>
    </row>
    <row r="1448" spans="1:8" x14ac:dyDescent="0.2">
      <c r="A1448">
        <v>20309021505</v>
      </c>
      <c r="B1448" t="s">
        <v>1459</v>
      </c>
      <c r="C1448">
        <v>53.5</v>
      </c>
      <c r="D1448">
        <v>15</v>
      </c>
      <c r="E1448">
        <v>45.475000000000001</v>
      </c>
      <c r="F1448" t="s">
        <v>78</v>
      </c>
      <c r="G1448" t="s">
        <v>79</v>
      </c>
      <c r="H1448" t="str">
        <f>IF(COUNTIF(Sheet1!$A:$A,TEXT(A1448,"0"))+COUNTIF(Sheet1!$A:$A,A1448)&gt;0,"موجود","غير موجود")</f>
        <v>غير موجود</v>
      </c>
    </row>
    <row r="1449" spans="1:8" x14ac:dyDescent="0.2">
      <c r="A1449">
        <v>20309060646</v>
      </c>
      <c r="B1449" t="s">
        <v>1460</v>
      </c>
      <c r="C1449">
        <v>28.6</v>
      </c>
      <c r="D1449">
        <v>15</v>
      </c>
      <c r="E1449">
        <v>24.310000000000002</v>
      </c>
      <c r="F1449" t="s">
        <v>78</v>
      </c>
      <c r="G1449" t="s">
        <v>79</v>
      </c>
      <c r="H1449" t="str">
        <f>IF(COUNTIF(Sheet1!$A:$A,TEXT(A1449,"0"))+COUNTIF(Sheet1!$A:$A,A1449)&gt;0,"موجود","غير موجود")</f>
        <v>غير موجود</v>
      </c>
    </row>
    <row r="1450" spans="1:8" x14ac:dyDescent="0.2">
      <c r="A1450">
        <v>20309060647</v>
      </c>
      <c r="B1450" t="s">
        <v>1461</v>
      </c>
      <c r="C1450">
        <v>42.4</v>
      </c>
      <c r="D1450">
        <v>15</v>
      </c>
      <c r="E1450">
        <v>36.04</v>
      </c>
      <c r="F1450" t="s">
        <v>78</v>
      </c>
      <c r="G1450" t="s">
        <v>79</v>
      </c>
      <c r="H1450" t="str">
        <f>IF(COUNTIF(Sheet1!$A:$A,TEXT(A1450,"0"))+COUNTIF(Sheet1!$A:$A,A1450)&gt;0,"موجود","غير موجود")</f>
        <v>غير موجود</v>
      </c>
    </row>
    <row r="1451" spans="1:8" x14ac:dyDescent="0.2">
      <c r="A1451">
        <v>20309021504</v>
      </c>
      <c r="B1451" t="s">
        <v>1462</v>
      </c>
      <c r="C1451">
        <v>36.25</v>
      </c>
      <c r="D1451">
        <v>15</v>
      </c>
      <c r="E1451">
        <v>30.8125</v>
      </c>
      <c r="F1451" t="s">
        <v>78</v>
      </c>
      <c r="G1451" t="s">
        <v>79</v>
      </c>
      <c r="H1451" t="str">
        <f>IF(COUNTIF(Sheet1!$A:$A,TEXT(A1451,"0"))+COUNTIF(Sheet1!$A:$A,A1451)&gt;0,"موجود","غير موجود")</f>
        <v>موجود</v>
      </c>
    </row>
    <row r="1452" spans="1:8" x14ac:dyDescent="0.2">
      <c r="A1452">
        <v>20309021821</v>
      </c>
      <c r="B1452" t="s">
        <v>1463</v>
      </c>
      <c r="C1452">
        <v>36.25</v>
      </c>
      <c r="D1452">
        <v>15</v>
      </c>
      <c r="E1452">
        <v>30.8125</v>
      </c>
      <c r="F1452" t="s">
        <v>78</v>
      </c>
      <c r="G1452" t="s">
        <v>79</v>
      </c>
      <c r="H1452" t="str">
        <f>IF(COUNTIF(Sheet1!$A:$A,TEXT(A1452,"0"))+COUNTIF(Sheet1!$A:$A,A1452)&gt;0,"موجود","غير موجود")</f>
        <v>غير موجود</v>
      </c>
    </row>
    <row r="1453" spans="1:8" x14ac:dyDescent="0.2">
      <c r="A1453">
        <v>20309020126</v>
      </c>
      <c r="B1453" t="s">
        <v>1464</v>
      </c>
      <c r="C1453">
        <v>27</v>
      </c>
      <c r="D1453">
        <v>15</v>
      </c>
      <c r="E1453">
        <v>22.95</v>
      </c>
      <c r="F1453" t="s">
        <v>78</v>
      </c>
      <c r="G1453" t="s">
        <v>79</v>
      </c>
      <c r="H1453" t="str">
        <f>IF(COUNTIF(Sheet1!$A:$A,TEXT(A1453,"0"))+COUNTIF(Sheet1!$A:$A,A1453)&gt;0,"موجود","غير موجود")</f>
        <v>غير موجود</v>
      </c>
    </row>
  </sheetData>
  <conditionalFormatting sqref="A2:H1453">
    <cfRule type="expression" dxfId="0" priority="1">
      <formula>$H2="غير موجود"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Al-Hassan Megahed</dc:creator>
  <cp:lastModifiedBy>Al-Hassan Megahed</cp:lastModifiedBy>
  <dcterms:created xsi:type="dcterms:W3CDTF">2026-07-21T17:24:34Z</dcterms:created>
  <dcterms:modified xsi:type="dcterms:W3CDTF">2026-07-21T17:58:19Z</dcterms:modified>
</cp:coreProperties>
</file>