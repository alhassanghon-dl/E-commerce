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3F892C4-2A91-2948-B36D-A507BA845FB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لوحة المتابعة" sheetId="1" r:id="rId1"/>
    <sheet name="المهام" sheetId="2" r:id="rId2"/>
  </sheets>
  <definedNames>
    <definedName name="_xlnm._FilterDatabase" localSheetId="1" hidden="1">المهام!$A$2:$K$46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2" i="1" l="1"/>
  <c r="E22" i="1"/>
  <c r="D22" i="1"/>
  <c r="G22" i="1"/>
  <c r="C22" i="1"/>
  <c r="F21" i="1"/>
  <c r="E21" i="1"/>
  <c r="D21" i="1"/>
  <c r="G21" i="1"/>
  <c r="C21" i="1"/>
  <c r="F20" i="1"/>
  <c r="E20" i="1"/>
  <c r="D20" i="1"/>
  <c r="C20" i="1"/>
  <c r="G20" i="1"/>
  <c r="F19" i="1"/>
  <c r="E19" i="1"/>
  <c r="D19" i="1"/>
  <c r="G19" i="1"/>
  <c r="C19" i="1"/>
  <c r="F18" i="1"/>
  <c r="E18" i="1"/>
  <c r="D18" i="1"/>
  <c r="C18" i="1"/>
  <c r="F17" i="1"/>
  <c r="E17" i="1"/>
  <c r="D17" i="1"/>
  <c r="G17" i="1"/>
  <c r="C17" i="1"/>
  <c r="F16" i="1"/>
  <c r="E16" i="1"/>
  <c r="D16" i="1"/>
  <c r="C16" i="1"/>
  <c r="F15" i="1"/>
  <c r="E15" i="1"/>
  <c r="D15" i="1"/>
  <c r="C15" i="1"/>
  <c r="F14" i="1"/>
  <c r="E14" i="1"/>
  <c r="D14" i="1"/>
  <c r="G14" i="1"/>
  <c r="C14" i="1"/>
  <c r="F13" i="1"/>
  <c r="E13" i="1"/>
  <c r="D13" i="1"/>
  <c r="G13" i="1"/>
  <c r="C13" i="1"/>
  <c r="F12" i="1"/>
  <c r="E12" i="1"/>
  <c r="D12" i="1"/>
  <c r="G12" i="1"/>
  <c r="C12" i="1"/>
  <c r="F11" i="1"/>
  <c r="E11" i="1"/>
  <c r="D11" i="1"/>
  <c r="C11" i="1"/>
  <c r="C23" i="1"/>
  <c r="G5" i="1"/>
  <c r="F5" i="1"/>
  <c r="E5" i="1"/>
  <c r="D5" i="1"/>
  <c r="C5" i="1"/>
  <c r="B5" i="1"/>
  <c r="D23" i="1"/>
  <c r="E23" i="1"/>
  <c r="G15" i="1"/>
  <c r="G16" i="1"/>
  <c r="G18" i="1"/>
  <c r="F23" i="1"/>
  <c r="G23" i="1"/>
  <c r="G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2" authorId="0" shapeId="0" xr:uid="{00000000-0006-0000-0100-000001000000}">
      <text>
        <r>
          <rPr>
            <sz val="10"/>
            <rFont val="FreeSans"/>
            <family val="2"/>
          </rPr>
          <t>تُملأ يدويًا حسب خطة التنفيذ</t>
        </r>
      </text>
    </comment>
  </commentList>
</comments>
</file>

<file path=xl/sharedStrings.xml><?xml version="1.0" encoding="utf-8"?>
<sst xmlns="http://schemas.openxmlformats.org/spreadsheetml/2006/main" count="313" uniqueCount="97">
  <si>
    <t>لوحة متابعة الأداء — مهام التجارة الإلكترونية والبيع أونالين</t>
  </si>
  <si>
    <t>صيدليات أوبلس • يوليو — ديسمبر 2026</t>
  </si>
  <si>
    <t>إجمالي المهام</t>
  </si>
  <si>
    <t>المكتملة (تم)</t>
  </si>
  <si>
    <t>قيد التنفيذ (جاري)</t>
  </si>
  <si>
    <t>لم تبدأ</t>
  </si>
  <si>
    <t>نسبة الإنجاز (تم)</t>
  </si>
  <si>
    <t>نسبة التقدم الكلي*</t>
  </si>
  <si>
    <t>المحور / المشروع</t>
  </si>
  <si>
    <t>عدد المهام</t>
  </si>
  <si>
    <t>تم</t>
  </si>
  <si>
    <t>جاري</t>
  </si>
  <si>
    <t>لم يبدأ</t>
  </si>
  <si>
    <t>نسبة الإنجاز</t>
  </si>
  <si>
    <t>الهيكل الوظيفي</t>
  </si>
  <si>
    <t>منصة زد (الباقة الاحترافية)</t>
  </si>
  <si>
    <t>مشروع جوليب</t>
  </si>
  <si>
    <t>منصة Linkit</t>
  </si>
  <si>
    <t>تفعيل تابي</t>
  </si>
  <si>
    <t>تطبيق الموبايل</t>
  </si>
  <si>
    <t>اتفاقيات التوصيل</t>
  </si>
  <si>
    <t>منظومة واتساب والرقم الموحد</t>
  </si>
  <si>
    <t>عمليات المتجر</t>
  </si>
  <si>
    <t>التسويق والحملات</t>
  </si>
  <si>
    <t>البنية التشغيلية والصيانة</t>
  </si>
  <si>
    <t>التقارير والمتابعة</t>
  </si>
  <si>
    <t>الإجمالي</t>
  </si>
  <si>
    <t>متابعة مهام التسويق الإلكتروني والبيع أونالين — صيدليات أوبلس</t>
  </si>
  <si>
    <t>م</t>
  </si>
  <si>
    <t>المهمة</t>
  </si>
  <si>
    <t>المسؤول (A)</t>
  </si>
  <si>
    <t>المنفّذ (C)</t>
  </si>
  <si>
    <t>المُخطَر (I)</t>
  </si>
  <si>
    <t>التكلفة</t>
  </si>
  <si>
    <t>تاريخ البداية</t>
  </si>
  <si>
    <t>تاريخ النهاية</t>
  </si>
  <si>
    <t>الحالة</t>
  </si>
  <si>
    <t>ملاحظات</t>
  </si>
  <si>
    <t>إجراء المقابلات واختيار مسؤول عمليات المتجر (صيدلانية من داخل الشركة)</t>
  </si>
  <si>
    <t>د. الحسن</t>
  </si>
  <si>
    <t>الموارد البشرية</t>
  </si>
  <si>
    <t>د. الزيني</t>
  </si>
  <si>
    <t>يتم الاختيار بعد إجراء المقابلات</t>
  </si>
  <si>
    <t>تعيين وتفعيل دور أخصائي التسويق (أ. عائشة)</t>
  </si>
  <si>
    <t>توزيع المهام والمسؤوليات على فريق التجارة الإلكترونية</t>
  </si>
  <si>
    <t>تفعيل الباقة الاحترافية على منصة زد</t>
  </si>
  <si>
    <t>تعيين مدير حساب متخصص من زد لدعم مسؤول العمليات</t>
  </si>
  <si>
    <t>منصة زد</t>
  </si>
  <si>
    <t>تدريب مسؤول عمليات المتجر على إدارة المنصة</t>
  </si>
  <si>
    <t>الاستفادة من خصائص وتقارير الباقة الاحترافية في تحسين الأداء</t>
  </si>
  <si>
    <t>مسؤول عمليات المتجر</t>
  </si>
  <si>
    <t>التواصل المباشر مع شركة جوليب وعقد الاجتماعات</t>
  </si>
  <si>
    <t>زيارة مواقع تم تفعيل نظام جوليب ومعاينة التشغيل الفعلي</t>
  </si>
  <si>
    <t>دراسة إمكانية تكامل جوليب مع أنظمة أوبلس</t>
  </si>
  <si>
    <t>إعداد التقرير النهائي والتوصية بشأن تفعيل جوليب</t>
  </si>
  <si>
    <t>ربط المتجر الإلكتروني بالمنصات الخارجية عبر Linkit</t>
  </si>
  <si>
    <t>الربط مع هنقرستيشن وجاهز ومرسول عبر Linkit</t>
  </si>
  <si>
    <t>تحديث الأسعار وأرصدة المخزون بشكل دوري عبر Linkit</t>
  </si>
  <si>
    <t>استكمال المتطلبات التجارية والفنية وتوقيع اتفاقية تابي</t>
  </si>
  <si>
    <t>تنفيذ الربط التقني لتابي واختبار عمليات الدفع</t>
  </si>
  <si>
    <t>تدريب مسؤول العمليات على متابعة طلبات تابي</t>
  </si>
  <si>
    <t>استكمال حسابات المطورين ومتابعة اعتماد المستندات</t>
  </si>
  <si>
    <t>App Store + Google Play</t>
  </si>
  <si>
    <t>استلام النسخة التجريبية واختبارها داخليًا وتسجيل الملاحظات</t>
  </si>
  <si>
    <t>رفع التطبيق على المنصات ومتابعة الاعتماد</t>
  </si>
  <si>
    <t>الإطلاق الرسمي للتطبيق ومتابعة التقييمات</t>
  </si>
  <si>
    <t>دراسة والتفاوض مع شركات التوصيل لتغطية المناطق غير المغطاة</t>
  </si>
  <si>
    <t>توقيع اتفاقيات مستوى الخدمة (SLA) مع شركات التوصيل</t>
  </si>
  <si>
    <t>التوسع في التوصيل إلى الرياض ووادي الدواسر والحوطة والسليل</t>
  </si>
  <si>
    <t>تخصيص رقم/كود خاص لطلبات واتساب لقياس مبيعات الرقم الموحد</t>
  </si>
  <si>
    <t>خطوة قادمة — بدء العمل</t>
  </si>
  <si>
    <t>تجهيز وتشغيل الصيدليات المستهدفة للوصول إلى 20 صيدلية مفعّلة</t>
  </si>
  <si>
    <t>كحلي</t>
  </si>
  <si>
    <t>15 من 20 مفعّلة حاليًا</t>
  </si>
  <si>
    <t>فصل وقياس مبيعات واتساب بدقة</t>
  </si>
  <si>
    <t>تفعيل رسائل واتساب التلقائية وإعادة التواصل مع العميل بعد الطلب</t>
  </si>
  <si>
    <t>أخصائي التسويق (أ. عائشة)</t>
  </si>
  <si>
    <t>تم التكامل بين المتجر وواتساب</t>
  </si>
  <si>
    <t>إضافة وتحديث المنتجات ومراجعة الأسعار والعروض</t>
  </si>
  <si>
    <t>عملية مستمرة</t>
  </si>
  <si>
    <t>متابعة المخزون والمنتجات غير المتوفرة</t>
  </si>
  <si>
    <t>استقبال الطلبات وتوجيهها للفروع ومتابعة التجهيز والتسليم</t>
  </si>
  <si>
    <t>متابعة الطلبات المتأخرة والملغاة والشكاوى التشغيلية</t>
  </si>
  <si>
    <t>تنفيذ التحسينات المطلوبة على المتجر بالتنسيق مع مدير حساب زد</t>
  </si>
  <si>
    <t>تحسين أداء الحملات التسويقية وزيادة معدل التحويل</t>
  </si>
  <si>
    <t>تنفيذ حملات إعادة استهداف العملاء السابقين</t>
  </si>
  <si>
    <t>متابعة السلات المتروكة وتنفيذ حملات استعادتها</t>
  </si>
  <si>
    <t>تنفيذ حملات الحفاظ على العملاء الحاليين</t>
  </si>
  <si>
    <t>متابعة أداء السوشيال ميديا وإعداد محتوى الحملات والعروض</t>
  </si>
  <si>
    <t>متابعة أداء شركة التسويق الخارجية والتنسيق معها</t>
  </si>
  <si>
    <t>إعداد التقارير اليومية (الطلبات، المبيعات، المخزون)</t>
  </si>
  <si>
    <t>إعداد التقارير الأسبوعية (القنوات، الحملات، السلات المتروكة، واتساب)</t>
  </si>
  <si>
    <t>إعداد التقارير الشهرية للإدارة (المستهدف مقابل الفعلي، نمو المبيعات)</t>
  </si>
  <si>
    <t>بناء قاعدة بيانات وتقارير تساعد في إعداد خطة نمو 2027</t>
  </si>
  <si>
    <t>*نسبة التقدم الكلي تحتسب المهام «جاري» . آخر تحديث: 19 يوليو 2026</t>
  </si>
  <si>
    <t>الإنجاز حسب المشروع</t>
  </si>
  <si>
    <t xml:space="preserve">الإشراف على تجهيزات المكتب وصيانة البنية التشغيلية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</si>
</sst>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"/>
    </font>
    <font>
      <b/>
      <sz val="17"/>
      <color rgb="FFFFFFFF"/>
      <name val="Tajawal"/>
      <charset val="1"/>
    </font>
    <font>
      <b/>
      <sz val="11"/>
      <color rgb="FFE2241B"/>
      <name val="Tajawal"/>
      <charset val="1"/>
    </font>
    <font>
      <b/>
      <sz val="10"/>
      <color rgb="FFFFFFFF"/>
      <name val="Tajawal"/>
      <charset val="1"/>
    </font>
    <font>
      <b/>
      <sz val="20"/>
      <color rgb="FFE2241B"/>
      <name val="Tajawal"/>
      <charset val="1"/>
    </font>
    <font>
      <b/>
      <sz val="20"/>
      <color rgb="FF1B5E20"/>
      <name val="Tajawal"/>
      <charset val="1"/>
    </font>
    <font>
      <b/>
      <sz val="20"/>
      <color rgb="FFC88A00"/>
      <name val="Tajawal"/>
      <charset val="1"/>
    </font>
    <font>
      <b/>
      <sz val="20"/>
      <color rgb="FF6C757D"/>
      <name val="Tajawal"/>
      <charset val="1"/>
    </font>
    <font>
      <b/>
      <sz val="20"/>
      <color rgb="FF1A1A1A"/>
      <name val="Tajawal"/>
      <charset val="1"/>
    </font>
    <font>
      <sz val="9"/>
      <color rgb="FF777777"/>
      <name val="Tajawal"/>
      <charset val="1"/>
    </font>
    <font>
      <b/>
      <sz val="13"/>
      <color rgb="FFFFFFFF"/>
      <name val="Tajawal"/>
      <charset val="1"/>
    </font>
    <font>
      <sz val="10"/>
      <color rgb="FF1A1A1A"/>
      <name val="Tajawal"/>
      <charset val="1"/>
    </font>
    <font>
      <b/>
      <sz val="10"/>
      <color rgb="FFE2241B"/>
      <name val="Tajawal"/>
      <charset val="1"/>
    </font>
    <font>
      <b/>
      <sz val="16"/>
      <color rgb="FFFFFFFF"/>
      <name val="Tajawal"/>
      <charset val="1"/>
    </font>
    <font>
      <b/>
      <sz val="11"/>
      <color rgb="FFFFFFFF"/>
      <name val="Tajawal"/>
      <charset val="1"/>
    </font>
    <font>
      <b/>
      <sz val="10"/>
      <color rgb="FF1A1A1A"/>
      <name val="Tajawal"/>
      <charset val="1"/>
    </font>
    <font>
      <sz val="10"/>
      <name val="FreeSans"/>
      <family val="2"/>
    </font>
    <font>
      <b/>
      <sz val="11"/>
      <color rgb="FFFFFFFF"/>
      <name val="Tajawal"/>
      <charset val="178"/>
    </font>
    <font>
      <b/>
      <sz val="10"/>
      <color rgb="FF1A1A1A"/>
      <name val="Tajawal"/>
      <charset val="178"/>
    </font>
    <font>
      <b/>
      <sz val="11"/>
      <color theme="1"/>
      <name val="Calibri"/>
      <family val="2"/>
      <charset val="178"/>
    </font>
  </fonts>
  <fills count="10">
    <fill>
      <patternFill patternType="none"/>
    </fill>
    <fill>
      <patternFill patternType="gray125"/>
    </fill>
    <fill>
      <patternFill patternType="solid">
        <fgColor rgb="FFE2241B"/>
        <bgColor rgb="FF993366"/>
      </patternFill>
    </fill>
    <fill>
      <patternFill patternType="solid">
        <fgColor rgb="FF1B5E20"/>
        <bgColor rgb="FF3A3A3A"/>
      </patternFill>
    </fill>
    <fill>
      <patternFill patternType="solid">
        <fgColor rgb="FFC88A00"/>
        <bgColor rgb="FF8A6D00"/>
      </patternFill>
    </fill>
    <fill>
      <patternFill patternType="solid">
        <fgColor rgb="FF6C757D"/>
        <bgColor rgb="FF777777"/>
      </patternFill>
    </fill>
    <fill>
      <patternFill patternType="solid">
        <fgColor rgb="FF1A1A1A"/>
        <bgColor rgb="FF003300"/>
      </patternFill>
    </fill>
    <fill>
      <patternFill patternType="solid">
        <fgColor rgb="FFFFFFFF"/>
        <bgColor rgb="FFF9F9F9"/>
      </patternFill>
    </fill>
    <fill>
      <patternFill patternType="solid">
        <fgColor rgb="FF3A3A3A"/>
        <bgColor rgb="FF1A1A1A"/>
      </patternFill>
    </fill>
    <fill>
      <patternFill patternType="solid">
        <fgColor rgb="FFF4F4F4"/>
        <bgColor rgb="FFF9F9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center" vertical="center" wrapText="1" readingOrder="2"/>
    </xf>
    <xf numFmtId="0" fontId="3" fillId="5" borderId="1" xfId="0" applyFont="1" applyFill="1" applyBorder="1" applyAlignment="1">
      <alignment horizontal="center" vertical="center" wrapText="1" readingOrder="2"/>
    </xf>
    <xf numFmtId="0" fontId="3" fillId="6" borderId="1" xfId="0" applyFont="1" applyFill="1" applyBorder="1" applyAlignment="1">
      <alignment horizontal="center" vertical="center" wrapText="1" readingOrder="2"/>
    </xf>
    <xf numFmtId="1" fontId="4" fillId="7" borderId="1" xfId="0" applyNumberFormat="1" applyFont="1" applyFill="1" applyBorder="1" applyAlignment="1">
      <alignment horizontal="center" vertical="center" wrapText="1" readingOrder="2"/>
    </xf>
    <xf numFmtId="1" fontId="5" fillId="7" borderId="1" xfId="0" applyNumberFormat="1" applyFont="1" applyFill="1" applyBorder="1" applyAlignment="1">
      <alignment horizontal="center" vertical="center" wrapText="1" readingOrder="2"/>
    </xf>
    <xf numFmtId="1" fontId="6" fillId="7" borderId="1" xfId="0" applyNumberFormat="1" applyFont="1" applyFill="1" applyBorder="1" applyAlignment="1">
      <alignment horizontal="center" vertical="center" wrapText="1" readingOrder="2"/>
    </xf>
    <xf numFmtId="1" fontId="7" fillId="7" borderId="1" xfId="0" applyNumberFormat="1" applyFont="1" applyFill="1" applyBorder="1" applyAlignment="1">
      <alignment horizontal="center" vertical="center" wrapText="1" readingOrder="2"/>
    </xf>
    <xf numFmtId="9" fontId="4" fillId="7" borderId="1" xfId="0" applyNumberFormat="1" applyFont="1" applyFill="1" applyBorder="1" applyAlignment="1">
      <alignment horizontal="center" vertical="center" wrapText="1" readingOrder="2"/>
    </xf>
    <xf numFmtId="9" fontId="8" fillId="7" borderId="1" xfId="0" applyNumberFormat="1" applyFont="1" applyFill="1" applyBorder="1" applyAlignment="1">
      <alignment horizontal="center" vertical="center" wrapText="1" readingOrder="2"/>
    </xf>
    <xf numFmtId="0" fontId="3" fillId="8" borderId="1" xfId="0" applyFont="1" applyFill="1" applyBorder="1" applyAlignment="1">
      <alignment horizontal="center" vertical="center" wrapText="1" readingOrder="2"/>
    </xf>
    <xf numFmtId="0" fontId="11" fillId="7" borderId="1" xfId="0" applyFont="1" applyFill="1" applyBorder="1" applyAlignment="1">
      <alignment horizontal="right" vertical="center" wrapText="1" readingOrder="2"/>
    </xf>
    <xf numFmtId="0" fontId="11" fillId="7" borderId="1" xfId="0" applyFont="1" applyFill="1" applyBorder="1" applyAlignment="1">
      <alignment horizontal="center" vertical="center" wrapText="1" readingOrder="2"/>
    </xf>
    <xf numFmtId="9" fontId="12" fillId="7" borderId="1" xfId="0" applyNumberFormat="1" applyFont="1" applyFill="1" applyBorder="1" applyAlignment="1">
      <alignment horizontal="center" vertical="center" wrapText="1" readingOrder="2"/>
    </xf>
    <xf numFmtId="0" fontId="11" fillId="9" borderId="1" xfId="0" applyFont="1" applyFill="1" applyBorder="1" applyAlignment="1">
      <alignment horizontal="right" vertical="center" wrapText="1" readingOrder="2"/>
    </xf>
    <xf numFmtId="0" fontId="11" fillId="9" borderId="1" xfId="0" applyFont="1" applyFill="1" applyBorder="1" applyAlignment="1">
      <alignment horizontal="center" vertical="center" wrapText="1" readingOrder="2"/>
    </xf>
    <xf numFmtId="9" fontId="12" fillId="9" borderId="1" xfId="0" applyNumberFormat="1" applyFont="1" applyFill="1" applyBorder="1" applyAlignment="1">
      <alignment horizontal="center" vertical="center" wrapText="1" readingOrder="2"/>
    </xf>
    <xf numFmtId="0" fontId="3" fillId="6" borderId="1" xfId="0" applyFont="1" applyFill="1" applyBorder="1" applyAlignment="1">
      <alignment horizontal="right" vertical="center" wrapText="1" readingOrder="2"/>
    </xf>
    <xf numFmtId="9" fontId="3" fillId="6" borderId="1" xfId="0" applyNumberFormat="1" applyFont="1" applyFill="1" applyBorder="1" applyAlignment="1">
      <alignment horizontal="center" vertical="center" wrapText="1" readingOrder="2"/>
    </xf>
    <xf numFmtId="0" fontId="14" fillId="8" borderId="1" xfId="0" applyFont="1" applyFill="1" applyBorder="1" applyAlignment="1">
      <alignment horizontal="center" vertical="center" wrapText="1" readingOrder="2"/>
    </xf>
    <xf numFmtId="0" fontId="15" fillId="7" borderId="1" xfId="0" applyFont="1" applyFill="1" applyBorder="1" applyAlignment="1">
      <alignment horizontal="center" vertical="center" wrapText="1" readingOrder="2"/>
    </xf>
    <xf numFmtId="0" fontId="15" fillId="9" borderId="1" xfId="0" applyFont="1" applyFill="1" applyBorder="1" applyAlignment="1">
      <alignment horizontal="center" vertical="center" wrapText="1" readingOrder="2"/>
    </xf>
    <xf numFmtId="0" fontId="17" fillId="8" borderId="1" xfId="0" applyFont="1" applyFill="1" applyBorder="1" applyAlignment="1">
      <alignment horizontal="center" vertical="center" wrapText="1" readingOrder="2"/>
    </xf>
    <xf numFmtId="0" fontId="18" fillId="7" borderId="1" xfId="0" applyFont="1" applyFill="1" applyBorder="1" applyAlignment="1">
      <alignment horizontal="right" vertical="center" wrapText="1" readingOrder="2"/>
    </xf>
    <xf numFmtId="0" fontId="18" fillId="9" borderId="1" xfId="0" applyFont="1" applyFill="1" applyBorder="1" applyAlignment="1">
      <alignment horizontal="right" vertical="center" wrapText="1" readingOrder="2"/>
    </xf>
    <xf numFmtId="0" fontId="19" fillId="0" borderId="0" xfId="0" applyFont="1"/>
    <xf numFmtId="0" fontId="13" fillId="2" borderId="0" xfId="0" applyFont="1" applyFill="1" applyAlignment="1">
      <alignment horizontal="center" vertical="center" wrapText="1" readingOrder="2"/>
    </xf>
    <xf numFmtId="0" fontId="1" fillId="2" borderId="0" xfId="0" applyFont="1" applyFill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0" fontId="9" fillId="0" borderId="0" xfId="0" applyFont="1" applyAlignment="1">
      <alignment horizontal="center" vertical="center" wrapText="1" readingOrder="2"/>
    </xf>
    <xf numFmtId="0" fontId="10" fillId="8" borderId="0" xfId="0" applyFont="1" applyFill="1" applyAlignment="1">
      <alignment horizontal="center" vertical="center" wrapText="1" readingOrder="2"/>
    </xf>
  </cellXfs>
  <cellStyles count="1">
    <cellStyle name="Normal" xfId="0" builtinId="0"/>
  </cellStyles>
  <dxfs count="3">
    <dxf>
      <font>
        <b/>
        <sz val="10"/>
        <color rgb="FF7A1F26"/>
        <name val="Tajawal"/>
        <charset val="1"/>
      </font>
      <fill>
        <patternFill>
          <bgColor rgb="FFF8D7DA"/>
        </patternFill>
      </fill>
    </dxf>
    <dxf>
      <font>
        <b/>
        <sz val="10"/>
        <color rgb="FF8A6D00"/>
        <name val="Tajawal"/>
        <charset val="1"/>
      </font>
      <fill>
        <patternFill>
          <bgColor rgb="FFFFF3CD"/>
        </patternFill>
      </fill>
    </dxf>
    <dxf>
      <font>
        <b/>
        <sz val="10"/>
        <color rgb="FF1B5E20"/>
        <name val="Tajawal"/>
        <charset val="1"/>
      </font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2241B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A6D00"/>
      <rgbColor rgb="FF800080"/>
      <rgbColor rgb="FF008080"/>
      <rgbColor rgb="FFC0C0C0"/>
      <rgbColor rgb="FF878787"/>
      <rgbColor rgb="FF9999FF"/>
      <rgbColor rgb="FF993366"/>
      <rgbColor rgb="FFFFF3CD"/>
      <rgbColor rgb="FFF4F4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8E6C9"/>
      <rgbColor rgb="FFFFFF99"/>
      <rgbColor rgb="FF99CCFF"/>
      <rgbColor rgb="FFFF99CC"/>
      <rgbColor rgb="FFCC99FF"/>
      <rgbColor rgb="FFF8D7DA"/>
      <rgbColor rgb="FF4F81BD"/>
      <rgbColor rgb="FF33CCCC"/>
      <rgbColor rgb="FF99CC00"/>
      <rgbColor rgb="FFFFCC00"/>
      <rgbColor rgb="FFC88A00"/>
      <rgbColor rgb="FFFF6600"/>
      <rgbColor rgb="FF6C757D"/>
      <rgbColor rgb="FF777777"/>
      <rgbColor rgb="FF003366"/>
      <rgbColor rgb="FF339966"/>
      <rgbColor rgb="FF003300"/>
      <rgbColor rgb="FF1A1A1A"/>
      <rgbColor rgb="FF7A1F26"/>
      <rgbColor rgb="FF993366"/>
      <rgbColor rgb="FF333399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نسبة الإنجاز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'لوحة المتابعة'!$G$10</c:f>
              <c:strCache>
                <c:ptCount val="1"/>
                <c:pt idx="0">
                  <c:v>نسبة الإنجاز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المتابعة'!$B$11:$B$22</c:f>
              <c:strCache>
                <c:ptCount val="12"/>
                <c:pt idx="0">
                  <c:v>الهيكل الوظيفي</c:v>
                </c:pt>
                <c:pt idx="1">
                  <c:v>منصة زد (الباقة الاحترافية)</c:v>
                </c:pt>
                <c:pt idx="2">
                  <c:v>مشروع جوليب</c:v>
                </c:pt>
                <c:pt idx="3">
                  <c:v>منصة Linkit</c:v>
                </c:pt>
                <c:pt idx="4">
                  <c:v>تفعيل تابي</c:v>
                </c:pt>
                <c:pt idx="5">
                  <c:v>تطبيق الموبايل</c:v>
                </c:pt>
                <c:pt idx="6">
                  <c:v>اتفاقيات التوصيل</c:v>
                </c:pt>
                <c:pt idx="7">
                  <c:v>منظومة واتساب والرقم الموحد</c:v>
                </c:pt>
                <c:pt idx="8">
                  <c:v>عمليات المتجر</c:v>
                </c:pt>
                <c:pt idx="9">
                  <c:v>التسويق والحملات</c:v>
                </c:pt>
                <c:pt idx="10">
                  <c:v>البنية التشغيلية والصيانة</c:v>
                </c:pt>
                <c:pt idx="11">
                  <c:v>التقارير والمتابعة</c:v>
                </c:pt>
              </c:strCache>
            </c:strRef>
          </c:cat>
          <c:val>
            <c:numRef>
              <c:f>'لوحة المتابعة'!$G$11:$G$22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A-4DE9-A42E-DE87E569C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350307"/>
        <c:axId val="10795805"/>
      </c:barChart>
      <c:catAx>
        <c:axId val="943503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795805"/>
        <c:crosses val="autoZero"/>
        <c:auto val="1"/>
        <c:lblAlgn val="ctr"/>
        <c:lblOffset val="100"/>
        <c:noMultiLvlLbl val="0"/>
      </c:catAx>
      <c:valAx>
        <c:axId val="1079580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3503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-433080</xdr:colOff>
      <xdr:row>24</xdr:row>
      <xdr:rowOff>0</xdr:rowOff>
    </xdr:from>
    <xdr:to>
      <xdr:col>7</xdr:col>
      <xdr:colOff>0</xdr:colOff>
      <xdr:row>41</xdr:row>
      <xdr:rowOff>181080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3"/>
  <sheetViews>
    <sheetView showGridLines="0" rightToLeft="1" zoomScaleNormal="100" workbookViewId="0">
      <selection activeCell="I13" sqref="I13"/>
    </sheetView>
  </sheetViews>
  <sheetFormatPr defaultColWidth="8.609375" defaultRowHeight="15"/>
  <cols>
    <col min="1" max="1" width="4.03515625" customWidth="1"/>
    <col min="2" max="8" width="16.0078125" customWidth="1"/>
  </cols>
  <sheetData>
    <row r="1" spans="2:8" ht="39.75" customHeight="1">
      <c r="B1" s="29" t="s">
        <v>0</v>
      </c>
      <c r="C1" s="29"/>
      <c r="D1" s="29"/>
      <c r="E1" s="29"/>
      <c r="F1" s="29"/>
      <c r="G1" s="29"/>
      <c r="H1" s="29"/>
    </row>
    <row r="2" spans="2:8" ht="21.75" customHeight="1">
      <c r="B2" s="30" t="s">
        <v>1</v>
      </c>
      <c r="C2" s="30"/>
      <c r="D2" s="30"/>
      <c r="E2" s="30"/>
      <c r="F2" s="30"/>
      <c r="G2" s="30"/>
      <c r="H2" s="30"/>
    </row>
    <row r="4" spans="2:8" ht="30" customHeight="1">
      <c r="B4" s="1" t="s">
        <v>2</v>
      </c>
      <c r="C4" s="2" t="s">
        <v>3</v>
      </c>
      <c r="D4" s="3" t="s">
        <v>4</v>
      </c>
      <c r="E4" s="4" t="s">
        <v>5</v>
      </c>
      <c r="F4" s="1" t="s">
        <v>6</v>
      </c>
      <c r="G4" s="5" t="s">
        <v>7</v>
      </c>
    </row>
    <row r="5" spans="2:8" ht="42" customHeight="1">
      <c r="B5" s="6">
        <f>COUNTA(المهام!$C$3:$C$46)</f>
        <v>44</v>
      </c>
      <c r="C5" s="7">
        <f>COUNTIF(المهام!$J$3:$J$46,"تم")</f>
        <v>1</v>
      </c>
      <c r="D5" s="8">
        <f>COUNTIF(المهام!$J$3:$J$46,"جاري")</f>
        <v>21</v>
      </c>
      <c r="E5" s="9">
        <f>COUNTIF(المهام!$J$3:$J$46,"لم يبدأ")</f>
        <v>22</v>
      </c>
      <c r="F5" s="10">
        <f>COUNTIF(المهام!$J$3:$J$46,"تم")/COUNTA(المهام!$C$3:$C$46)</f>
        <v>2.2727272727272728E-2</v>
      </c>
      <c r="G5" s="11">
        <f>(COUNTIF(المهام!$J$3:$J$46,"تم")+COUNTIF(المهام!$J$3:$J$46,"جاري")*0.5)/COUNTA(المهام!$C$3:$C$46)</f>
        <v>0.26136363636363635</v>
      </c>
    </row>
    <row r="7" spans="2:8" ht="15" customHeight="1">
      <c r="B7" s="31" t="s">
        <v>94</v>
      </c>
      <c r="C7" s="31"/>
      <c r="D7" s="31"/>
      <c r="E7" s="31"/>
      <c r="F7" s="31"/>
      <c r="G7" s="31"/>
      <c r="H7" s="31"/>
    </row>
    <row r="9" spans="2:8" ht="25.5" customHeight="1">
      <c r="B9" s="32" t="s">
        <v>95</v>
      </c>
      <c r="C9" s="32"/>
      <c r="D9" s="32"/>
      <c r="E9" s="32"/>
      <c r="F9" s="32"/>
      <c r="G9" s="32"/>
      <c r="H9" s="32"/>
    </row>
    <row r="10" spans="2:8" ht="24" customHeight="1">
      <c r="B10" s="12" t="s">
        <v>8</v>
      </c>
      <c r="C10" s="12" t="s">
        <v>9</v>
      </c>
      <c r="D10" s="12" t="s">
        <v>10</v>
      </c>
      <c r="E10" s="12" t="s">
        <v>11</v>
      </c>
      <c r="F10" s="12" t="s">
        <v>12</v>
      </c>
      <c r="G10" s="1" t="s">
        <v>13</v>
      </c>
    </row>
    <row r="11" spans="2:8" ht="21.75" customHeight="1">
      <c r="B11" s="13" t="s">
        <v>14</v>
      </c>
      <c r="C11" s="14">
        <f>COUNTIF(المهام!$B$3:$B$46,"الهيكل الوظيفي")</f>
        <v>3</v>
      </c>
      <c r="D11" s="14">
        <f>COUNTIFS(المهام!$B$3:$B$46,"الهيكل الوظيفي",المهام!$J$3:$J$46,"تم")</f>
        <v>0</v>
      </c>
      <c r="E11" s="14">
        <f>COUNTIFS(المهام!$B$3:$B$46,"الهيكل الوظيفي",المهام!$J$3:$J$46,"جاري")</f>
        <v>3</v>
      </c>
      <c r="F11" s="14">
        <f>COUNTIFS(المهام!$B$3:$B$46,"الهيكل الوظيفي",المهام!$J$3:$J$46,"لم يبدأ")</f>
        <v>0</v>
      </c>
      <c r="G11" s="15">
        <f t="shared" ref="G11:G23" si="0">IFERROR(D11/C11,0)</f>
        <v>0</v>
      </c>
    </row>
    <row r="12" spans="2:8" ht="21.75" customHeight="1">
      <c r="B12" s="16" t="s">
        <v>15</v>
      </c>
      <c r="C12" s="17">
        <f>COUNTIF(المهام!$B$3:$B$46,"منصة زد (الباقة الاحترافية)")</f>
        <v>4</v>
      </c>
      <c r="D12" s="17">
        <f>COUNTIFS(المهام!$B$3:$B$46,"منصة زد (الباقة الاحترافية)",المهام!$J$3:$J$46,"تم")</f>
        <v>0</v>
      </c>
      <c r="E12" s="17">
        <f>COUNTIFS(المهام!$B$3:$B$46,"منصة زد (الباقة الاحترافية)",المهام!$J$3:$J$46,"جاري")</f>
        <v>0</v>
      </c>
      <c r="F12" s="17">
        <f>COUNTIFS(المهام!$B$3:$B$46,"منصة زد (الباقة الاحترافية)",المهام!$J$3:$J$46,"لم يبدأ")</f>
        <v>4</v>
      </c>
      <c r="G12" s="18">
        <f t="shared" si="0"/>
        <v>0</v>
      </c>
    </row>
    <row r="13" spans="2:8" ht="21.75" customHeight="1">
      <c r="B13" s="13" t="s">
        <v>16</v>
      </c>
      <c r="C13" s="14">
        <f>COUNTIF(المهام!$B$3:$B$46,"مشروع جوليب")</f>
        <v>4</v>
      </c>
      <c r="D13" s="14">
        <f>COUNTIFS(المهام!$B$3:$B$46,"مشروع جوليب",المهام!$J$3:$J$46,"تم")</f>
        <v>0</v>
      </c>
      <c r="E13" s="14">
        <f>COUNTIFS(المهام!$B$3:$B$46,"مشروع جوليب",المهام!$J$3:$J$46,"جاري")</f>
        <v>3</v>
      </c>
      <c r="F13" s="14">
        <f>COUNTIFS(المهام!$B$3:$B$46,"مشروع جوليب",المهام!$J$3:$J$46,"لم يبدأ")</f>
        <v>1</v>
      </c>
      <c r="G13" s="15">
        <f t="shared" si="0"/>
        <v>0</v>
      </c>
    </row>
    <row r="14" spans="2:8" ht="21.75" customHeight="1">
      <c r="B14" s="16" t="s">
        <v>17</v>
      </c>
      <c r="C14" s="17">
        <f>COUNTIF(المهام!$B$3:$B$46,"منصة Linkit")</f>
        <v>3</v>
      </c>
      <c r="D14" s="17">
        <f>COUNTIFS(المهام!$B$3:$B$46,"منصة Linkit",المهام!$J$3:$J$46,"تم")</f>
        <v>0</v>
      </c>
      <c r="E14" s="17">
        <f>COUNTIFS(المهام!$B$3:$B$46,"منصة Linkit",المهام!$J$3:$J$46,"جاري")</f>
        <v>0</v>
      </c>
      <c r="F14" s="17">
        <f>COUNTIFS(المهام!$B$3:$B$46,"منصة Linkit",المهام!$J$3:$J$46,"لم يبدأ")</f>
        <v>3</v>
      </c>
      <c r="G14" s="18">
        <f t="shared" si="0"/>
        <v>0</v>
      </c>
    </row>
    <row r="15" spans="2:8" ht="21.75" customHeight="1">
      <c r="B15" s="13" t="s">
        <v>18</v>
      </c>
      <c r="C15" s="14">
        <f>COUNTIF(المهام!$B$3:$B$46,"تفعيل تابي")</f>
        <v>3</v>
      </c>
      <c r="D15" s="14">
        <f>COUNTIFS(المهام!$B$3:$B$46,"تفعيل تابي",المهام!$J$3:$J$46,"تم")</f>
        <v>0</v>
      </c>
      <c r="E15" s="14">
        <f>COUNTIFS(المهام!$B$3:$B$46,"تفعيل تابي",المهام!$J$3:$J$46,"جاري")</f>
        <v>0</v>
      </c>
      <c r="F15" s="14">
        <f>COUNTIFS(المهام!$B$3:$B$46,"تفعيل تابي",المهام!$J$3:$J$46,"لم يبدأ")</f>
        <v>3</v>
      </c>
      <c r="G15" s="15">
        <f t="shared" si="0"/>
        <v>0</v>
      </c>
    </row>
    <row r="16" spans="2:8" ht="21.75" customHeight="1">
      <c r="B16" s="16" t="s">
        <v>19</v>
      </c>
      <c r="C16" s="17">
        <f>COUNTIF(المهام!$B$3:$B$46,"تطبيق الموبايل")</f>
        <v>4</v>
      </c>
      <c r="D16" s="17">
        <f>COUNTIFS(المهام!$B$3:$B$46,"تطبيق الموبايل",المهام!$J$3:$J$46,"تم")</f>
        <v>0</v>
      </c>
      <c r="E16" s="17">
        <f>COUNTIFS(المهام!$B$3:$B$46,"تطبيق الموبايل",المهام!$J$3:$J$46,"جاري")</f>
        <v>2</v>
      </c>
      <c r="F16" s="17">
        <f>COUNTIFS(المهام!$B$3:$B$46,"تطبيق الموبايل",المهام!$J$3:$J$46,"لم يبدأ")</f>
        <v>2</v>
      </c>
      <c r="G16" s="18">
        <f t="shared" si="0"/>
        <v>0</v>
      </c>
    </row>
    <row r="17" spans="2:7" ht="21.75" customHeight="1">
      <c r="B17" s="13" t="s">
        <v>20</v>
      </c>
      <c r="C17" s="14">
        <f>COUNTIF(المهام!$B$3:$B$46,"اتفاقيات التوصيل")</f>
        <v>3</v>
      </c>
      <c r="D17" s="14">
        <f>COUNTIFS(المهام!$B$3:$B$46,"اتفاقيات التوصيل",المهام!$J$3:$J$46,"تم")</f>
        <v>0</v>
      </c>
      <c r="E17" s="14">
        <f>COUNTIFS(المهام!$B$3:$B$46,"اتفاقيات التوصيل",المهام!$J$3:$J$46,"جاري")</f>
        <v>0</v>
      </c>
      <c r="F17" s="14">
        <f>COUNTIFS(المهام!$B$3:$B$46,"اتفاقيات التوصيل",المهام!$J$3:$J$46,"لم يبدأ")</f>
        <v>3</v>
      </c>
      <c r="G17" s="15">
        <f t="shared" si="0"/>
        <v>0</v>
      </c>
    </row>
    <row r="18" spans="2:7" ht="21.75" customHeight="1">
      <c r="B18" s="16" t="s">
        <v>21</v>
      </c>
      <c r="C18" s="17">
        <f>COUNTIF(المهام!$B$3:$B$46,"منظومة واتساب والرقم الموحد")</f>
        <v>4</v>
      </c>
      <c r="D18" s="17">
        <f>COUNTIFS(المهام!$B$3:$B$46,"منظومة واتساب والرقم الموحد",المهام!$J$3:$J$46,"تم")</f>
        <v>1</v>
      </c>
      <c r="E18" s="17">
        <f>COUNTIFS(المهام!$B$3:$B$46,"منظومة واتساب والرقم الموحد",المهام!$J$3:$J$46,"جاري")</f>
        <v>3</v>
      </c>
      <c r="F18" s="17">
        <f>COUNTIFS(المهام!$B$3:$B$46,"منظومة واتساب والرقم الموحد",المهام!$J$3:$J$46,"لم يبدأ")</f>
        <v>0</v>
      </c>
      <c r="G18" s="18">
        <f t="shared" si="0"/>
        <v>0.25</v>
      </c>
    </row>
    <row r="19" spans="2:7" ht="21.75" customHeight="1">
      <c r="B19" s="13" t="s">
        <v>22</v>
      </c>
      <c r="C19" s="14">
        <f>COUNTIF(المهام!$B$3:$B$46,"عمليات المتجر")</f>
        <v>5</v>
      </c>
      <c r="D19" s="14">
        <f>COUNTIFS(المهام!$B$3:$B$46,"عمليات المتجر",المهام!$J$3:$J$46,"تم")</f>
        <v>0</v>
      </c>
      <c r="E19" s="14">
        <f>COUNTIFS(المهام!$B$3:$B$46,"عمليات المتجر",المهام!$J$3:$J$46,"جاري")</f>
        <v>4</v>
      </c>
      <c r="F19" s="14">
        <f>COUNTIFS(المهام!$B$3:$B$46,"عمليات المتجر",المهام!$J$3:$J$46,"لم يبدأ")</f>
        <v>1</v>
      </c>
      <c r="G19" s="15">
        <f t="shared" si="0"/>
        <v>0</v>
      </c>
    </row>
    <row r="20" spans="2:7" ht="21.75" customHeight="1">
      <c r="B20" s="16" t="s">
        <v>23</v>
      </c>
      <c r="C20" s="17">
        <f>COUNTIF(المهام!$B$3:$B$46,"التسويق والحملات")</f>
        <v>6</v>
      </c>
      <c r="D20" s="17">
        <f>COUNTIFS(المهام!$B$3:$B$46,"التسويق والحملات",المهام!$J$3:$J$46,"تم")</f>
        <v>0</v>
      </c>
      <c r="E20" s="17">
        <f>COUNTIFS(المهام!$B$3:$B$46,"التسويق والحملات",المهام!$J$3:$J$46,"جاري")</f>
        <v>3</v>
      </c>
      <c r="F20" s="17">
        <f>COUNTIFS(المهام!$B$3:$B$46,"التسويق والحملات",المهام!$J$3:$J$46,"لم يبدأ")</f>
        <v>3</v>
      </c>
      <c r="G20" s="18">
        <f t="shared" si="0"/>
        <v>0</v>
      </c>
    </row>
    <row r="21" spans="2:7" ht="21.75" customHeight="1">
      <c r="B21" s="13" t="s">
        <v>24</v>
      </c>
      <c r="C21" s="14">
        <f>COUNTIF(المهام!$B$3:$B$46,"البنية التشغيلية والصيانة")</f>
        <v>1</v>
      </c>
      <c r="D21" s="14">
        <f>COUNTIFS(المهام!$B$3:$B$46,"البنية التشغيلية والصيانة",المهام!$J$3:$J$46,"تم")</f>
        <v>0</v>
      </c>
      <c r="E21" s="14">
        <f>COUNTIFS(المهام!$B$3:$B$46,"البنية التشغيلية والصيانة",المهام!$J$3:$J$46,"جاري")</f>
        <v>0</v>
      </c>
      <c r="F21" s="14">
        <f>COUNTIFS(المهام!$B$3:$B$46,"البنية التشغيلية والصيانة",المهام!$J$3:$J$46,"لم يبدأ")</f>
        <v>1</v>
      </c>
      <c r="G21" s="15">
        <f t="shared" si="0"/>
        <v>0</v>
      </c>
    </row>
    <row r="22" spans="2:7" ht="21.75" customHeight="1">
      <c r="B22" s="16" t="s">
        <v>25</v>
      </c>
      <c r="C22" s="17">
        <f>COUNTIF(المهام!$B$3:$B$46,"التقارير والمتابعة")</f>
        <v>4</v>
      </c>
      <c r="D22" s="17">
        <f>COUNTIFS(المهام!$B$3:$B$46,"التقارير والمتابعة",المهام!$J$3:$J$46,"تم")</f>
        <v>0</v>
      </c>
      <c r="E22" s="17">
        <f>COUNTIFS(المهام!$B$3:$B$46,"التقارير والمتابعة",المهام!$J$3:$J$46,"جاري")</f>
        <v>3</v>
      </c>
      <c r="F22" s="17">
        <f>COUNTIFS(المهام!$B$3:$B$46,"التقارير والمتابعة",المهام!$J$3:$J$46,"لم يبدأ")</f>
        <v>1</v>
      </c>
      <c r="G22" s="18">
        <f t="shared" si="0"/>
        <v>0</v>
      </c>
    </row>
    <row r="23" spans="2:7" ht="24" customHeight="1">
      <c r="B23" s="19" t="s">
        <v>26</v>
      </c>
      <c r="C23" s="5">
        <f>SUM(C11:C22)</f>
        <v>44</v>
      </c>
      <c r="D23" s="5">
        <f>SUM(D11:D22)</f>
        <v>1</v>
      </c>
      <c r="E23" s="5">
        <f>SUM(E11:E22)</f>
        <v>21</v>
      </c>
      <c r="F23" s="5">
        <f>SUM(F11:F22)</f>
        <v>22</v>
      </c>
      <c r="G23" s="20">
        <f t="shared" si="0"/>
        <v>2.2727272727272728E-2</v>
      </c>
    </row>
  </sheetData>
  <mergeCells count="4">
    <mergeCell ref="B1:H1"/>
    <mergeCell ref="B2:H2"/>
    <mergeCell ref="B7:H7"/>
    <mergeCell ref="B9:H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showGridLines="0" rightToLeft="1" tabSelected="1" topLeftCell="D1" zoomScaleNormal="100" workbookViewId="0">
      <pane ySplit="2" topLeftCell="D3" activePane="bottomLeft" state="frozen"/>
      <selection activeCell="D1" sqref="D1"/>
      <selection pane="bottomLeft" activeCell="J20" sqref="J20"/>
    </sheetView>
  </sheetViews>
  <sheetFormatPr defaultColWidth="8.609375" defaultRowHeight="15"/>
  <cols>
    <col min="1" max="1" width="4.9765625" customWidth="1"/>
    <col min="2" max="2" width="23.9453125" style="27" customWidth="1"/>
    <col min="3" max="3" width="57.9765625" customWidth="1"/>
    <col min="4" max="4" width="13.046875" customWidth="1"/>
    <col min="5" max="5" width="25.9609375" customWidth="1"/>
    <col min="6" max="6" width="11.97265625" customWidth="1"/>
    <col min="7" max="7" width="11.02734375" customWidth="1"/>
    <col min="8" max="9" width="13.046875" customWidth="1"/>
    <col min="10" max="10" width="11.97265625" customWidth="1"/>
    <col min="11" max="11" width="29.99609375" customWidth="1"/>
  </cols>
  <sheetData>
    <row r="1" spans="1:11" ht="33.75" customHeight="1">
      <c r="A1" s="28" t="s">
        <v>27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0" customHeight="1">
      <c r="A2" s="21" t="s">
        <v>28</v>
      </c>
      <c r="B2" s="24" t="s">
        <v>8</v>
      </c>
      <c r="C2" s="21" t="s">
        <v>29</v>
      </c>
      <c r="D2" s="21" t="s">
        <v>30</v>
      </c>
      <c r="E2" s="21" t="s">
        <v>31</v>
      </c>
      <c r="F2" s="21" t="s">
        <v>32</v>
      </c>
      <c r="G2" s="21" t="s">
        <v>33</v>
      </c>
      <c r="H2" s="21" t="s">
        <v>34</v>
      </c>
      <c r="I2" s="21" t="s">
        <v>35</v>
      </c>
      <c r="J2" s="21" t="s">
        <v>36</v>
      </c>
      <c r="K2" s="21" t="s">
        <v>37</v>
      </c>
    </row>
    <row r="3" spans="1:11" ht="30" customHeight="1">
      <c r="A3" s="22">
        <v>1</v>
      </c>
      <c r="B3" s="25" t="s">
        <v>14</v>
      </c>
      <c r="C3" s="13" t="s">
        <v>38</v>
      </c>
      <c r="D3" s="14" t="s">
        <v>39</v>
      </c>
      <c r="E3" s="13" t="s">
        <v>40</v>
      </c>
      <c r="F3" s="14" t="s">
        <v>41</v>
      </c>
      <c r="G3" s="14"/>
      <c r="H3" s="14"/>
      <c r="I3" s="14"/>
      <c r="J3" s="14" t="s">
        <v>11</v>
      </c>
      <c r="K3" s="13" t="s">
        <v>42</v>
      </c>
    </row>
    <row r="4" spans="1:11" ht="30" customHeight="1">
      <c r="A4" s="23">
        <v>2</v>
      </c>
      <c r="B4" s="26" t="s">
        <v>14</v>
      </c>
      <c r="C4" s="16" t="s">
        <v>43</v>
      </c>
      <c r="D4" s="17" t="s">
        <v>39</v>
      </c>
      <c r="E4" s="16" t="s">
        <v>40</v>
      </c>
      <c r="F4" s="17" t="s">
        <v>41</v>
      </c>
      <c r="G4" s="17"/>
      <c r="H4" s="17"/>
      <c r="I4" s="17"/>
      <c r="J4" s="17" t="s">
        <v>11</v>
      </c>
      <c r="K4" s="16"/>
    </row>
    <row r="5" spans="1:11" ht="30" customHeight="1">
      <c r="A5" s="22">
        <v>3</v>
      </c>
      <c r="B5" s="25" t="s">
        <v>14</v>
      </c>
      <c r="C5" s="13" t="s">
        <v>44</v>
      </c>
      <c r="D5" s="14" t="s">
        <v>39</v>
      </c>
      <c r="E5" s="13" t="s">
        <v>39</v>
      </c>
      <c r="F5" s="14" t="s">
        <v>41</v>
      </c>
      <c r="G5" s="14"/>
      <c r="H5" s="14"/>
      <c r="I5" s="14"/>
      <c r="J5" s="14" t="s">
        <v>11</v>
      </c>
      <c r="K5" s="13"/>
    </row>
    <row r="6" spans="1:11" ht="30" customHeight="1">
      <c r="A6" s="23">
        <v>4</v>
      </c>
      <c r="B6" s="26" t="s">
        <v>15</v>
      </c>
      <c r="C6" s="16" t="s">
        <v>45</v>
      </c>
      <c r="D6" s="17" t="s">
        <v>39</v>
      </c>
      <c r="E6" s="16" t="s">
        <v>39</v>
      </c>
      <c r="F6" s="17" t="s">
        <v>41</v>
      </c>
      <c r="G6" s="17"/>
      <c r="H6" s="17"/>
      <c r="I6" s="17"/>
      <c r="J6" s="17" t="s">
        <v>12</v>
      </c>
      <c r="K6" s="16"/>
    </row>
    <row r="7" spans="1:11" ht="30" customHeight="1">
      <c r="A7" s="22">
        <v>5</v>
      </c>
      <c r="B7" s="25" t="s">
        <v>15</v>
      </c>
      <c r="C7" s="13" t="s">
        <v>46</v>
      </c>
      <c r="D7" s="14" t="s">
        <v>39</v>
      </c>
      <c r="E7" s="13" t="s">
        <v>47</v>
      </c>
      <c r="F7" s="14" t="s">
        <v>41</v>
      </c>
      <c r="G7" s="14"/>
      <c r="H7" s="14"/>
      <c r="I7" s="14"/>
      <c r="J7" s="14" t="s">
        <v>12</v>
      </c>
      <c r="K7" s="13"/>
    </row>
    <row r="8" spans="1:11" ht="30" customHeight="1">
      <c r="A8" s="23">
        <v>6</v>
      </c>
      <c r="B8" s="26" t="s">
        <v>15</v>
      </c>
      <c r="C8" s="16" t="s">
        <v>48</v>
      </c>
      <c r="D8" s="17" t="s">
        <v>39</v>
      </c>
      <c r="E8" s="16" t="s">
        <v>47</v>
      </c>
      <c r="F8" s="17" t="s">
        <v>41</v>
      </c>
      <c r="G8" s="17"/>
      <c r="H8" s="17"/>
      <c r="I8" s="17"/>
      <c r="J8" s="17" t="s">
        <v>12</v>
      </c>
      <c r="K8" s="16"/>
    </row>
    <row r="9" spans="1:11" ht="30" customHeight="1">
      <c r="A9" s="22">
        <v>7</v>
      </c>
      <c r="B9" s="25" t="s">
        <v>15</v>
      </c>
      <c r="C9" s="13" t="s">
        <v>49</v>
      </c>
      <c r="D9" s="14" t="s">
        <v>39</v>
      </c>
      <c r="E9" s="13" t="s">
        <v>50</v>
      </c>
      <c r="F9" s="14" t="s">
        <v>41</v>
      </c>
      <c r="G9" s="14"/>
      <c r="H9" s="14"/>
      <c r="I9" s="14"/>
      <c r="J9" s="14" t="s">
        <v>12</v>
      </c>
      <c r="K9" s="13"/>
    </row>
    <row r="10" spans="1:11" ht="30" customHeight="1">
      <c r="A10" s="23">
        <v>8</v>
      </c>
      <c r="B10" s="26" t="s">
        <v>16</v>
      </c>
      <c r="C10" s="16" t="s">
        <v>51</v>
      </c>
      <c r="D10" s="17" t="s">
        <v>39</v>
      </c>
      <c r="E10" s="16" t="s">
        <v>39</v>
      </c>
      <c r="F10" s="17" t="s">
        <v>41</v>
      </c>
      <c r="G10" s="17"/>
      <c r="H10" s="17"/>
      <c r="I10" s="17"/>
      <c r="J10" s="17" t="s">
        <v>11</v>
      </c>
      <c r="K10" s="16"/>
    </row>
    <row r="11" spans="1:11" ht="30" customHeight="1">
      <c r="A11" s="22">
        <v>9</v>
      </c>
      <c r="B11" s="25" t="s">
        <v>16</v>
      </c>
      <c r="C11" s="13" t="s">
        <v>52</v>
      </c>
      <c r="D11" s="14" t="s">
        <v>39</v>
      </c>
      <c r="E11" s="13" t="s">
        <v>39</v>
      </c>
      <c r="F11" s="14" t="s">
        <v>41</v>
      </c>
      <c r="G11" s="14"/>
      <c r="H11" s="14"/>
      <c r="I11" s="14"/>
      <c r="J11" s="14" t="s">
        <v>12</v>
      </c>
      <c r="K11" s="13"/>
    </row>
    <row r="12" spans="1:11" ht="30" customHeight="1">
      <c r="A12" s="23">
        <v>10</v>
      </c>
      <c r="B12" s="26" t="s">
        <v>16</v>
      </c>
      <c r="C12" s="16" t="s">
        <v>53</v>
      </c>
      <c r="D12" s="17" t="s">
        <v>39</v>
      </c>
      <c r="E12" s="16" t="s">
        <v>39</v>
      </c>
      <c r="F12" s="17" t="s">
        <v>41</v>
      </c>
      <c r="G12" s="17"/>
      <c r="H12" s="17"/>
      <c r="I12" s="17"/>
      <c r="J12" s="17" t="s">
        <v>11</v>
      </c>
      <c r="K12" s="16"/>
    </row>
    <row r="13" spans="1:11" ht="30" customHeight="1">
      <c r="A13" s="22">
        <v>11</v>
      </c>
      <c r="B13" s="25" t="s">
        <v>16</v>
      </c>
      <c r="C13" s="13" t="s">
        <v>54</v>
      </c>
      <c r="D13" s="14" t="s">
        <v>39</v>
      </c>
      <c r="E13" s="13" t="s">
        <v>39</v>
      </c>
      <c r="F13" s="14" t="s">
        <v>41</v>
      </c>
      <c r="G13" s="14"/>
      <c r="H13" s="14"/>
      <c r="I13" s="14"/>
      <c r="J13" s="14" t="s">
        <v>11</v>
      </c>
      <c r="K13" s="13"/>
    </row>
    <row r="14" spans="1:11" ht="30" customHeight="1">
      <c r="A14" s="23">
        <v>12</v>
      </c>
      <c r="B14" s="26" t="s">
        <v>17</v>
      </c>
      <c r="C14" s="16" t="s">
        <v>55</v>
      </c>
      <c r="D14" s="17" t="s">
        <v>39</v>
      </c>
      <c r="E14" s="16" t="s">
        <v>39</v>
      </c>
      <c r="F14" s="17" t="s">
        <v>41</v>
      </c>
      <c r="G14" s="17"/>
      <c r="H14" s="17"/>
      <c r="I14" s="17"/>
      <c r="J14" s="17" t="s">
        <v>12</v>
      </c>
      <c r="K14" s="16"/>
    </row>
    <row r="15" spans="1:11" ht="30" customHeight="1">
      <c r="A15" s="22">
        <v>13</v>
      </c>
      <c r="B15" s="25" t="s">
        <v>17</v>
      </c>
      <c r="C15" s="13" t="s">
        <v>56</v>
      </c>
      <c r="D15" s="14" t="s">
        <v>39</v>
      </c>
      <c r="E15" s="13" t="s">
        <v>39</v>
      </c>
      <c r="F15" s="14" t="s">
        <v>41</v>
      </c>
      <c r="G15" s="14"/>
      <c r="H15" s="14"/>
      <c r="I15" s="14"/>
      <c r="J15" s="14" t="s">
        <v>12</v>
      </c>
      <c r="K15" s="13"/>
    </row>
    <row r="16" spans="1:11" ht="30" customHeight="1">
      <c r="A16" s="23">
        <v>14</v>
      </c>
      <c r="B16" s="26" t="s">
        <v>17</v>
      </c>
      <c r="C16" s="16" t="s">
        <v>57</v>
      </c>
      <c r="D16" s="17" t="s">
        <v>39</v>
      </c>
      <c r="E16" s="16" t="s">
        <v>50</v>
      </c>
      <c r="F16" s="17" t="s">
        <v>41</v>
      </c>
      <c r="G16" s="17"/>
      <c r="H16" s="17"/>
      <c r="I16" s="17"/>
      <c r="J16" s="17" t="s">
        <v>12</v>
      </c>
      <c r="K16" s="16"/>
    </row>
    <row r="17" spans="1:11" ht="30" customHeight="1">
      <c r="A17" s="22">
        <v>15</v>
      </c>
      <c r="B17" s="25" t="s">
        <v>18</v>
      </c>
      <c r="C17" s="13" t="s">
        <v>58</v>
      </c>
      <c r="D17" s="14" t="s">
        <v>39</v>
      </c>
      <c r="E17" s="13" t="s">
        <v>39</v>
      </c>
      <c r="F17" s="14" t="s">
        <v>41</v>
      </c>
      <c r="G17" s="14"/>
      <c r="H17" s="14"/>
      <c r="I17" s="14"/>
      <c r="J17" s="14" t="s">
        <v>12</v>
      </c>
      <c r="K17" s="13"/>
    </row>
    <row r="18" spans="1:11" ht="30" customHeight="1">
      <c r="A18" s="23">
        <v>16</v>
      </c>
      <c r="B18" s="26" t="s">
        <v>18</v>
      </c>
      <c r="C18" s="16" t="s">
        <v>59</v>
      </c>
      <c r="D18" s="17" t="s">
        <v>39</v>
      </c>
      <c r="E18" s="16" t="s">
        <v>39</v>
      </c>
      <c r="F18" s="17" t="s">
        <v>41</v>
      </c>
      <c r="G18" s="17"/>
      <c r="H18" s="17"/>
      <c r="I18" s="17"/>
      <c r="J18" s="17" t="s">
        <v>12</v>
      </c>
      <c r="K18" s="16"/>
    </row>
    <row r="19" spans="1:11" ht="30" customHeight="1">
      <c r="A19" s="22">
        <v>17</v>
      </c>
      <c r="B19" s="25" t="s">
        <v>18</v>
      </c>
      <c r="C19" s="13" t="s">
        <v>60</v>
      </c>
      <c r="D19" s="14" t="s">
        <v>39</v>
      </c>
      <c r="E19" s="13" t="s">
        <v>39</v>
      </c>
      <c r="F19" s="14" t="s">
        <v>41</v>
      </c>
      <c r="G19" s="14"/>
      <c r="H19" s="14"/>
      <c r="I19" s="14"/>
      <c r="J19" s="14" t="s">
        <v>12</v>
      </c>
      <c r="K19" s="13"/>
    </row>
    <row r="20" spans="1:11" ht="30" customHeight="1">
      <c r="A20" s="23">
        <v>18</v>
      </c>
      <c r="B20" s="26" t="s">
        <v>19</v>
      </c>
      <c r="C20" s="16" t="s">
        <v>61</v>
      </c>
      <c r="D20" s="17" t="s">
        <v>39</v>
      </c>
      <c r="E20" s="16" t="s">
        <v>39</v>
      </c>
      <c r="F20" s="17" t="s">
        <v>41</v>
      </c>
      <c r="G20" s="17"/>
      <c r="H20" s="17"/>
      <c r="I20" s="17"/>
      <c r="J20" s="17" t="s">
        <v>11</v>
      </c>
      <c r="K20" s="16" t="s">
        <v>62</v>
      </c>
    </row>
    <row r="21" spans="1:11" ht="30" customHeight="1">
      <c r="A21" s="22">
        <v>19</v>
      </c>
      <c r="B21" s="25" t="s">
        <v>19</v>
      </c>
      <c r="C21" s="13" t="s">
        <v>63</v>
      </c>
      <c r="D21" s="14" t="s">
        <v>39</v>
      </c>
      <c r="E21" s="13" t="s">
        <v>39</v>
      </c>
      <c r="F21" s="14" t="s">
        <v>41</v>
      </c>
      <c r="G21" s="14"/>
      <c r="H21" s="14"/>
      <c r="I21" s="14"/>
      <c r="J21" s="14" t="s">
        <v>12</v>
      </c>
      <c r="K21" s="13"/>
    </row>
    <row r="22" spans="1:11" ht="30" customHeight="1">
      <c r="A22" s="23">
        <v>20</v>
      </c>
      <c r="B22" s="26" t="s">
        <v>19</v>
      </c>
      <c r="C22" s="16" t="s">
        <v>64</v>
      </c>
      <c r="D22" s="17" t="s">
        <v>39</v>
      </c>
      <c r="E22" s="16" t="s">
        <v>39</v>
      </c>
      <c r="F22" s="17" t="s">
        <v>41</v>
      </c>
      <c r="G22" s="17"/>
      <c r="H22" s="17"/>
      <c r="I22" s="17"/>
      <c r="J22" s="17" t="s">
        <v>11</v>
      </c>
      <c r="K22" s="16"/>
    </row>
    <row r="23" spans="1:11" ht="30" customHeight="1">
      <c r="A23" s="22">
        <v>21</v>
      </c>
      <c r="B23" s="25" t="s">
        <v>19</v>
      </c>
      <c r="C23" s="13" t="s">
        <v>65</v>
      </c>
      <c r="D23" s="14" t="s">
        <v>39</v>
      </c>
      <c r="E23" s="13" t="s">
        <v>39</v>
      </c>
      <c r="F23" s="14" t="s">
        <v>41</v>
      </c>
      <c r="G23" s="14"/>
      <c r="H23" s="14"/>
      <c r="I23" s="14"/>
      <c r="J23" s="14" t="s">
        <v>12</v>
      </c>
      <c r="K23" s="13"/>
    </row>
    <row r="24" spans="1:11" ht="30" customHeight="1">
      <c r="A24" s="23">
        <v>22</v>
      </c>
      <c r="B24" s="26" t="s">
        <v>20</v>
      </c>
      <c r="C24" s="16" t="s">
        <v>66</v>
      </c>
      <c r="D24" s="17" t="s">
        <v>39</v>
      </c>
      <c r="E24" s="16" t="s">
        <v>39</v>
      </c>
      <c r="F24" s="17" t="s">
        <v>41</v>
      </c>
      <c r="G24" s="17"/>
      <c r="H24" s="17"/>
      <c r="I24" s="17"/>
      <c r="J24" s="17" t="s">
        <v>12</v>
      </c>
      <c r="K24" s="16"/>
    </row>
    <row r="25" spans="1:11" ht="30" customHeight="1">
      <c r="A25" s="22">
        <v>23</v>
      </c>
      <c r="B25" s="25" t="s">
        <v>20</v>
      </c>
      <c r="C25" s="13" t="s">
        <v>67</v>
      </c>
      <c r="D25" s="14" t="s">
        <v>39</v>
      </c>
      <c r="E25" s="13" t="s">
        <v>39</v>
      </c>
      <c r="F25" s="14" t="s">
        <v>41</v>
      </c>
      <c r="G25" s="14"/>
      <c r="H25" s="14"/>
      <c r="I25" s="14"/>
      <c r="J25" s="14" t="s">
        <v>12</v>
      </c>
      <c r="K25" s="13"/>
    </row>
    <row r="26" spans="1:11" ht="30" customHeight="1">
      <c r="A26" s="23">
        <v>24</v>
      </c>
      <c r="B26" s="26" t="s">
        <v>20</v>
      </c>
      <c r="C26" s="16" t="s">
        <v>68</v>
      </c>
      <c r="D26" s="17" t="s">
        <v>39</v>
      </c>
      <c r="E26" s="16" t="s">
        <v>39</v>
      </c>
      <c r="F26" s="17" t="s">
        <v>41</v>
      </c>
      <c r="G26" s="17"/>
      <c r="H26" s="17"/>
      <c r="I26" s="17"/>
      <c r="J26" s="17" t="s">
        <v>12</v>
      </c>
      <c r="K26" s="16"/>
    </row>
    <row r="27" spans="1:11" ht="30" customHeight="1">
      <c r="A27" s="22">
        <v>25</v>
      </c>
      <c r="B27" s="25" t="s">
        <v>21</v>
      </c>
      <c r="C27" s="13" t="s">
        <v>69</v>
      </c>
      <c r="D27" s="14" t="s">
        <v>39</v>
      </c>
      <c r="E27" s="13" t="s">
        <v>39</v>
      </c>
      <c r="F27" s="14" t="s">
        <v>41</v>
      </c>
      <c r="G27" s="14"/>
      <c r="H27" s="14"/>
      <c r="I27" s="14"/>
      <c r="J27" s="14" t="s">
        <v>11</v>
      </c>
      <c r="K27" s="13" t="s">
        <v>70</v>
      </c>
    </row>
    <row r="28" spans="1:11" ht="30" customHeight="1">
      <c r="A28" s="23">
        <v>26</v>
      </c>
      <c r="B28" s="26" t="s">
        <v>21</v>
      </c>
      <c r="C28" s="16" t="s">
        <v>71</v>
      </c>
      <c r="D28" s="17" t="s">
        <v>39</v>
      </c>
      <c r="E28" s="16" t="s">
        <v>72</v>
      </c>
      <c r="F28" s="17" t="s">
        <v>41</v>
      </c>
      <c r="G28" s="17"/>
      <c r="H28" s="17"/>
      <c r="I28" s="17"/>
      <c r="J28" s="17" t="s">
        <v>11</v>
      </c>
      <c r="K28" s="16" t="s">
        <v>73</v>
      </c>
    </row>
    <row r="29" spans="1:11" ht="30" customHeight="1">
      <c r="A29" s="22">
        <v>27</v>
      </c>
      <c r="B29" s="25" t="s">
        <v>21</v>
      </c>
      <c r="C29" s="13" t="s">
        <v>74</v>
      </c>
      <c r="D29" s="14" t="s">
        <v>39</v>
      </c>
      <c r="E29" s="13" t="s">
        <v>39</v>
      </c>
      <c r="F29" s="14" t="s">
        <v>41</v>
      </c>
      <c r="G29" s="14"/>
      <c r="H29" s="14"/>
      <c r="I29" s="14"/>
      <c r="J29" s="14" t="s">
        <v>11</v>
      </c>
      <c r="K29" s="13"/>
    </row>
    <row r="30" spans="1:11" ht="30" customHeight="1">
      <c r="A30" s="23">
        <v>28</v>
      </c>
      <c r="B30" s="26" t="s">
        <v>21</v>
      </c>
      <c r="C30" s="16" t="s">
        <v>75</v>
      </c>
      <c r="D30" s="17" t="s">
        <v>39</v>
      </c>
      <c r="E30" s="16" t="s">
        <v>76</v>
      </c>
      <c r="F30" s="17" t="s">
        <v>41</v>
      </c>
      <c r="G30" s="17"/>
      <c r="H30" s="17"/>
      <c r="I30" s="17"/>
      <c r="J30" s="17" t="s">
        <v>10</v>
      </c>
      <c r="K30" s="16" t="s">
        <v>77</v>
      </c>
    </row>
    <row r="31" spans="1:11" ht="30" customHeight="1">
      <c r="A31" s="22">
        <v>29</v>
      </c>
      <c r="B31" s="25" t="s">
        <v>22</v>
      </c>
      <c r="C31" s="13" t="s">
        <v>78</v>
      </c>
      <c r="D31" s="14" t="s">
        <v>39</v>
      </c>
      <c r="E31" s="13" t="s">
        <v>50</v>
      </c>
      <c r="F31" s="14" t="s">
        <v>41</v>
      </c>
      <c r="G31" s="14"/>
      <c r="H31" s="14"/>
      <c r="I31" s="14"/>
      <c r="J31" s="14" t="s">
        <v>11</v>
      </c>
      <c r="K31" s="13" t="s">
        <v>79</v>
      </c>
    </row>
    <row r="32" spans="1:11" ht="30" customHeight="1">
      <c r="A32" s="23">
        <v>30</v>
      </c>
      <c r="B32" s="26" t="s">
        <v>22</v>
      </c>
      <c r="C32" s="16" t="s">
        <v>80</v>
      </c>
      <c r="D32" s="17" t="s">
        <v>39</v>
      </c>
      <c r="E32" s="16" t="s">
        <v>50</v>
      </c>
      <c r="F32" s="17" t="s">
        <v>41</v>
      </c>
      <c r="G32" s="17"/>
      <c r="H32" s="17"/>
      <c r="I32" s="17"/>
      <c r="J32" s="17" t="s">
        <v>11</v>
      </c>
      <c r="K32" s="16" t="s">
        <v>79</v>
      </c>
    </row>
    <row r="33" spans="1:11" ht="30" customHeight="1">
      <c r="A33" s="22">
        <v>31</v>
      </c>
      <c r="B33" s="25" t="s">
        <v>22</v>
      </c>
      <c r="C33" s="13" t="s">
        <v>81</v>
      </c>
      <c r="D33" s="14" t="s">
        <v>39</v>
      </c>
      <c r="E33" s="13" t="s">
        <v>50</v>
      </c>
      <c r="F33" s="14" t="s">
        <v>41</v>
      </c>
      <c r="G33" s="14"/>
      <c r="H33" s="14"/>
      <c r="I33" s="14"/>
      <c r="J33" s="14" t="s">
        <v>11</v>
      </c>
      <c r="K33" s="13" t="s">
        <v>79</v>
      </c>
    </row>
    <row r="34" spans="1:11" ht="30" customHeight="1">
      <c r="A34" s="23">
        <v>32</v>
      </c>
      <c r="B34" s="26" t="s">
        <v>22</v>
      </c>
      <c r="C34" s="16" t="s">
        <v>82</v>
      </c>
      <c r="D34" s="17" t="s">
        <v>39</v>
      </c>
      <c r="E34" s="16" t="s">
        <v>50</v>
      </c>
      <c r="F34" s="17" t="s">
        <v>41</v>
      </c>
      <c r="G34" s="17"/>
      <c r="H34" s="17"/>
      <c r="I34" s="17"/>
      <c r="J34" s="17" t="s">
        <v>11</v>
      </c>
      <c r="K34" s="16"/>
    </row>
    <row r="35" spans="1:11" ht="30" customHeight="1">
      <c r="A35" s="22">
        <v>33</v>
      </c>
      <c r="B35" s="25" t="s">
        <v>22</v>
      </c>
      <c r="C35" s="13" t="s">
        <v>83</v>
      </c>
      <c r="D35" s="14" t="s">
        <v>39</v>
      </c>
      <c r="E35" s="13" t="s">
        <v>50</v>
      </c>
      <c r="F35" s="14" t="s">
        <v>41</v>
      </c>
      <c r="G35" s="14"/>
      <c r="H35" s="14"/>
      <c r="I35" s="14"/>
      <c r="J35" s="14" t="s">
        <v>12</v>
      </c>
      <c r="K35" s="13"/>
    </row>
    <row r="36" spans="1:11" ht="30" customHeight="1">
      <c r="A36" s="23">
        <v>34</v>
      </c>
      <c r="B36" s="26" t="s">
        <v>23</v>
      </c>
      <c r="C36" s="16" t="s">
        <v>84</v>
      </c>
      <c r="D36" s="17" t="s">
        <v>39</v>
      </c>
      <c r="E36" s="16" t="s">
        <v>76</v>
      </c>
      <c r="F36" s="17" t="s">
        <v>41</v>
      </c>
      <c r="G36" s="17"/>
      <c r="H36" s="17"/>
      <c r="I36" s="17"/>
      <c r="J36" s="17" t="s">
        <v>11</v>
      </c>
      <c r="K36" s="16"/>
    </row>
    <row r="37" spans="1:11" ht="30" customHeight="1">
      <c r="A37" s="22">
        <v>35</v>
      </c>
      <c r="B37" s="25" t="s">
        <v>23</v>
      </c>
      <c r="C37" s="13" t="s">
        <v>85</v>
      </c>
      <c r="D37" s="14" t="s">
        <v>39</v>
      </c>
      <c r="E37" s="13" t="s">
        <v>76</v>
      </c>
      <c r="F37" s="14" t="s">
        <v>41</v>
      </c>
      <c r="G37" s="14"/>
      <c r="H37" s="14"/>
      <c r="I37" s="14"/>
      <c r="J37" s="14" t="s">
        <v>12</v>
      </c>
      <c r="K37" s="13"/>
    </row>
    <row r="38" spans="1:11" ht="30" customHeight="1">
      <c r="A38" s="23">
        <v>36</v>
      </c>
      <c r="B38" s="26" t="s">
        <v>23</v>
      </c>
      <c r="C38" s="16" t="s">
        <v>86</v>
      </c>
      <c r="D38" s="17" t="s">
        <v>39</v>
      </c>
      <c r="E38" s="16" t="s">
        <v>76</v>
      </c>
      <c r="F38" s="17" t="s">
        <v>41</v>
      </c>
      <c r="G38" s="17"/>
      <c r="H38" s="17"/>
      <c r="I38" s="17"/>
      <c r="J38" s="17" t="s">
        <v>12</v>
      </c>
      <c r="K38" s="16"/>
    </row>
    <row r="39" spans="1:11" ht="30" customHeight="1">
      <c r="A39" s="22">
        <v>37</v>
      </c>
      <c r="B39" s="25" t="s">
        <v>23</v>
      </c>
      <c r="C39" s="13" t="s">
        <v>87</v>
      </c>
      <c r="D39" s="14" t="s">
        <v>39</v>
      </c>
      <c r="E39" s="13" t="s">
        <v>76</v>
      </c>
      <c r="F39" s="14" t="s">
        <v>41</v>
      </c>
      <c r="G39" s="14"/>
      <c r="H39" s="14"/>
      <c r="I39" s="14"/>
      <c r="J39" s="14" t="s">
        <v>12</v>
      </c>
      <c r="K39" s="13"/>
    </row>
    <row r="40" spans="1:11" ht="30" customHeight="1">
      <c r="A40" s="23">
        <v>38</v>
      </c>
      <c r="B40" s="26" t="s">
        <v>23</v>
      </c>
      <c r="C40" s="16" t="s">
        <v>88</v>
      </c>
      <c r="D40" s="17" t="s">
        <v>39</v>
      </c>
      <c r="E40" s="16" t="s">
        <v>76</v>
      </c>
      <c r="F40" s="17" t="s">
        <v>41</v>
      </c>
      <c r="G40" s="17"/>
      <c r="H40" s="17"/>
      <c r="I40" s="17"/>
      <c r="J40" s="17" t="s">
        <v>11</v>
      </c>
      <c r="K40" s="16"/>
    </row>
    <row r="41" spans="1:11" ht="30" customHeight="1">
      <c r="A41" s="22">
        <v>39</v>
      </c>
      <c r="B41" s="25" t="s">
        <v>23</v>
      </c>
      <c r="C41" s="13" t="s">
        <v>89</v>
      </c>
      <c r="D41" s="14" t="s">
        <v>39</v>
      </c>
      <c r="E41" s="13" t="s">
        <v>39</v>
      </c>
      <c r="F41" s="14" t="s">
        <v>41</v>
      </c>
      <c r="G41" s="14"/>
      <c r="H41" s="14"/>
      <c r="I41" s="14"/>
      <c r="J41" s="14" t="s">
        <v>11</v>
      </c>
      <c r="K41" s="13"/>
    </row>
    <row r="42" spans="1:11" ht="30" customHeight="1">
      <c r="A42" s="23">
        <v>40</v>
      </c>
      <c r="B42" s="26" t="s">
        <v>24</v>
      </c>
      <c r="C42" s="16" t="s">
        <v>96</v>
      </c>
      <c r="D42" s="17" t="s">
        <v>39</v>
      </c>
      <c r="E42" s="16" t="s">
        <v>72</v>
      </c>
      <c r="F42" s="17" t="s">
        <v>41</v>
      </c>
      <c r="G42" s="17"/>
      <c r="H42" s="17"/>
      <c r="I42" s="17"/>
      <c r="J42" s="17" t="s">
        <v>12</v>
      </c>
      <c r="K42" s="16"/>
    </row>
    <row r="43" spans="1:11" ht="30" customHeight="1">
      <c r="A43" s="22">
        <v>41</v>
      </c>
      <c r="B43" s="25" t="s">
        <v>25</v>
      </c>
      <c r="C43" s="13" t="s">
        <v>90</v>
      </c>
      <c r="D43" s="14" t="s">
        <v>39</v>
      </c>
      <c r="E43" s="13" t="s">
        <v>50</v>
      </c>
      <c r="F43" s="14" t="s">
        <v>41</v>
      </c>
      <c r="G43" s="14"/>
      <c r="H43" s="14"/>
      <c r="I43" s="14"/>
      <c r="J43" s="14" t="s">
        <v>11</v>
      </c>
      <c r="K43" s="13"/>
    </row>
    <row r="44" spans="1:11" ht="30" customHeight="1">
      <c r="A44" s="23">
        <v>42</v>
      </c>
      <c r="B44" s="26" t="s">
        <v>25</v>
      </c>
      <c r="C44" s="16" t="s">
        <v>91</v>
      </c>
      <c r="D44" s="17" t="s">
        <v>39</v>
      </c>
      <c r="E44" s="16" t="s">
        <v>39</v>
      </c>
      <c r="F44" s="17" t="s">
        <v>41</v>
      </c>
      <c r="G44" s="17"/>
      <c r="H44" s="17"/>
      <c r="I44" s="17"/>
      <c r="J44" s="17" t="s">
        <v>11</v>
      </c>
      <c r="K44" s="16"/>
    </row>
    <row r="45" spans="1:11" ht="30" customHeight="1">
      <c r="A45" s="22">
        <v>43</v>
      </c>
      <c r="B45" s="25" t="s">
        <v>25</v>
      </c>
      <c r="C45" s="13" t="s">
        <v>92</v>
      </c>
      <c r="D45" s="14" t="s">
        <v>39</v>
      </c>
      <c r="E45" s="13" t="s">
        <v>39</v>
      </c>
      <c r="F45" s="14" t="s">
        <v>41</v>
      </c>
      <c r="G45" s="14"/>
      <c r="H45" s="14"/>
      <c r="I45" s="14"/>
      <c r="J45" s="14" t="s">
        <v>11</v>
      </c>
      <c r="K45" s="13"/>
    </row>
    <row r="46" spans="1:11" ht="30" customHeight="1">
      <c r="A46" s="23">
        <v>44</v>
      </c>
      <c r="B46" s="26" t="s">
        <v>25</v>
      </c>
      <c r="C46" s="16" t="s">
        <v>93</v>
      </c>
      <c r="D46" s="17" t="s">
        <v>39</v>
      </c>
      <c r="E46" s="16" t="s">
        <v>39</v>
      </c>
      <c r="F46" s="17" t="s">
        <v>41</v>
      </c>
      <c r="G46" s="17"/>
      <c r="H46" s="17"/>
      <c r="I46" s="17"/>
      <c r="J46" s="17" t="s">
        <v>12</v>
      </c>
      <c r="K46" s="16"/>
    </row>
  </sheetData>
  <autoFilter ref="A2:K46" xr:uid="{00000000-0009-0000-0000-000001000000}"/>
  <mergeCells count="1">
    <mergeCell ref="A1:K1"/>
  </mergeCells>
  <conditionalFormatting sqref="J3:J46">
    <cfRule type="cellIs" dxfId="2" priority="2" operator="equal">
      <formula>"تم"</formula>
    </cfRule>
    <cfRule type="cellIs" dxfId="1" priority="3" operator="equal">
      <formula>"جاري"</formula>
    </cfRule>
    <cfRule type="cellIs" dxfId="0" priority="4" operator="equal">
      <formula>"لم يبدأ"</formula>
    </cfRule>
  </conditionalFormatting>
  <dataValidations count="1">
    <dataValidation type="list" errorTitle="قيمة غير صحيحة" error="اختر من: لم يبدأ / جاري / تم" sqref="J3:J46" xr:uid="{00000000-0002-0000-0100-000000000000}">
      <formula1>"لم يبدأ,جاري,تم"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لوحة المتابعة</vt:lpstr>
      <vt:lpstr>المهام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Al-Hassan Megahed</cp:lastModifiedBy>
  <cp:revision>1</cp:revision>
  <dcterms:created xsi:type="dcterms:W3CDTF">2026-07-19T15:12:58Z</dcterms:created>
  <dcterms:modified xsi:type="dcterms:W3CDTF">2026-07-19T17:24:42Z</dcterms:modified>
  <dc:language>en-US</dc:language>
</cp:coreProperties>
</file>